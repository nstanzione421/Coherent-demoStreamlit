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metadata.xml" ContentType="application/vnd.openxmlformats-officedocument.spreadsheetml.sheetMetadata+xml"/>
  <Override PartName="/xl/threadedComments/threadedComment1.xml" ContentType="application/vnd.ms-excel.threadedcomment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ersons/person.xml" ContentType="application/vnd.ms-excel.person+xml"/>
  <Override PartName="/xl/calcChain.xml" ContentType="application/vnd.openxmlformats-officedocument.spreadsheetml.calcChain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5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herentcapital.sharepoint.com/sites/PreSales/Shared Documents/General/Sales &amp; Field Engineering/L&amp;R/3 - Demo Models/Insurance/Life/"/>
    </mc:Choice>
  </mc:AlternateContent>
  <xr:revisionPtr revIDLastSave="163" documentId="13_ncr:1_{D2586822-D040-4282-81F2-6A200A41B8A5}" xr6:coauthVersionLast="47" xr6:coauthVersionMax="47" xr10:uidLastSave="{E9EAFC7D-3048-4331-AE9F-9158BF5924B7}"/>
  <bookViews>
    <workbookView xWindow="18555" yWindow="-16320" windowWidth="29040" windowHeight="16440" tabRatio="814" activeTab="9" xr2:uid="{C72C3A65-348E-4297-BC94-E48E14C8F7C7}"/>
  </bookViews>
  <sheets>
    <sheet name="Introduction" sheetId="10" r:id="rId1"/>
    <sheet name="Summary" sheetId="1" r:id="rId2"/>
    <sheet name="Solver" sheetId="42" r:id="rId3"/>
    <sheet name="Index Selection" sheetId="14" r:id="rId4"/>
    <sheet name="Annuity_CashFlow" sheetId="3" r:id="rId5"/>
    <sheet name="Results" sheetId="41" r:id="rId6"/>
    <sheet name="Parameters" sheetId="4" r:id="rId7"/>
    <sheet name="withdrawal_percentage" sheetId="35" r:id="rId8"/>
    <sheet name="surrender_charge" sheetId="36" r:id="rId9"/>
    <sheet name="COI_rate" sheetId="34" r:id="rId10"/>
    <sheet name="index_return" sheetId="13" r:id="rId11"/>
    <sheet name="S&amp;P 500" sheetId="30" state="hidden" r:id="rId12"/>
    <sheet name="NAS 100" sheetId="31" state="hidden" r:id="rId13"/>
    <sheet name="Russel 2000" sheetId="32" state="hidden" r:id="rId14"/>
    <sheet name="iBLD Claria" sheetId="23" state="hidden" r:id="rId15"/>
    <sheet name="iBLD Claria ER" sheetId="24" state="hidden" r:id="rId16"/>
    <sheet name="PIMCO TBI" sheetId="27" state="hidden" r:id="rId17"/>
    <sheet name="PIMCO TBI ER" sheetId="26" state="hidden" r:id="rId18"/>
    <sheet name="Bloomberg DBI ER" sheetId="29" state="hidden" r:id="rId19"/>
    <sheet name="Bloomberg DBI" sheetId="28" state="hidden" r:id="rId20"/>
  </sheets>
  <definedNames>
    <definedName name="_xlnm._FilterDatabase" localSheetId="19" hidden="1">'Bloomberg DBI'!$B$1:$G$4158</definedName>
    <definedName name="_xlnm._FilterDatabase" localSheetId="11" hidden="1">'S&amp;P 500'!$B$1:$B$1120</definedName>
    <definedName name="coi_table">COI_rate!$A$1:$C$102</definedName>
    <definedName name="income_option">Summary!$D$55</definedName>
    <definedName name="index_sum_return_table">'Index Selection'!$I$3:$S$104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rider_bonus">Summary!$D$48</definedName>
    <definedName name="rider_rate">Summary!$D$46</definedName>
    <definedName name="targetcell">Summary!$F$69</definedName>
    <definedName name="Xinput_age">Summary!$D$4</definedName>
    <definedName name="Xinput_allocation_option">Summary!$D$20</definedName>
    <definedName name="Xinput_frequency">Summary!$D$10</definedName>
    <definedName name="Xinput_gender">Summary!$D$6</definedName>
    <definedName name="Xinput_income_duration">Summary!$D$53</definedName>
    <definedName name="Xinput_income_start_age">Summary!$D$51</definedName>
    <definedName name="Xinput_index_table">'Index Selection'!$E$2:$G$11</definedName>
    <definedName name="Xinput_interest_choice">Summary!$D$14</definedName>
    <definedName name="Xinput_premium">Summary!$D$18</definedName>
    <definedName name="Xinput_rider_choice">Summary!$D$44</definedName>
    <definedName name="Xinput_runsolver">Summary!$D$68</definedName>
    <definedName name="xinput_solveWithdrawal">Summary!$D$69</definedName>
    <definedName name="Xinput_term">Summary!$D$12</definedName>
    <definedName name="Xoutput_annuity_cashflow">Annuity_CashFlow!$B$3:$P$103</definedName>
    <definedName name="Xoutput_available_index">'Index Selection'!$E$2:$E$8</definedName>
    <definedName name="Xoutput_cap">Summary!$D$36</definedName>
    <definedName name="Xoutput_crediting_method">Summary!$D$32</definedName>
    <definedName name="Xoutput_illustration_pv">Results!$B$2:$D$15</definedName>
    <definedName name="Xoutput_income_end_age">Summary!$D$57</definedName>
    <definedName name="Xoutput_initial_withdrawal">Summary!$D$63</definedName>
    <definedName name="Xoutput_interest_rate">Summary!$D$16</definedName>
    <definedName name="Xoutput_par">Summary!$D$38</definedName>
    <definedName name="Xoutput_resetting_period">Summary!$D$34</definedName>
    <definedName name="xoutput_solvePremium">Solver!$C$8</definedName>
    <definedName name="Xoutput_spread">Summary!$D$40</definedName>
    <definedName name="Xoutput_total_withdrawal">Summary!$D$65</definedName>
    <definedName name="XPROPERTY_DefaultEngineType">"NodeGen"</definedName>
    <definedName name="Xreport_fi">Introduction!$B$7:$K$30</definedName>
    <definedName name="Xsolve_premium">Solver!$B$5:$C$19</definedName>
  </definedNames>
  <calcPr calcId="191028" calcMode="manual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2" l="1"/>
  <c r="C8" i="42"/>
  <c r="D55" i="1" l="1"/>
  <c r="D36" i="1"/>
  <c r="R104" i="14" l="1" a="1"/>
  <c r="R104" i="14" s="1"/>
  <c r="R103" i="14" a="1"/>
  <c r="R103" i="14" s="1"/>
  <c r="R102" i="14" a="1"/>
  <c r="R102" i="14" s="1"/>
  <c r="R101" i="14" a="1"/>
  <c r="R101" i="14" s="1"/>
  <c r="R100" i="14" a="1"/>
  <c r="R100" i="14" s="1"/>
  <c r="R99" i="14" a="1"/>
  <c r="R99" i="14" s="1"/>
  <c r="R98" i="14" a="1"/>
  <c r="R98" i="14" s="1"/>
  <c r="R97" i="14" a="1"/>
  <c r="R97" i="14" s="1"/>
  <c r="R96" i="14" a="1"/>
  <c r="R96" i="14" s="1"/>
  <c r="R95" i="14" a="1"/>
  <c r="R95" i="14" s="1"/>
  <c r="R94" i="14" a="1"/>
  <c r="R94" i="14" s="1"/>
  <c r="R93" i="14" a="1"/>
  <c r="R93" i="14" s="1"/>
  <c r="R92" i="14" a="1"/>
  <c r="R92" i="14" s="1"/>
  <c r="R91" i="14" a="1"/>
  <c r="R91" i="14" s="1"/>
  <c r="R90" i="14" a="1"/>
  <c r="R90" i="14" s="1"/>
  <c r="R89" i="14" a="1"/>
  <c r="R89" i="14" s="1"/>
  <c r="R88" i="14" a="1"/>
  <c r="R88" i="14" s="1"/>
  <c r="R87" i="14" a="1"/>
  <c r="R87" i="14" s="1"/>
  <c r="R86" i="14" a="1"/>
  <c r="R86" i="14" s="1"/>
  <c r="R85" i="14" a="1"/>
  <c r="R85" i="14" s="1"/>
  <c r="R84" i="14" a="1"/>
  <c r="R84" i="14" s="1"/>
  <c r="R83" i="14" a="1"/>
  <c r="R83" i="14" s="1"/>
  <c r="R82" i="14" a="1"/>
  <c r="R82" i="14" s="1"/>
  <c r="R81" i="14" a="1"/>
  <c r="R81" i="14" s="1"/>
  <c r="R80" i="14" a="1"/>
  <c r="R80" i="14" s="1"/>
  <c r="R79" i="14" a="1"/>
  <c r="R79" i="14" s="1"/>
  <c r="R78" i="14" a="1"/>
  <c r="R78" i="14" s="1"/>
  <c r="R77" i="14" a="1"/>
  <c r="R77" i="14" s="1"/>
  <c r="R76" i="14" a="1"/>
  <c r="R76" i="14" s="1"/>
  <c r="R75" i="14" a="1"/>
  <c r="R75" i="14" s="1"/>
  <c r="R74" i="14" a="1"/>
  <c r="R74" i="14" s="1"/>
  <c r="R73" i="14" a="1"/>
  <c r="R73" i="14" s="1"/>
  <c r="R72" i="14" a="1"/>
  <c r="R72" i="14" s="1"/>
  <c r="R71" i="14" a="1"/>
  <c r="R71" i="14" s="1"/>
  <c r="R70" i="14" a="1"/>
  <c r="R70" i="14" s="1"/>
  <c r="R69" i="14" a="1"/>
  <c r="R69" i="14" s="1"/>
  <c r="R68" i="14" a="1"/>
  <c r="R68" i="14" s="1"/>
  <c r="R67" i="14" a="1"/>
  <c r="R67" i="14" s="1"/>
  <c r="R66" i="14" a="1"/>
  <c r="R66" i="14" s="1"/>
  <c r="R65" i="14" a="1"/>
  <c r="R65" i="14" s="1"/>
  <c r="R64" i="14" a="1"/>
  <c r="R64" i="14" s="1"/>
  <c r="R63" i="14" a="1"/>
  <c r="R63" i="14" s="1"/>
  <c r="R62" i="14" a="1"/>
  <c r="R62" i="14" s="1"/>
  <c r="R61" i="14" a="1"/>
  <c r="R61" i="14" s="1"/>
  <c r="R60" i="14" a="1"/>
  <c r="R60" i="14" s="1"/>
  <c r="R59" i="14" a="1"/>
  <c r="R59" i="14" s="1"/>
  <c r="R58" i="14" a="1"/>
  <c r="R58" i="14" s="1"/>
  <c r="R57" i="14" a="1"/>
  <c r="R57" i="14" s="1"/>
  <c r="R56" i="14" a="1"/>
  <c r="R56" i="14" s="1"/>
  <c r="R55" i="14" a="1"/>
  <c r="R55" i="14" s="1"/>
  <c r="R54" i="14" a="1"/>
  <c r="R54" i="14" s="1"/>
  <c r="R53" i="14" a="1"/>
  <c r="R53" i="14" s="1"/>
  <c r="R52" i="14" a="1"/>
  <c r="R52" i="14" s="1"/>
  <c r="R51" i="14" a="1"/>
  <c r="R51" i="14" s="1"/>
  <c r="R50" i="14" a="1"/>
  <c r="R50" i="14" s="1"/>
  <c r="R49" i="14" a="1"/>
  <c r="R49" i="14" s="1"/>
  <c r="R48" i="14" a="1"/>
  <c r="R48" i="14" s="1"/>
  <c r="R47" i="14" a="1"/>
  <c r="R47" i="14" s="1"/>
  <c r="R46" i="14" a="1"/>
  <c r="R46" i="14" s="1"/>
  <c r="R45" i="14" a="1"/>
  <c r="R45" i="14" s="1"/>
  <c r="R44" i="14" a="1"/>
  <c r="R44" i="14" s="1"/>
  <c r="R43" i="14" a="1"/>
  <c r="R43" i="14" s="1"/>
  <c r="R42" i="14" a="1"/>
  <c r="R42" i="14" s="1"/>
  <c r="R41" i="14" a="1"/>
  <c r="R41" i="14" s="1"/>
  <c r="R40" i="14" a="1"/>
  <c r="R40" i="14" s="1"/>
  <c r="R39" i="14" a="1"/>
  <c r="R39" i="14" s="1"/>
  <c r="R38" i="14" a="1"/>
  <c r="R38" i="14" s="1"/>
  <c r="R37" i="14" a="1"/>
  <c r="R37" i="14" s="1"/>
  <c r="R36" i="14" a="1"/>
  <c r="R36" i="14" s="1"/>
  <c r="R35" i="14" a="1"/>
  <c r="R35" i="14" s="1"/>
  <c r="R34" i="14" a="1"/>
  <c r="R34" i="14" s="1"/>
  <c r="R33" i="14" a="1"/>
  <c r="R33" i="14" s="1"/>
  <c r="R32" i="14" a="1"/>
  <c r="R32" i="14" s="1"/>
  <c r="R31" i="14" a="1"/>
  <c r="R31" i="14" s="1"/>
  <c r="R30" i="14" a="1"/>
  <c r="R30" i="14" s="1"/>
  <c r="R29" i="14" a="1"/>
  <c r="R29" i="14" s="1"/>
  <c r="R28" i="14" a="1"/>
  <c r="R28" i="14" s="1"/>
  <c r="R27" i="14" a="1"/>
  <c r="R27" i="14" s="1"/>
  <c r="R26" i="14" a="1"/>
  <c r="R26" i="14" s="1"/>
  <c r="R25" i="14" a="1"/>
  <c r="R25" i="14" s="1"/>
  <c r="R24" i="14" a="1"/>
  <c r="R24" i="14" s="1"/>
  <c r="R23" i="14" a="1"/>
  <c r="R23" i="14" s="1"/>
  <c r="R22" i="14" a="1"/>
  <c r="R22" i="14" s="1"/>
  <c r="R21" i="14" a="1"/>
  <c r="R21" i="14" s="1"/>
  <c r="R20" i="14" a="1"/>
  <c r="R20" i="14" s="1"/>
  <c r="R19" i="14" a="1"/>
  <c r="R19" i="14" s="1"/>
  <c r="R18" i="14" a="1"/>
  <c r="R18" i="14" s="1"/>
  <c r="R17" i="14" a="1"/>
  <c r="R17" i="14" s="1"/>
  <c r="R16" i="14" a="1"/>
  <c r="R16" i="14" s="1"/>
  <c r="R15" i="14" a="1"/>
  <c r="R15" i="14" s="1"/>
  <c r="R14" i="14" a="1"/>
  <c r="R14" i="14" s="1"/>
  <c r="R13" i="14" a="1"/>
  <c r="R13" i="14" s="1"/>
  <c r="R12" i="14" a="1"/>
  <c r="R12" i="14" s="1"/>
  <c r="R11" i="14" a="1"/>
  <c r="R11" i="14" s="1"/>
  <c r="R10" i="14" a="1"/>
  <c r="R10" i="14" s="1"/>
  <c r="R9" i="14" a="1"/>
  <c r="R9" i="14" s="1"/>
  <c r="R8" i="14" a="1"/>
  <c r="R8" i="14" s="1"/>
  <c r="R7" i="14" a="1"/>
  <c r="R7" i="14" s="1"/>
  <c r="R6" i="14" a="1"/>
  <c r="R6" i="14" s="1"/>
  <c r="R5" i="14" a="1"/>
  <c r="R5" i="14" s="1"/>
  <c r="R4" i="14" a="1"/>
  <c r="R4" i="14" s="1"/>
  <c r="R3" i="14" a="1"/>
  <c r="R3" i="14" s="1"/>
  <c r="Q104" i="14" a="1"/>
  <c r="Q104" i="14" s="1"/>
  <c r="Q103" i="14" a="1"/>
  <c r="Q103" i="14" s="1"/>
  <c r="Q102" i="14" a="1"/>
  <c r="Q102" i="14" s="1"/>
  <c r="Q101" i="14" a="1"/>
  <c r="Q101" i="14" s="1"/>
  <c r="Q100" i="14" a="1"/>
  <c r="Q100" i="14" s="1"/>
  <c r="Q99" i="14" a="1"/>
  <c r="Q99" i="14" s="1"/>
  <c r="Q98" i="14" a="1"/>
  <c r="Q98" i="14" s="1"/>
  <c r="Q97" i="14" a="1"/>
  <c r="Q97" i="14" s="1"/>
  <c r="Q96" i="14" a="1"/>
  <c r="Q96" i="14" s="1"/>
  <c r="Q95" i="14" a="1"/>
  <c r="Q95" i="14" s="1"/>
  <c r="Q94" i="14" a="1"/>
  <c r="Q94" i="14" s="1"/>
  <c r="Q93" i="14" a="1"/>
  <c r="Q93" i="14" s="1"/>
  <c r="Q92" i="14" a="1"/>
  <c r="Q92" i="14" s="1"/>
  <c r="Q91" i="14" a="1"/>
  <c r="Q91" i="14" s="1"/>
  <c r="Q90" i="14" a="1"/>
  <c r="Q90" i="14" s="1"/>
  <c r="Q89" i="14" a="1"/>
  <c r="Q89" i="14" s="1"/>
  <c r="Q88" i="14" a="1"/>
  <c r="Q88" i="14" s="1"/>
  <c r="Q87" i="14" a="1"/>
  <c r="Q87" i="14" s="1"/>
  <c r="Q86" i="14" a="1"/>
  <c r="Q86" i="14" s="1"/>
  <c r="Q85" i="14" a="1"/>
  <c r="Q85" i="14" s="1"/>
  <c r="Q84" i="14" a="1"/>
  <c r="Q84" i="14" s="1"/>
  <c r="Q83" i="14" a="1"/>
  <c r="Q83" i="14" s="1"/>
  <c r="Q82" i="14" a="1"/>
  <c r="Q82" i="14" s="1"/>
  <c r="Q81" i="14" a="1"/>
  <c r="Q81" i="14" s="1"/>
  <c r="Q80" i="14" a="1"/>
  <c r="Q80" i="14" s="1"/>
  <c r="Q79" i="14" a="1"/>
  <c r="Q79" i="14" s="1"/>
  <c r="Q78" i="14" a="1"/>
  <c r="Q78" i="14" s="1"/>
  <c r="Q77" i="14" a="1"/>
  <c r="Q77" i="14" s="1"/>
  <c r="Q76" i="14" a="1"/>
  <c r="Q76" i="14" s="1"/>
  <c r="Q75" i="14" a="1"/>
  <c r="Q75" i="14" s="1"/>
  <c r="Q74" i="14" a="1"/>
  <c r="Q74" i="14" s="1"/>
  <c r="Q73" i="14" a="1"/>
  <c r="Q73" i="14" s="1"/>
  <c r="Q72" i="14" a="1"/>
  <c r="Q72" i="14" s="1"/>
  <c r="Q71" i="14" a="1"/>
  <c r="Q71" i="14" s="1"/>
  <c r="Q70" i="14" a="1"/>
  <c r="Q70" i="14" s="1"/>
  <c r="Q69" i="14" a="1"/>
  <c r="Q69" i="14" s="1"/>
  <c r="Q68" i="14" a="1"/>
  <c r="Q68" i="14" s="1"/>
  <c r="Q67" i="14" a="1"/>
  <c r="Q67" i="14" s="1"/>
  <c r="Q66" i="14" a="1"/>
  <c r="Q66" i="14" s="1"/>
  <c r="Q65" i="14" a="1"/>
  <c r="Q65" i="14" s="1"/>
  <c r="Q64" i="14" a="1"/>
  <c r="Q64" i="14" s="1"/>
  <c r="Q63" i="14" a="1"/>
  <c r="Q63" i="14" s="1"/>
  <c r="Q62" i="14" a="1"/>
  <c r="Q62" i="14" s="1"/>
  <c r="Q61" i="14" a="1"/>
  <c r="Q61" i="14" s="1"/>
  <c r="Q60" i="14" a="1"/>
  <c r="Q60" i="14" s="1"/>
  <c r="Q59" i="14" a="1"/>
  <c r="Q59" i="14" s="1"/>
  <c r="Q58" i="14" a="1"/>
  <c r="Q58" i="14" s="1"/>
  <c r="Q57" i="14" a="1"/>
  <c r="Q57" i="14" s="1"/>
  <c r="Q56" i="14" a="1"/>
  <c r="Q56" i="14" s="1"/>
  <c r="Q55" i="14" a="1"/>
  <c r="Q55" i="14" s="1"/>
  <c r="Q54" i="14" a="1"/>
  <c r="Q54" i="14" s="1"/>
  <c r="Q53" i="14" a="1"/>
  <c r="Q53" i="14" s="1"/>
  <c r="Q52" i="14" a="1"/>
  <c r="Q52" i="14" s="1"/>
  <c r="Q51" i="14" a="1"/>
  <c r="Q51" i="14" s="1"/>
  <c r="Q50" i="14" a="1"/>
  <c r="Q50" i="14" s="1"/>
  <c r="Q49" i="14" a="1"/>
  <c r="Q49" i="14" s="1"/>
  <c r="Q48" i="14" a="1"/>
  <c r="Q48" i="14" s="1"/>
  <c r="Q47" i="14" a="1"/>
  <c r="Q47" i="14" s="1"/>
  <c r="Q46" i="14" a="1"/>
  <c r="Q46" i="14" s="1"/>
  <c r="Q45" i="14" a="1"/>
  <c r="Q45" i="14" s="1"/>
  <c r="Q44" i="14" a="1"/>
  <c r="Q44" i="14" s="1"/>
  <c r="Q43" i="14" a="1"/>
  <c r="Q43" i="14" s="1"/>
  <c r="Q42" i="14" a="1"/>
  <c r="Q42" i="14" s="1"/>
  <c r="Q41" i="14" a="1"/>
  <c r="Q41" i="14" s="1"/>
  <c r="Q40" i="14" a="1"/>
  <c r="Q40" i="14" s="1"/>
  <c r="Q39" i="14" a="1"/>
  <c r="Q39" i="14" s="1"/>
  <c r="Q38" i="14" a="1"/>
  <c r="Q38" i="14" s="1"/>
  <c r="Q37" i="14" a="1"/>
  <c r="Q37" i="14" s="1"/>
  <c r="Q36" i="14" a="1"/>
  <c r="Q36" i="14" s="1"/>
  <c r="Q35" i="14" a="1"/>
  <c r="Q35" i="14" s="1"/>
  <c r="Q34" i="14" a="1"/>
  <c r="Q34" i="14" s="1"/>
  <c r="Q33" i="14" a="1"/>
  <c r="Q33" i="14" s="1"/>
  <c r="Q32" i="14" a="1"/>
  <c r="Q32" i="14" s="1"/>
  <c r="Q31" i="14" a="1"/>
  <c r="Q31" i="14" s="1"/>
  <c r="Q30" i="14" a="1"/>
  <c r="Q30" i="14" s="1"/>
  <c r="Q29" i="14" a="1"/>
  <c r="Q29" i="14" s="1"/>
  <c r="Q28" i="14" a="1"/>
  <c r="Q28" i="14" s="1"/>
  <c r="Q27" i="14" a="1"/>
  <c r="Q27" i="14" s="1"/>
  <c r="Q26" i="14" a="1"/>
  <c r="Q26" i="14" s="1"/>
  <c r="Q25" i="14" a="1"/>
  <c r="Q25" i="14" s="1"/>
  <c r="Q24" i="14" a="1"/>
  <c r="Q24" i="14" s="1"/>
  <c r="Q23" i="14" a="1"/>
  <c r="Q23" i="14" s="1"/>
  <c r="Q22" i="14" a="1"/>
  <c r="Q22" i="14" s="1"/>
  <c r="Q21" i="14" a="1"/>
  <c r="Q21" i="14" s="1"/>
  <c r="Q20" i="14" a="1"/>
  <c r="Q20" i="14" s="1"/>
  <c r="Q19" i="14" a="1"/>
  <c r="Q19" i="14" s="1"/>
  <c r="Q18" i="14" a="1"/>
  <c r="Q18" i="14" s="1"/>
  <c r="Q17" i="14" a="1"/>
  <c r="Q17" i="14" s="1"/>
  <c r="Q16" i="14" a="1"/>
  <c r="Q16" i="14" s="1"/>
  <c r="Q15" i="14" a="1"/>
  <c r="Q15" i="14" s="1"/>
  <c r="Q14" i="14" a="1"/>
  <c r="Q14" i="14" s="1"/>
  <c r="Q13" i="14" a="1"/>
  <c r="Q13" i="14" s="1"/>
  <c r="Q12" i="14" a="1"/>
  <c r="Q12" i="14" s="1"/>
  <c r="Q11" i="14" a="1"/>
  <c r="Q11" i="14" s="1"/>
  <c r="Q10" i="14" a="1"/>
  <c r="Q10" i="14" s="1"/>
  <c r="Q9" i="14" a="1"/>
  <c r="Q9" i="14" s="1"/>
  <c r="Q8" i="14" a="1"/>
  <c r="Q8" i="14" s="1"/>
  <c r="Q7" i="14" a="1"/>
  <c r="Q7" i="14" s="1"/>
  <c r="Q6" i="14" a="1"/>
  <c r="Q6" i="14" s="1"/>
  <c r="Q5" i="14" a="1"/>
  <c r="Q5" i="14" s="1"/>
  <c r="Q4" i="14" a="1"/>
  <c r="Q4" i="14" s="1"/>
  <c r="Q3" i="14" a="1"/>
  <c r="Q3" i="14" s="1"/>
  <c r="P104" i="14" a="1"/>
  <c r="P104" i="14" s="1"/>
  <c r="P103" i="14" a="1"/>
  <c r="P103" i="14" s="1"/>
  <c r="P102" i="14" a="1"/>
  <c r="P102" i="14" s="1"/>
  <c r="P101" i="14" a="1"/>
  <c r="P101" i="14" s="1"/>
  <c r="P100" i="14" a="1"/>
  <c r="P100" i="14" s="1"/>
  <c r="P99" i="14" a="1"/>
  <c r="P99" i="14" s="1"/>
  <c r="P98" i="14" a="1"/>
  <c r="P98" i="14" s="1"/>
  <c r="P97" i="14" a="1"/>
  <c r="P97" i="14" s="1"/>
  <c r="P96" i="14" a="1"/>
  <c r="P96" i="14" s="1"/>
  <c r="P95" i="14" a="1"/>
  <c r="P95" i="14" s="1"/>
  <c r="P94" i="14" a="1"/>
  <c r="P94" i="14" s="1"/>
  <c r="P93" i="14" a="1"/>
  <c r="P93" i="14" s="1"/>
  <c r="P92" i="14" a="1"/>
  <c r="P92" i="14" s="1"/>
  <c r="P91" i="14" a="1"/>
  <c r="P91" i="14" s="1"/>
  <c r="P90" i="14" a="1"/>
  <c r="P90" i="14" s="1"/>
  <c r="P89" i="14" a="1"/>
  <c r="P89" i="14" s="1"/>
  <c r="P88" i="14" a="1"/>
  <c r="P88" i="14" s="1"/>
  <c r="P87" i="14" a="1"/>
  <c r="P87" i="14" s="1"/>
  <c r="P86" i="14" a="1"/>
  <c r="P86" i="14" s="1"/>
  <c r="P85" i="14" a="1"/>
  <c r="P85" i="14" s="1"/>
  <c r="P84" i="14" a="1"/>
  <c r="P84" i="14" s="1"/>
  <c r="P83" i="14" a="1"/>
  <c r="P83" i="14" s="1"/>
  <c r="P82" i="14" a="1"/>
  <c r="P82" i="14" s="1"/>
  <c r="P81" i="14" a="1"/>
  <c r="P81" i="14" s="1"/>
  <c r="P80" i="14" a="1"/>
  <c r="P80" i="14" s="1"/>
  <c r="P79" i="14" a="1"/>
  <c r="P79" i="14" s="1"/>
  <c r="P78" i="14" a="1"/>
  <c r="P78" i="14" s="1"/>
  <c r="P77" i="14" a="1"/>
  <c r="P77" i="14" s="1"/>
  <c r="P76" i="14" a="1"/>
  <c r="P76" i="14" s="1"/>
  <c r="P75" i="14" a="1"/>
  <c r="P75" i="14" s="1"/>
  <c r="P74" i="14" a="1"/>
  <c r="P74" i="14" s="1"/>
  <c r="P73" i="14" a="1"/>
  <c r="P73" i="14" s="1"/>
  <c r="P72" i="14" a="1"/>
  <c r="P72" i="14" s="1"/>
  <c r="P71" i="14" a="1"/>
  <c r="P71" i="14" s="1"/>
  <c r="P70" i="14" a="1"/>
  <c r="P70" i="14" s="1"/>
  <c r="P69" i="14" a="1"/>
  <c r="P69" i="14" s="1"/>
  <c r="P68" i="14" a="1"/>
  <c r="P68" i="14" s="1"/>
  <c r="P67" i="14" a="1"/>
  <c r="P67" i="14" s="1"/>
  <c r="P66" i="14" a="1"/>
  <c r="P66" i="14" s="1"/>
  <c r="P65" i="14" a="1"/>
  <c r="P65" i="14" s="1"/>
  <c r="P64" i="14" a="1"/>
  <c r="P64" i="14" s="1"/>
  <c r="P63" i="14" a="1"/>
  <c r="P63" i="14" s="1"/>
  <c r="P62" i="14" a="1"/>
  <c r="P62" i="14" s="1"/>
  <c r="P61" i="14" a="1"/>
  <c r="P61" i="14" s="1"/>
  <c r="P60" i="14" a="1"/>
  <c r="P60" i="14" s="1"/>
  <c r="P59" i="14" a="1"/>
  <c r="P59" i="14" s="1"/>
  <c r="P58" i="14" a="1"/>
  <c r="P58" i="14" s="1"/>
  <c r="P57" i="14" a="1"/>
  <c r="P57" i="14" s="1"/>
  <c r="P56" i="14" a="1"/>
  <c r="P56" i="14" s="1"/>
  <c r="P55" i="14" a="1"/>
  <c r="P55" i="14" s="1"/>
  <c r="P54" i="14" a="1"/>
  <c r="P54" i="14" s="1"/>
  <c r="P53" i="14" a="1"/>
  <c r="P53" i="14" s="1"/>
  <c r="P52" i="14" a="1"/>
  <c r="P52" i="14" s="1"/>
  <c r="P51" i="14" a="1"/>
  <c r="P51" i="14" s="1"/>
  <c r="P50" i="14" a="1"/>
  <c r="P50" i="14" s="1"/>
  <c r="P49" i="14" a="1"/>
  <c r="P49" i="14" s="1"/>
  <c r="P48" i="14" a="1"/>
  <c r="P48" i="14" s="1"/>
  <c r="P47" i="14" a="1"/>
  <c r="P47" i="14" s="1"/>
  <c r="P46" i="14" a="1"/>
  <c r="P46" i="14" s="1"/>
  <c r="P45" i="14" a="1"/>
  <c r="P45" i="14" s="1"/>
  <c r="P44" i="14" a="1"/>
  <c r="P44" i="14" s="1"/>
  <c r="P43" i="14" a="1"/>
  <c r="P43" i="14" s="1"/>
  <c r="P42" i="14" a="1"/>
  <c r="P42" i="14" s="1"/>
  <c r="P41" i="14" a="1"/>
  <c r="P41" i="14" s="1"/>
  <c r="P40" i="14" a="1"/>
  <c r="P40" i="14" s="1"/>
  <c r="P39" i="14" a="1"/>
  <c r="P39" i="14" s="1"/>
  <c r="P38" i="14" a="1"/>
  <c r="P38" i="14" s="1"/>
  <c r="P37" i="14" a="1"/>
  <c r="P37" i="14" s="1"/>
  <c r="P36" i="14" a="1"/>
  <c r="P36" i="14" s="1"/>
  <c r="P35" i="14" a="1"/>
  <c r="P35" i="14" s="1"/>
  <c r="P34" i="14" a="1"/>
  <c r="P34" i="14" s="1"/>
  <c r="P33" i="14" a="1"/>
  <c r="P33" i="14" s="1"/>
  <c r="P32" i="14" a="1"/>
  <c r="P32" i="14" s="1"/>
  <c r="P31" i="14" a="1"/>
  <c r="P31" i="14" s="1"/>
  <c r="P30" i="14" a="1"/>
  <c r="P30" i="14" s="1"/>
  <c r="P29" i="14" a="1"/>
  <c r="P29" i="14" s="1"/>
  <c r="P28" i="14" a="1"/>
  <c r="P28" i="14" s="1"/>
  <c r="P27" i="14" a="1"/>
  <c r="P27" i="14" s="1"/>
  <c r="P26" i="14" a="1"/>
  <c r="P26" i="14" s="1"/>
  <c r="P25" i="14" a="1"/>
  <c r="P25" i="14" s="1"/>
  <c r="P24" i="14" a="1"/>
  <c r="P24" i="14" s="1"/>
  <c r="P23" i="14" a="1"/>
  <c r="P23" i="14" s="1"/>
  <c r="P22" i="14" a="1"/>
  <c r="P22" i="14" s="1"/>
  <c r="P21" i="14" a="1"/>
  <c r="P21" i="14" s="1"/>
  <c r="P20" i="14" a="1"/>
  <c r="P20" i="14" s="1"/>
  <c r="P19" i="14" a="1"/>
  <c r="P19" i="14" s="1"/>
  <c r="P18" i="14" a="1"/>
  <c r="P18" i="14" s="1"/>
  <c r="P17" i="14" a="1"/>
  <c r="P17" i="14" s="1"/>
  <c r="P16" i="14" a="1"/>
  <c r="P16" i="14" s="1"/>
  <c r="P15" i="14" a="1"/>
  <c r="P15" i="14" s="1"/>
  <c r="P14" i="14" a="1"/>
  <c r="P14" i="14" s="1"/>
  <c r="P13" i="14" a="1"/>
  <c r="P13" i="14" s="1"/>
  <c r="P12" i="14" a="1"/>
  <c r="P12" i="14" s="1"/>
  <c r="P11" i="14" a="1"/>
  <c r="P11" i="14" s="1"/>
  <c r="P10" i="14" a="1"/>
  <c r="P10" i="14" s="1"/>
  <c r="P9" i="14" a="1"/>
  <c r="P9" i="14" s="1"/>
  <c r="P8" i="14" a="1"/>
  <c r="P8" i="14" s="1"/>
  <c r="P7" i="14" a="1"/>
  <c r="P7" i="14" s="1"/>
  <c r="P6" i="14" a="1"/>
  <c r="P6" i="14" s="1"/>
  <c r="P5" i="14" a="1"/>
  <c r="P5" i="14" s="1"/>
  <c r="P4" i="14" a="1"/>
  <c r="P4" i="14" s="1"/>
  <c r="P3" i="14" a="1"/>
  <c r="P3" i="14" s="1"/>
  <c r="O104" i="14" a="1"/>
  <c r="O104" i="14" s="1"/>
  <c r="N104" i="14" a="1"/>
  <c r="N104" i="14" s="1"/>
  <c r="O103" i="14" a="1"/>
  <c r="O103" i="14" s="1"/>
  <c r="N103" i="14" a="1"/>
  <c r="N103" i="14" s="1"/>
  <c r="O102" i="14" a="1"/>
  <c r="O102" i="14" s="1"/>
  <c r="N102" i="14" a="1"/>
  <c r="N102" i="14" s="1"/>
  <c r="O101" i="14" a="1"/>
  <c r="O101" i="14" s="1"/>
  <c r="N101" i="14" a="1"/>
  <c r="N101" i="14" s="1"/>
  <c r="O100" i="14" a="1"/>
  <c r="O100" i="14" s="1"/>
  <c r="N100" i="14" a="1"/>
  <c r="N100" i="14" s="1"/>
  <c r="O99" i="14" a="1"/>
  <c r="O99" i="14" s="1"/>
  <c r="N99" i="14" a="1"/>
  <c r="N99" i="14" s="1"/>
  <c r="O98" i="14" a="1"/>
  <c r="O98" i="14" s="1"/>
  <c r="N98" i="14" a="1"/>
  <c r="N98" i="14" s="1"/>
  <c r="O97" i="14" a="1"/>
  <c r="O97" i="14" s="1"/>
  <c r="N97" i="14" a="1"/>
  <c r="N97" i="14" s="1"/>
  <c r="O96" i="14" a="1"/>
  <c r="O96" i="14" s="1"/>
  <c r="N96" i="14" a="1"/>
  <c r="N96" i="14" s="1"/>
  <c r="O95" i="14" a="1"/>
  <c r="O95" i="14" s="1"/>
  <c r="N95" i="14" a="1"/>
  <c r="N95" i="14" s="1"/>
  <c r="O94" i="14" a="1"/>
  <c r="O94" i="14" s="1"/>
  <c r="N94" i="14" a="1"/>
  <c r="N94" i="14" s="1"/>
  <c r="O93" i="14" a="1"/>
  <c r="O93" i="14" s="1"/>
  <c r="N93" i="14" a="1"/>
  <c r="N93" i="14" s="1"/>
  <c r="O92" i="14" a="1"/>
  <c r="O92" i="14" s="1"/>
  <c r="N92" i="14" a="1"/>
  <c r="N92" i="14" s="1"/>
  <c r="O91" i="14" a="1"/>
  <c r="O91" i="14" s="1"/>
  <c r="N91" i="14" a="1"/>
  <c r="N91" i="14" s="1"/>
  <c r="O90" i="14" a="1"/>
  <c r="O90" i="14" s="1"/>
  <c r="N90" i="14" a="1"/>
  <c r="N90" i="14" s="1"/>
  <c r="O89" i="14" a="1"/>
  <c r="O89" i="14" s="1"/>
  <c r="N89" i="14" a="1"/>
  <c r="N89" i="14" s="1"/>
  <c r="O88" i="14" a="1"/>
  <c r="O88" i="14" s="1"/>
  <c r="N88" i="14" a="1"/>
  <c r="N88" i="14" s="1"/>
  <c r="O87" i="14" a="1"/>
  <c r="O87" i="14" s="1"/>
  <c r="N87" i="14" a="1"/>
  <c r="N87" i="14" s="1"/>
  <c r="O86" i="14" a="1"/>
  <c r="O86" i="14" s="1"/>
  <c r="N86" i="14" a="1"/>
  <c r="N86" i="14" s="1"/>
  <c r="O85" i="14" a="1"/>
  <c r="O85" i="14" s="1"/>
  <c r="N85" i="14" a="1"/>
  <c r="N85" i="14" s="1"/>
  <c r="O84" i="14" a="1"/>
  <c r="O84" i="14" s="1"/>
  <c r="N84" i="14" a="1"/>
  <c r="N84" i="14" s="1"/>
  <c r="O83" i="14" a="1"/>
  <c r="O83" i="14" s="1"/>
  <c r="N83" i="14" a="1"/>
  <c r="N83" i="14" s="1"/>
  <c r="O82" i="14" a="1"/>
  <c r="O82" i="14" s="1"/>
  <c r="N82" i="14" a="1"/>
  <c r="N82" i="14" s="1"/>
  <c r="O81" i="14" a="1"/>
  <c r="O81" i="14" s="1"/>
  <c r="N81" i="14" a="1"/>
  <c r="N81" i="14" s="1"/>
  <c r="O80" i="14" a="1"/>
  <c r="O80" i="14" s="1"/>
  <c r="N80" i="14" a="1"/>
  <c r="N80" i="14" s="1"/>
  <c r="O79" i="14" a="1"/>
  <c r="O79" i="14" s="1"/>
  <c r="N79" i="14" a="1"/>
  <c r="N79" i="14" s="1"/>
  <c r="O78" i="14" a="1"/>
  <c r="O78" i="14" s="1"/>
  <c r="N78" i="14" a="1"/>
  <c r="N78" i="14" s="1"/>
  <c r="O77" i="14" a="1"/>
  <c r="O77" i="14" s="1"/>
  <c r="N77" i="14" a="1"/>
  <c r="N77" i="14" s="1"/>
  <c r="O76" i="14" a="1"/>
  <c r="O76" i="14" s="1"/>
  <c r="N76" i="14" a="1"/>
  <c r="N76" i="14" s="1"/>
  <c r="O75" i="14" a="1"/>
  <c r="O75" i="14" s="1"/>
  <c r="N75" i="14" a="1"/>
  <c r="N75" i="14" s="1"/>
  <c r="O74" i="14" a="1"/>
  <c r="O74" i="14" s="1"/>
  <c r="N74" i="14" a="1"/>
  <c r="N74" i="14" s="1"/>
  <c r="O73" i="14" a="1"/>
  <c r="O73" i="14" s="1"/>
  <c r="N73" i="14" a="1"/>
  <c r="N73" i="14" s="1"/>
  <c r="O72" i="14" a="1"/>
  <c r="O72" i="14" s="1"/>
  <c r="N72" i="14" a="1"/>
  <c r="N72" i="14" s="1"/>
  <c r="O71" i="14" a="1"/>
  <c r="O71" i="14" s="1"/>
  <c r="N71" i="14" a="1"/>
  <c r="N71" i="14" s="1"/>
  <c r="O70" i="14" a="1"/>
  <c r="O70" i="14" s="1"/>
  <c r="N70" i="14" a="1"/>
  <c r="N70" i="14" s="1"/>
  <c r="O69" i="14" a="1"/>
  <c r="O69" i="14" s="1"/>
  <c r="N69" i="14" a="1"/>
  <c r="N69" i="14" s="1"/>
  <c r="O68" i="14" a="1"/>
  <c r="O68" i="14" s="1"/>
  <c r="N68" i="14" a="1"/>
  <c r="N68" i="14" s="1"/>
  <c r="O67" i="14" a="1"/>
  <c r="O67" i="14" s="1"/>
  <c r="N67" i="14" a="1"/>
  <c r="N67" i="14" s="1"/>
  <c r="O66" i="14" a="1"/>
  <c r="O66" i="14" s="1"/>
  <c r="N66" i="14" a="1"/>
  <c r="N66" i="14" s="1"/>
  <c r="O65" i="14" a="1"/>
  <c r="O65" i="14" s="1"/>
  <c r="N65" i="14" a="1"/>
  <c r="N65" i="14" s="1"/>
  <c r="O64" i="14" a="1"/>
  <c r="O64" i="14" s="1"/>
  <c r="N64" i="14" a="1"/>
  <c r="N64" i="14" s="1"/>
  <c r="O63" i="14" a="1"/>
  <c r="O63" i="14" s="1"/>
  <c r="N63" i="14" a="1"/>
  <c r="N63" i="14" s="1"/>
  <c r="O62" i="14" a="1"/>
  <c r="O62" i="14" s="1"/>
  <c r="N62" i="14" a="1"/>
  <c r="N62" i="14" s="1"/>
  <c r="O61" i="14" a="1"/>
  <c r="O61" i="14" s="1"/>
  <c r="N61" i="14" a="1"/>
  <c r="N61" i="14" s="1"/>
  <c r="O60" i="14" a="1"/>
  <c r="O60" i="14" s="1"/>
  <c r="N60" i="14" a="1"/>
  <c r="N60" i="14" s="1"/>
  <c r="O59" i="14" a="1"/>
  <c r="O59" i="14" s="1"/>
  <c r="N59" i="14" a="1"/>
  <c r="N59" i="14" s="1"/>
  <c r="O58" i="14" a="1"/>
  <c r="O58" i="14" s="1"/>
  <c r="N58" i="14" a="1"/>
  <c r="N58" i="14" s="1"/>
  <c r="O57" i="14" a="1"/>
  <c r="O57" i="14" s="1"/>
  <c r="N57" i="14" a="1"/>
  <c r="N57" i="14" s="1"/>
  <c r="O56" i="14" a="1"/>
  <c r="O56" i="14" s="1"/>
  <c r="N56" i="14" a="1"/>
  <c r="N56" i="14" s="1"/>
  <c r="O55" i="14" a="1"/>
  <c r="O55" i="14" s="1"/>
  <c r="N55" i="14" a="1"/>
  <c r="N55" i="14" s="1"/>
  <c r="O54" i="14" a="1"/>
  <c r="O54" i="14" s="1"/>
  <c r="N54" i="14" a="1"/>
  <c r="N54" i="14" s="1"/>
  <c r="O53" i="14" a="1"/>
  <c r="O53" i="14" s="1"/>
  <c r="N53" i="14" a="1"/>
  <c r="N53" i="14" s="1"/>
  <c r="O52" i="14" a="1"/>
  <c r="O52" i="14" s="1"/>
  <c r="N52" i="14" a="1"/>
  <c r="N52" i="14" s="1"/>
  <c r="O51" i="14" a="1"/>
  <c r="O51" i="14" s="1"/>
  <c r="N51" i="14" a="1"/>
  <c r="N51" i="14" s="1"/>
  <c r="O50" i="14" a="1"/>
  <c r="O50" i="14" s="1"/>
  <c r="N50" i="14" a="1"/>
  <c r="N50" i="14" s="1"/>
  <c r="O49" i="14" a="1"/>
  <c r="O49" i="14" s="1"/>
  <c r="N49" i="14" a="1"/>
  <c r="N49" i="14" s="1"/>
  <c r="O48" i="14" a="1"/>
  <c r="O48" i="14" s="1"/>
  <c r="N48" i="14" a="1"/>
  <c r="N48" i="14" s="1"/>
  <c r="O47" i="14" a="1"/>
  <c r="O47" i="14" s="1"/>
  <c r="N47" i="14" a="1"/>
  <c r="N47" i="14" s="1"/>
  <c r="O46" i="14" a="1"/>
  <c r="O46" i="14" s="1"/>
  <c r="N46" i="14" a="1"/>
  <c r="N46" i="14" s="1"/>
  <c r="O45" i="14" a="1"/>
  <c r="O45" i="14" s="1"/>
  <c r="N45" i="14" a="1"/>
  <c r="N45" i="14" s="1"/>
  <c r="O44" i="14" a="1"/>
  <c r="O44" i="14" s="1"/>
  <c r="N44" i="14" a="1"/>
  <c r="N44" i="14" s="1"/>
  <c r="O43" i="14" a="1"/>
  <c r="O43" i="14" s="1"/>
  <c r="N43" i="14" a="1"/>
  <c r="N43" i="14" s="1"/>
  <c r="O42" i="14" a="1"/>
  <c r="O42" i="14" s="1"/>
  <c r="N42" i="14" a="1"/>
  <c r="N42" i="14" s="1"/>
  <c r="O41" i="14" a="1"/>
  <c r="O41" i="14" s="1"/>
  <c r="N41" i="14" a="1"/>
  <c r="N41" i="14" s="1"/>
  <c r="O40" i="14" a="1"/>
  <c r="O40" i="14" s="1"/>
  <c r="N40" i="14" a="1"/>
  <c r="N40" i="14" s="1"/>
  <c r="O39" i="14" a="1"/>
  <c r="O39" i="14" s="1"/>
  <c r="N39" i="14" a="1"/>
  <c r="N39" i="14" s="1"/>
  <c r="O38" i="14" a="1"/>
  <c r="O38" i="14" s="1"/>
  <c r="N38" i="14" a="1"/>
  <c r="N38" i="14" s="1"/>
  <c r="O37" i="14" a="1"/>
  <c r="O37" i="14" s="1"/>
  <c r="N37" i="14" a="1"/>
  <c r="N37" i="14" s="1"/>
  <c r="O36" i="14" a="1"/>
  <c r="O36" i="14" s="1"/>
  <c r="N36" i="14" a="1"/>
  <c r="N36" i="14" s="1"/>
  <c r="O35" i="14" a="1"/>
  <c r="O35" i="14" s="1"/>
  <c r="N35" i="14" a="1"/>
  <c r="N35" i="14" s="1"/>
  <c r="O34" i="14" a="1"/>
  <c r="O34" i="14" s="1"/>
  <c r="N34" i="14" a="1"/>
  <c r="N34" i="14" s="1"/>
  <c r="O33" i="14" a="1"/>
  <c r="O33" i="14" s="1"/>
  <c r="N33" i="14" a="1"/>
  <c r="N33" i="14" s="1"/>
  <c r="O32" i="14" a="1"/>
  <c r="O32" i="14" s="1"/>
  <c r="N32" i="14" a="1"/>
  <c r="N32" i="14" s="1"/>
  <c r="O31" i="14" a="1"/>
  <c r="O31" i="14" s="1"/>
  <c r="N31" i="14" a="1"/>
  <c r="N31" i="14" s="1"/>
  <c r="O30" i="14" a="1"/>
  <c r="O30" i="14" s="1"/>
  <c r="N30" i="14" a="1"/>
  <c r="N30" i="14" s="1"/>
  <c r="O29" i="14" a="1"/>
  <c r="O29" i="14" s="1"/>
  <c r="N29" i="14" a="1"/>
  <c r="N29" i="14" s="1"/>
  <c r="O28" i="14" a="1"/>
  <c r="O28" i="14" s="1"/>
  <c r="N28" i="14" a="1"/>
  <c r="N28" i="14" s="1"/>
  <c r="O27" i="14" a="1"/>
  <c r="O27" i="14" s="1"/>
  <c r="N27" i="14" a="1"/>
  <c r="N27" i="14" s="1"/>
  <c r="O26" i="14" a="1"/>
  <c r="O26" i="14" s="1"/>
  <c r="N26" i="14" a="1"/>
  <c r="N26" i="14" s="1"/>
  <c r="O25" i="14" a="1"/>
  <c r="O25" i="14" s="1"/>
  <c r="N25" i="14" a="1"/>
  <c r="N25" i="14" s="1"/>
  <c r="O24" i="14" a="1"/>
  <c r="O24" i="14" s="1"/>
  <c r="N24" i="14" a="1"/>
  <c r="N24" i="14" s="1"/>
  <c r="O23" i="14" a="1"/>
  <c r="O23" i="14" s="1"/>
  <c r="N23" i="14" a="1"/>
  <c r="N23" i="14" s="1"/>
  <c r="O22" i="14" a="1"/>
  <c r="O22" i="14" s="1"/>
  <c r="N22" i="14" a="1"/>
  <c r="N22" i="14" s="1"/>
  <c r="O21" i="14" a="1"/>
  <c r="O21" i="14" s="1"/>
  <c r="N21" i="14" a="1"/>
  <c r="N21" i="14" s="1"/>
  <c r="O20" i="14" a="1"/>
  <c r="O20" i="14" s="1"/>
  <c r="N20" i="14" a="1"/>
  <c r="N20" i="14" s="1"/>
  <c r="O19" i="14" a="1"/>
  <c r="O19" i="14" s="1"/>
  <c r="N19" i="14" a="1"/>
  <c r="N19" i="14" s="1"/>
  <c r="O18" i="14" a="1"/>
  <c r="O18" i="14" s="1"/>
  <c r="N18" i="14" a="1"/>
  <c r="N18" i="14" s="1"/>
  <c r="O17" i="14" a="1"/>
  <c r="O17" i="14" s="1"/>
  <c r="N17" i="14" a="1"/>
  <c r="N17" i="14" s="1"/>
  <c r="O16" i="14" a="1"/>
  <c r="O16" i="14" s="1"/>
  <c r="N16" i="14" a="1"/>
  <c r="N16" i="14" s="1"/>
  <c r="O15" i="14" a="1"/>
  <c r="O15" i="14" s="1"/>
  <c r="N15" i="14" a="1"/>
  <c r="N15" i="14" s="1"/>
  <c r="O14" i="14" a="1"/>
  <c r="O14" i="14" s="1"/>
  <c r="N14" i="14" a="1"/>
  <c r="N14" i="14" s="1"/>
  <c r="O13" i="14" a="1"/>
  <c r="O13" i="14" s="1"/>
  <c r="N13" i="14" a="1"/>
  <c r="N13" i="14" s="1"/>
  <c r="O12" i="14" a="1"/>
  <c r="O12" i="14" s="1"/>
  <c r="N12" i="14" a="1"/>
  <c r="N12" i="14" s="1"/>
  <c r="O11" i="14" a="1"/>
  <c r="O11" i="14" s="1"/>
  <c r="N11" i="14" a="1"/>
  <c r="N11" i="14" s="1"/>
  <c r="O10" i="14" a="1"/>
  <c r="O10" i="14" s="1"/>
  <c r="N10" i="14" a="1"/>
  <c r="N10" i="14" s="1"/>
  <c r="O9" i="14" a="1"/>
  <c r="O9" i="14" s="1"/>
  <c r="N9" i="14" a="1"/>
  <c r="N9" i="14" s="1"/>
  <c r="O8" i="14" a="1"/>
  <c r="O8" i="14" s="1"/>
  <c r="N8" i="14" a="1"/>
  <c r="N8" i="14" s="1"/>
  <c r="O7" i="14" a="1"/>
  <c r="O7" i="14" s="1"/>
  <c r="N7" i="14" a="1"/>
  <c r="N7" i="14" s="1"/>
  <c r="O6" i="14" a="1"/>
  <c r="O6" i="14" s="1"/>
  <c r="N6" i="14" a="1"/>
  <c r="N6" i="14" s="1"/>
  <c r="O5" i="14" a="1"/>
  <c r="O5" i="14" s="1"/>
  <c r="N5" i="14" a="1"/>
  <c r="N5" i="14" s="1"/>
  <c r="O4" i="14" a="1"/>
  <c r="O4" i="14" s="1"/>
  <c r="N4" i="14" a="1"/>
  <c r="N4" i="14" s="1"/>
  <c r="O3" i="14" a="1"/>
  <c r="O3" i="14" s="1"/>
  <c r="N3" i="14" a="1"/>
  <c r="N3" i="14" s="1"/>
  <c r="G12" i="14"/>
  <c r="F25" i="10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2" i="35"/>
  <c r="D4" i="3"/>
  <c r="E4" i="3" s="1"/>
  <c r="D16" i="1" l="1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I103" i="13"/>
  <c r="I102" i="13"/>
  <c r="I101" i="13"/>
  <c r="I100" i="13"/>
  <c r="I99" i="13"/>
  <c r="I98" i="13"/>
  <c r="I97" i="13"/>
  <c r="I96" i="13"/>
  <c r="I95" i="13"/>
  <c r="I94" i="13"/>
  <c r="I93" i="13"/>
  <c r="I92" i="13"/>
  <c r="I91" i="13"/>
  <c r="I90" i="13"/>
  <c r="I89" i="13"/>
  <c r="I88" i="13"/>
  <c r="I87" i="13"/>
  <c r="I86" i="13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I42" i="13"/>
  <c r="I41" i="13"/>
  <c r="I40" i="13"/>
  <c r="I39" i="13"/>
  <c r="I38" i="13"/>
  <c r="I37" i="13"/>
  <c r="I36" i="13"/>
  <c r="I35" i="13"/>
  <c r="I34" i="13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I6" i="13"/>
  <c r="I5" i="13"/>
  <c r="I4" i="13"/>
  <c r="I3" i="13"/>
  <c r="I2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H65" i="13"/>
  <c r="H64" i="13"/>
  <c r="H63" i="13"/>
  <c r="H62" i="13"/>
  <c r="H61" i="13"/>
  <c r="H60" i="13"/>
  <c r="H59" i="13"/>
  <c r="H58" i="13"/>
  <c r="H57" i="13"/>
  <c r="H56" i="13"/>
  <c r="H55" i="13"/>
  <c r="H54" i="13"/>
  <c r="H53" i="13"/>
  <c r="H52" i="13"/>
  <c r="H51" i="13"/>
  <c r="H50" i="13"/>
  <c r="H49" i="13"/>
  <c r="H48" i="13"/>
  <c r="H47" i="13"/>
  <c r="H46" i="13"/>
  <c r="H45" i="13"/>
  <c r="H44" i="13"/>
  <c r="H43" i="13"/>
  <c r="H42" i="13"/>
  <c r="H41" i="13"/>
  <c r="H40" i="13"/>
  <c r="H39" i="13"/>
  <c r="H38" i="13"/>
  <c r="H37" i="13"/>
  <c r="H36" i="13"/>
  <c r="H35" i="13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3" i="13"/>
  <c r="H2" i="13"/>
  <c r="G103" i="13"/>
  <c r="G102" i="13"/>
  <c r="G101" i="13"/>
  <c r="G100" i="13"/>
  <c r="G99" i="13"/>
  <c r="G98" i="13"/>
  <c r="G97" i="13"/>
  <c r="G96" i="13"/>
  <c r="G95" i="13"/>
  <c r="G94" i="13"/>
  <c r="G93" i="13"/>
  <c r="G92" i="13"/>
  <c r="G91" i="13"/>
  <c r="G90" i="13"/>
  <c r="G89" i="13"/>
  <c r="G88" i="13"/>
  <c r="G87" i="13"/>
  <c r="G86" i="13"/>
  <c r="G85" i="13"/>
  <c r="G84" i="13"/>
  <c r="G83" i="13"/>
  <c r="G82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8" i="13"/>
  <c r="G57" i="13"/>
  <c r="G56" i="13"/>
  <c r="G55" i="13"/>
  <c r="G54" i="13"/>
  <c r="G53" i="13"/>
  <c r="G52" i="13"/>
  <c r="G51" i="13"/>
  <c r="G50" i="13"/>
  <c r="G49" i="13"/>
  <c r="G48" i="13"/>
  <c r="G47" i="13"/>
  <c r="G46" i="13"/>
  <c r="G45" i="13"/>
  <c r="G44" i="13"/>
  <c r="G43" i="13"/>
  <c r="G42" i="13"/>
  <c r="G41" i="13"/>
  <c r="G40" i="13"/>
  <c r="G39" i="13"/>
  <c r="G38" i="13"/>
  <c r="G37" i="13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G7" i="13"/>
  <c r="G6" i="13"/>
  <c r="G5" i="13"/>
  <c r="G4" i="13"/>
  <c r="G3" i="13"/>
  <c r="G2" i="13"/>
  <c r="F103" i="13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2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D103" i="13"/>
  <c r="D102" i="13"/>
  <c r="D101" i="13"/>
  <c r="D100" i="13"/>
  <c r="D99" i="13"/>
  <c r="D98" i="13"/>
  <c r="D97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D3" i="13"/>
  <c r="D2" i="13"/>
  <c r="C3" i="13"/>
  <c r="C4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2" i="13"/>
  <c r="P104" i="28"/>
  <c r="O104" i="28"/>
  <c r="P103" i="28" s="1"/>
  <c r="O103" i="28"/>
  <c r="P102" i="28"/>
  <c r="O102" i="28"/>
  <c r="P101" i="28" s="1"/>
  <c r="O101" i="28"/>
  <c r="P100" i="28"/>
  <c r="O100" i="28"/>
  <c r="O99" i="28"/>
  <c r="P98" i="28"/>
  <c r="O98" i="28"/>
  <c r="P99" i="28" s="1"/>
  <c r="P97" i="28"/>
  <c r="O97" i="28"/>
  <c r="P96" i="28"/>
  <c r="O96" i="28"/>
  <c r="O95" i="28"/>
  <c r="P94" i="28"/>
  <c r="O94" i="28"/>
  <c r="P95" i="28" s="1"/>
  <c r="O93" i="28"/>
  <c r="P92" i="28"/>
  <c r="O92" i="28"/>
  <c r="P93" i="28" s="1"/>
  <c r="O91" i="28"/>
  <c r="P90" i="28"/>
  <c r="O90" i="28"/>
  <c r="P91" i="28" s="1"/>
  <c r="P89" i="28"/>
  <c r="O89" i="28"/>
  <c r="P88" i="28"/>
  <c r="O88" i="28"/>
  <c r="O87" i="28"/>
  <c r="P86" i="28"/>
  <c r="O86" i="28"/>
  <c r="P87" i="28" s="1"/>
  <c r="O85" i="28"/>
  <c r="P84" i="28"/>
  <c r="O84" i="28"/>
  <c r="O83" i="28"/>
  <c r="P82" i="28"/>
  <c r="O82" i="28"/>
  <c r="P83" i="28" s="1"/>
  <c r="P81" i="28"/>
  <c r="O81" i="28"/>
  <c r="P80" i="28"/>
  <c r="O80" i="28"/>
  <c r="P79" i="28" s="1"/>
  <c r="O79" i="28"/>
  <c r="P78" i="28"/>
  <c r="O78" i="28"/>
  <c r="P77" i="28" s="1"/>
  <c r="O77" i="28"/>
  <c r="P76" i="28"/>
  <c r="O76" i="28"/>
  <c r="O75" i="28"/>
  <c r="P74" i="28"/>
  <c r="O74" i="28"/>
  <c r="P75" i="28" s="1"/>
  <c r="P73" i="28"/>
  <c r="O73" i="28"/>
  <c r="P72" i="28"/>
  <c r="O72" i="28"/>
  <c r="P71" i="28" s="1"/>
  <c r="O71" i="28"/>
  <c r="P70" i="28"/>
  <c r="O70" i="28"/>
  <c r="P69" i="28" s="1"/>
  <c r="O69" i="28"/>
  <c r="P68" i="28"/>
  <c r="O68" i="28"/>
  <c r="O67" i="28"/>
  <c r="P66" i="28"/>
  <c r="O66" i="28"/>
  <c r="P67" i="28" s="1"/>
  <c r="P65" i="28"/>
  <c r="O65" i="28"/>
  <c r="P64" i="28"/>
  <c r="O64" i="28"/>
  <c r="P63" i="28" s="1"/>
  <c r="O63" i="28"/>
  <c r="P62" i="28"/>
  <c r="O62" i="28"/>
  <c r="P61" i="28" s="1"/>
  <c r="O61" i="28"/>
  <c r="P60" i="28"/>
  <c r="O60" i="28"/>
  <c r="O59" i="28"/>
  <c r="P58" i="28"/>
  <c r="O58" i="28"/>
  <c r="P59" i="28" s="1"/>
  <c r="P57" i="28"/>
  <c r="O57" i="28"/>
  <c r="P56" i="28"/>
  <c r="O56" i="28"/>
  <c r="P55" i="28" s="1"/>
  <c r="O55" i="28"/>
  <c r="P54" i="28"/>
  <c r="O54" i="28"/>
  <c r="P53" i="28" s="1"/>
  <c r="O53" i="28"/>
  <c r="P52" i="28"/>
  <c r="O52" i="28"/>
  <c r="O51" i="28"/>
  <c r="P50" i="28"/>
  <c r="O50" i="28"/>
  <c r="P51" i="28" s="1"/>
  <c r="P49" i="28"/>
  <c r="O49" i="28"/>
  <c r="P48" i="28"/>
  <c r="O48" i="28"/>
  <c r="P47" i="28" s="1"/>
  <c r="O47" i="28"/>
  <c r="P46" i="28"/>
  <c r="O46" i="28"/>
  <c r="P45" i="28" s="1"/>
  <c r="O45" i="28"/>
  <c r="P44" i="28"/>
  <c r="O44" i="28"/>
  <c r="O43" i="28"/>
  <c r="P42" i="28"/>
  <c r="O42" i="28"/>
  <c r="P43" i="28" s="1"/>
  <c r="P41" i="28"/>
  <c r="O41" i="28"/>
  <c r="P40" i="28"/>
  <c r="O40" i="28"/>
  <c r="O39" i="28"/>
  <c r="P38" i="28"/>
  <c r="O38" i="28"/>
  <c r="P39" i="28" s="1"/>
  <c r="O37" i="28"/>
  <c r="P36" i="28"/>
  <c r="O36" i="28"/>
  <c r="O35" i="28"/>
  <c r="P34" i="28"/>
  <c r="O34" i="28"/>
  <c r="P35" i="28" s="1"/>
  <c r="P33" i="28"/>
  <c r="O33" i="28"/>
  <c r="P32" i="28"/>
  <c r="O32" i="28"/>
  <c r="O31" i="28"/>
  <c r="P30" i="28"/>
  <c r="O30" i="28"/>
  <c r="P31" i="28" s="1"/>
  <c r="O29" i="28"/>
  <c r="P28" i="28"/>
  <c r="O28" i="28"/>
  <c r="O27" i="28"/>
  <c r="P26" i="28"/>
  <c r="O26" i="28"/>
  <c r="P27" i="28" s="1"/>
  <c r="P25" i="28"/>
  <c r="O25" i="28"/>
  <c r="P24" i="28"/>
  <c r="O24" i="28"/>
  <c r="P23" i="28"/>
  <c r="O23" i="28"/>
  <c r="P22" i="28"/>
  <c r="O22" i="28"/>
  <c r="P21" i="28" s="1"/>
  <c r="O21" i="28"/>
  <c r="P20" i="28"/>
  <c r="O20" i="28"/>
  <c r="O19" i="28"/>
  <c r="P18" i="28"/>
  <c r="O18" i="28"/>
  <c r="P19" i="28" s="1"/>
  <c r="P17" i="28"/>
  <c r="O17" i="28"/>
  <c r="P16" i="28"/>
  <c r="O16" i="28"/>
  <c r="P15" i="28"/>
  <c r="O15" i="28"/>
  <c r="P14" i="28"/>
  <c r="O14" i="28"/>
  <c r="P13" i="28" s="1"/>
  <c r="O13" i="28"/>
  <c r="P12" i="28"/>
  <c r="O12" i="28"/>
  <c r="O11" i="28"/>
  <c r="P10" i="28"/>
  <c r="O10" i="28"/>
  <c r="P11" i="28" s="1"/>
  <c r="P9" i="28"/>
  <c r="O9" i="28"/>
  <c r="P8" i="28"/>
  <c r="O8" i="28"/>
  <c r="P7" i="28"/>
  <c r="O7" i="28"/>
  <c r="P6" i="28"/>
  <c r="O6" i="28"/>
  <c r="P5" i="28" s="1"/>
  <c r="O5" i="28"/>
  <c r="P4" i="28"/>
  <c r="O4" i="28"/>
  <c r="O3" i="28"/>
  <c r="P2" i="28"/>
  <c r="O2" i="28"/>
  <c r="P3" i="28" s="1"/>
  <c r="P104" i="29"/>
  <c r="O104" i="29"/>
  <c r="O103" i="29"/>
  <c r="P102" i="29"/>
  <c r="O102" i="29"/>
  <c r="P103" i="29" s="1"/>
  <c r="O101" i="29"/>
  <c r="P100" i="29"/>
  <c r="O100" i="29"/>
  <c r="O99" i="29"/>
  <c r="P98" i="29"/>
  <c r="O98" i="29"/>
  <c r="P99" i="29" s="1"/>
  <c r="P97" i="29"/>
  <c r="O97" i="29"/>
  <c r="P96" i="29"/>
  <c r="O96" i="29"/>
  <c r="O95" i="29"/>
  <c r="P94" i="29"/>
  <c r="O94" i="29"/>
  <c r="P95" i="29" s="1"/>
  <c r="O93" i="29"/>
  <c r="P92" i="29"/>
  <c r="O92" i="29"/>
  <c r="P93" i="29" s="1"/>
  <c r="O91" i="29"/>
  <c r="P90" i="29"/>
  <c r="O90" i="29"/>
  <c r="P91" i="29" s="1"/>
  <c r="P89" i="29"/>
  <c r="O89" i="29"/>
  <c r="P88" i="29"/>
  <c r="O88" i="29"/>
  <c r="O87" i="29"/>
  <c r="P86" i="29"/>
  <c r="O86" i="29"/>
  <c r="P87" i="29" s="1"/>
  <c r="O85" i="29"/>
  <c r="P84" i="29"/>
  <c r="O84" i="29"/>
  <c r="P85" i="29" s="1"/>
  <c r="O83" i="29"/>
  <c r="P82" i="29"/>
  <c r="O82" i="29"/>
  <c r="P83" i="29" s="1"/>
  <c r="P81" i="29"/>
  <c r="O81" i="29"/>
  <c r="P80" i="29"/>
  <c r="O80" i="29"/>
  <c r="O79" i="29"/>
  <c r="P78" i="29"/>
  <c r="O78" i="29"/>
  <c r="P79" i="29" s="1"/>
  <c r="O77" i="29"/>
  <c r="P76" i="29"/>
  <c r="O76" i="29"/>
  <c r="P77" i="29" s="1"/>
  <c r="O75" i="29"/>
  <c r="P74" i="29"/>
  <c r="O74" i="29"/>
  <c r="P75" i="29" s="1"/>
  <c r="P73" i="29"/>
  <c r="O73" i="29"/>
  <c r="P72" i="29"/>
  <c r="O72" i="29"/>
  <c r="O71" i="29"/>
  <c r="P70" i="29"/>
  <c r="O70" i="29"/>
  <c r="P71" i="29" s="1"/>
  <c r="O69" i="29"/>
  <c r="P68" i="29"/>
  <c r="O68" i="29"/>
  <c r="P69" i="29" s="1"/>
  <c r="O67" i="29"/>
  <c r="P66" i="29"/>
  <c r="O66" i="29"/>
  <c r="P67" i="29" s="1"/>
  <c r="P65" i="29"/>
  <c r="O65" i="29"/>
  <c r="P64" i="29"/>
  <c r="O64" i="29"/>
  <c r="O63" i="29"/>
  <c r="P62" i="29"/>
  <c r="O62" i="29"/>
  <c r="P63" i="29" s="1"/>
  <c r="O61" i="29"/>
  <c r="P60" i="29"/>
  <c r="O60" i="29"/>
  <c r="P61" i="29" s="1"/>
  <c r="O59" i="29"/>
  <c r="P58" i="29"/>
  <c r="O58" i="29"/>
  <c r="P59" i="29" s="1"/>
  <c r="P57" i="29"/>
  <c r="O57" i="29"/>
  <c r="P56" i="29"/>
  <c r="O56" i="29"/>
  <c r="O55" i="29"/>
  <c r="P54" i="29"/>
  <c r="O54" i="29"/>
  <c r="P55" i="29" s="1"/>
  <c r="O53" i="29"/>
  <c r="P52" i="29"/>
  <c r="O52" i="29"/>
  <c r="P53" i="29" s="1"/>
  <c r="O51" i="29"/>
  <c r="P50" i="29"/>
  <c r="O50" i="29"/>
  <c r="P51" i="29" s="1"/>
  <c r="P49" i="29"/>
  <c r="O49" i="29"/>
  <c r="P48" i="29"/>
  <c r="O48" i="29"/>
  <c r="O47" i="29"/>
  <c r="P46" i="29"/>
  <c r="O46" i="29"/>
  <c r="P47" i="29" s="1"/>
  <c r="O45" i="29"/>
  <c r="P44" i="29"/>
  <c r="O44" i="29"/>
  <c r="P45" i="29" s="1"/>
  <c r="O43" i="29"/>
  <c r="P42" i="29"/>
  <c r="O42" i="29"/>
  <c r="P43" i="29" s="1"/>
  <c r="P41" i="29"/>
  <c r="O41" i="29"/>
  <c r="P40" i="29"/>
  <c r="O40" i="29"/>
  <c r="O39" i="29"/>
  <c r="P38" i="29"/>
  <c r="O38" i="29"/>
  <c r="P39" i="29" s="1"/>
  <c r="O37" i="29"/>
  <c r="P36" i="29"/>
  <c r="O36" i="29"/>
  <c r="P37" i="29" s="1"/>
  <c r="O35" i="29"/>
  <c r="P34" i="29"/>
  <c r="O34" i="29"/>
  <c r="P35" i="29" s="1"/>
  <c r="P33" i="29"/>
  <c r="O33" i="29"/>
  <c r="P32" i="29"/>
  <c r="O32" i="29"/>
  <c r="O31" i="29"/>
  <c r="P30" i="29"/>
  <c r="O30" i="29"/>
  <c r="P31" i="29" s="1"/>
  <c r="O29" i="29"/>
  <c r="P28" i="29"/>
  <c r="O28" i="29"/>
  <c r="P29" i="29" s="1"/>
  <c r="O27" i="29"/>
  <c r="P26" i="29"/>
  <c r="O26" i="29"/>
  <c r="P27" i="29" s="1"/>
  <c r="P25" i="29"/>
  <c r="O25" i="29"/>
  <c r="P24" i="29"/>
  <c r="O24" i="29"/>
  <c r="P23" i="29"/>
  <c r="O23" i="29"/>
  <c r="P22" i="29"/>
  <c r="O22" i="29"/>
  <c r="O21" i="29"/>
  <c r="P20" i="29"/>
  <c r="O20" i="29"/>
  <c r="P21" i="29" s="1"/>
  <c r="O19" i="29"/>
  <c r="P18" i="29"/>
  <c r="O18" i="29"/>
  <c r="P19" i="29" s="1"/>
  <c r="P17" i="29"/>
  <c r="O17" i="29"/>
  <c r="P16" i="29"/>
  <c r="O16" i="29"/>
  <c r="P15" i="29"/>
  <c r="O15" i="29"/>
  <c r="P14" i="29"/>
  <c r="O14" i="29"/>
  <c r="O13" i="29"/>
  <c r="P12" i="29"/>
  <c r="O12" i="29"/>
  <c r="P13" i="29" s="1"/>
  <c r="O11" i="29"/>
  <c r="P10" i="29"/>
  <c r="O10" i="29"/>
  <c r="P11" i="29" s="1"/>
  <c r="P9" i="29"/>
  <c r="O9" i="29"/>
  <c r="P8" i="29"/>
  <c r="O8" i="29"/>
  <c r="P7" i="29"/>
  <c r="O7" i="29"/>
  <c r="P6" i="29"/>
  <c r="O6" i="29"/>
  <c r="O5" i="29"/>
  <c r="P4" i="29"/>
  <c r="O4" i="29"/>
  <c r="P5" i="29" s="1"/>
  <c r="O3" i="29"/>
  <c r="P2" i="29"/>
  <c r="O2" i="29"/>
  <c r="P3" i="29" s="1"/>
  <c r="P104" i="26"/>
  <c r="O104" i="26"/>
  <c r="O103" i="26"/>
  <c r="P102" i="26"/>
  <c r="O102" i="26"/>
  <c r="P103" i="26" s="1"/>
  <c r="O101" i="26"/>
  <c r="P100" i="26"/>
  <c r="O100" i="26"/>
  <c r="O99" i="26"/>
  <c r="P98" i="26"/>
  <c r="O98" i="26"/>
  <c r="P99" i="26" s="1"/>
  <c r="O97" i="26"/>
  <c r="P96" i="26"/>
  <c r="O96" i="26"/>
  <c r="O95" i="26"/>
  <c r="P94" i="26"/>
  <c r="O94" i="26"/>
  <c r="P95" i="26" s="1"/>
  <c r="O93" i="26"/>
  <c r="P92" i="26"/>
  <c r="O92" i="26"/>
  <c r="O91" i="26"/>
  <c r="P90" i="26"/>
  <c r="O90" i="26"/>
  <c r="P91" i="26" s="1"/>
  <c r="P89" i="26"/>
  <c r="O89" i="26"/>
  <c r="P88" i="26"/>
  <c r="O88" i="26"/>
  <c r="P87" i="26"/>
  <c r="O87" i="26"/>
  <c r="P86" i="26"/>
  <c r="O86" i="26"/>
  <c r="P85" i="26" s="1"/>
  <c r="O85" i="26"/>
  <c r="P84" i="26"/>
  <c r="O84" i="26"/>
  <c r="O83" i="26"/>
  <c r="P82" i="26"/>
  <c r="O82" i="26"/>
  <c r="P83" i="26" s="1"/>
  <c r="P81" i="26"/>
  <c r="O81" i="26"/>
  <c r="P80" i="26"/>
  <c r="O80" i="26"/>
  <c r="P79" i="26"/>
  <c r="O79" i="26"/>
  <c r="P78" i="26"/>
  <c r="O78" i="26"/>
  <c r="P77" i="26" s="1"/>
  <c r="O77" i="26"/>
  <c r="P76" i="26"/>
  <c r="O76" i="26"/>
  <c r="O75" i="26"/>
  <c r="P74" i="26"/>
  <c r="O74" i="26"/>
  <c r="P75" i="26" s="1"/>
  <c r="P73" i="26"/>
  <c r="O73" i="26"/>
  <c r="P72" i="26"/>
  <c r="O72" i="26"/>
  <c r="P71" i="26"/>
  <c r="O71" i="26"/>
  <c r="P70" i="26"/>
  <c r="O70" i="26"/>
  <c r="P69" i="26" s="1"/>
  <c r="O69" i="26"/>
  <c r="P68" i="26"/>
  <c r="O68" i="26"/>
  <c r="O67" i="26"/>
  <c r="P66" i="26"/>
  <c r="O66" i="26"/>
  <c r="P67" i="26" s="1"/>
  <c r="P65" i="26"/>
  <c r="O65" i="26"/>
  <c r="P64" i="26"/>
  <c r="O64" i="26"/>
  <c r="P63" i="26"/>
  <c r="O63" i="26"/>
  <c r="P62" i="26"/>
  <c r="O62" i="26"/>
  <c r="P61" i="26" s="1"/>
  <c r="O61" i="26"/>
  <c r="P60" i="26"/>
  <c r="O60" i="26"/>
  <c r="O59" i="26"/>
  <c r="P58" i="26"/>
  <c r="O58" i="26"/>
  <c r="P59" i="26" s="1"/>
  <c r="P57" i="26"/>
  <c r="O57" i="26"/>
  <c r="P56" i="26"/>
  <c r="O56" i="26"/>
  <c r="P55" i="26"/>
  <c r="O55" i="26"/>
  <c r="P54" i="26"/>
  <c r="O54" i="26"/>
  <c r="P53" i="26" s="1"/>
  <c r="O53" i="26"/>
  <c r="P52" i="26"/>
  <c r="O52" i="26"/>
  <c r="O51" i="26"/>
  <c r="P50" i="26"/>
  <c r="O50" i="26"/>
  <c r="P51" i="26" s="1"/>
  <c r="P49" i="26"/>
  <c r="O49" i="26"/>
  <c r="P48" i="26"/>
  <c r="O48" i="26"/>
  <c r="P47" i="26"/>
  <c r="O47" i="26"/>
  <c r="P46" i="26"/>
  <c r="O46" i="26"/>
  <c r="P45" i="26" s="1"/>
  <c r="O45" i="26"/>
  <c r="P44" i="26"/>
  <c r="O44" i="26"/>
  <c r="O43" i="26"/>
  <c r="P42" i="26"/>
  <c r="O42" i="26"/>
  <c r="P43" i="26" s="1"/>
  <c r="P41" i="26"/>
  <c r="O41" i="26"/>
  <c r="P40" i="26"/>
  <c r="O40" i="26"/>
  <c r="P39" i="26"/>
  <c r="O39" i="26"/>
  <c r="P38" i="26"/>
  <c r="O38" i="26"/>
  <c r="P37" i="26" s="1"/>
  <c r="O37" i="26"/>
  <c r="P36" i="26"/>
  <c r="O36" i="26"/>
  <c r="O35" i="26"/>
  <c r="P34" i="26"/>
  <c r="O34" i="26"/>
  <c r="P35" i="26" s="1"/>
  <c r="P33" i="26"/>
  <c r="O33" i="26"/>
  <c r="P32" i="26"/>
  <c r="O32" i="26"/>
  <c r="P31" i="26"/>
  <c r="O31" i="26"/>
  <c r="P30" i="26"/>
  <c r="O30" i="26"/>
  <c r="P29" i="26" s="1"/>
  <c r="O29" i="26"/>
  <c r="P28" i="26"/>
  <c r="O28" i="26"/>
  <c r="O27" i="26"/>
  <c r="P26" i="26"/>
  <c r="O26" i="26"/>
  <c r="P27" i="26" s="1"/>
  <c r="P25" i="26"/>
  <c r="O25" i="26"/>
  <c r="P24" i="26"/>
  <c r="O24" i="26"/>
  <c r="P23" i="26"/>
  <c r="O23" i="26"/>
  <c r="P22" i="26"/>
  <c r="O22" i="26"/>
  <c r="P21" i="26" s="1"/>
  <c r="O21" i="26"/>
  <c r="P20" i="26"/>
  <c r="O20" i="26"/>
  <c r="O19" i="26"/>
  <c r="P18" i="26"/>
  <c r="O18" i="26"/>
  <c r="P19" i="26" s="1"/>
  <c r="P17" i="26"/>
  <c r="O17" i="26"/>
  <c r="P16" i="26"/>
  <c r="O16" i="26"/>
  <c r="P15" i="26"/>
  <c r="O15" i="26"/>
  <c r="P14" i="26"/>
  <c r="O14" i="26"/>
  <c r="P13" i="26" s="1"/>
  <c r="O13" i="26"/>
  <c r="P12" i="26"/>
  <c r="O12" i="26"/>
  <c r="O11" i="26"/>
  <c r="P10" i="26"/>
  <c r="O10" i="26"/>
  <c r="P11" i="26" s="1"/>
  <c r="P9" i="26"/>
  <c r="O9" i="26"/>
  <c r="P8" i="26"/>
  <c r="O8" i="26"/>
  <c r="P7" i="26"/>
  <c r="O7" i="26"/>
  <c r="P6" i="26"/>
  <c r="O6" i="26"/>
  <c r="P5" i="26" s="1"/>
  <c r="O5" i="26"/>
  <c r="P4" i="26"/>
  <c r="O4" i="26"/>
  <c r="O3" i="26"/>
  <c r="P2" i="26"/>
  <c r="O2" i="26"/>
  <c r="P3" i="26" s="1"/>
  <c r="P104" i="27"/>
  <c r="O104" i="27"/>
  <c r="P103" i="27" s="1"/>
  <c r="O103" i="27"/>
  <c r="P102" i="27"/>
  <c r="O102" i="27"/>
  <c r="P101" i="27" s="1"/>
  <c r="O101" i="27"/>
  <c r="P100" i="27"/>
  <c r="O100" i="27"/>
  <c r="O99" i="27"/>
  <c r="P98" i="27"/>
  <c r="O98" i="27"/>
  <c r="P99" i="27" s="1"/>
  <c r="P97" i="27"/>
  <c r="O97" i="27"/>
  <c r="P96" i="27"/>
  <c r="O96" i="27"/>
  <c r="O95" i="27"/>
  <c r="P94" i="27"/>
  <c r="O94" i="27"/>
  <c r="P95" i="27" s="1"/>
  <c r="O93" i="27"/>
  <c r="P92" i="27"/>
  <c r="O92" i="27"/>
  <c r="P93" i="27" s="1"/>
  <c r="O91" i="27"/>
  <c r="P90" i="27"/>
  <c r="O90" i="27"/>
  <c r="P91" i="27" s="1"/>
  <c r="P89" i="27"/>
  <c r="O89" i="27"/>
  <c r="P88" i="27"/>
  <c r="O88" i="27"/>
  <c r="O87" i="27"/>
  <c r="P86" i="27"/>
  <c r="O86" i="27"/>
  <c r="P87" i="27" s="1"/>
  <c r="O85" i="27"/>
  <c r="P84" i="27"/>
  <c r="O84" i="27"/>
  <c r="P85" i="27" s="1"/>
  <c r="O83" i="27"/>
  <c r="P82" i="27"/>
  <c r="O82" i="27"/>
  <c r="P83" i="27" s="1"/>
  <c r="P81" i="27"/>
  <c r="O81" i="27"/>
  <c r="P80" i="27"/>
  <c r="O80" i="27"/>
  <c r="O79" i="27"/>
  <c r="P78" i="27"/>
  <c r="O78" i="27"/>
  <c r="P79" i="27" s="1"/>
  <c r="O77" i="27"/>
  <c r="P76" i="27"/>
  <c r="O76" i="27"/>
  <c r="P77" i="27" s="1"/>
  <c r="O75" i="27"/>
  <c r="P74" i="27"/>
  <c r="O74" i="27"/>
  <c r="P75" i="27" s="1"/>
  <c r="P73" i="27"/>
  <c r="O73" i="27"/>
  <c r="P72" i="27"/>
  <c r="O72" i="27"/>
  <c r="P71" i="27" s="1"/>
  <c r="O71" i="27"/>
  <c r="P70" i="27"/>
  <c r="O70" i="27"/>
  <c r="O69" i="27"/>
  <c r="P68" i="27"/>
  <c r="O68" i="27"/>
  <c r="P69" i="27" s="1"/>
  <c r="O67" i="27"/>
  <c r="P66" i="27"/>
  <c r="O66" i="27"/>
  <c r="P67" i="27" s="1"/>
  <c r="P65" i="27"/>
  <c r="O65" i="27"/>
  <c r="P64" i="27"/>
  <c r="O64" i="27"/>
  <c r="P63" i="27" s="1"/>
  <c r="O63" i="27"/>
  <c r="P62" i="27"/>
  <c r="O62" i="27"/>
  <c r="O61" i="27"/>
  <c r="P60" i="27"/>
  <c r="O60" i="27"/>
  <c r="P61" i="27" s="1"/>
  <c r="O59" i="27"/>
  <c r="P58" i="27"/>
  <c r="O58" i="27"/>
  <c r="P59" i="27" s="1"/>
  <c r="P57" i="27"/>
  <c r="O57" i="27"/>
  <c r="P56" i="27"/>
  <c r="O56" i="27"/>
  <c r="O55" i="27"/>
  <c r="P54" i="27"/>
  <c r="O54" i="27"/>
  <c r="P55" i="27" s="1"/>
  <c r="O53" i="27"/>
  <c r="P52" i="27"/>
  <c r="O52" i="27"/>
  <c r="P53" i="27" s="1"/>
  <c r="O51" i="27"/>
  <c r="P50" i="27"/>
  <c r="O50" i="27"/>
  <c r="P51" i="27" s="1"/>
  <c r="P49" i="27"/>
  <c r="O49" i="27"/>
  <c r="P48" i="27"/>
  <c r="O48" i="27"/>
  <c r="O47" i="27"/>
  <c r="P46" i="27"/>
  <c r="O46" i="27"/>
  <c r="P47" i="27" s="1"/>
  <c r="O45" i="27"/>
  <c r="P44" i="27"/>
  <c r="O44" i="27"/>
  <c r="P45" i="27" s="1"/>
  <c r="O43" i="27"/>
  <c r="P42" i="27"/>
  <c r="O42" i="27"/>
  <c r="P43" i="27" s="1"/>
  <c r="P41" i="27"/>
  <c r="O41" i="27"/>
  <c r="P40" i="27"/>
  <c r="O40" i="27"/>
  <c r="P39" i="27"/>
  <c r="O39" i="27"/>
  <c r="P38" i="27"/>
  <c r="O38" i="27"/>
  <c r="O37" i="27"/>
  <c r="P36" i="27"/>
  <c r="O36" i="27"/>
  <c r="P37" i="27" s="1"/>
  <c r="O35" i="27"/>
  <c r="P34" i="27"/>
  <c r="O34" i="27"/>
  <c r="P35" i="27" s="1"/>
  <c r="P33" i="27"/>
  <c r="O33" i="27"/>
  <c r="P32" i="27"/>
  <c r="O32" i="27"/>
  <c r="P31" i="27"/>
  <c r="O31" i="27"/>
  <c r="P30" i="27"/>
  <c r="O30" i="27"/>
  <c r="O29" i="27"/>
  <c r="P28" i="27"/>
  <c r="O28" i="27"/>
  <c r="P29" i="27" s="1"/>
  <c r="O27" i="27"/>
  <c r="P26" i="27"/>
  <c r="O26" i="27"/>
  <c r="P27" i="27" s="1"/>
  <c r="P25" i="27"/>
  <c r="O25" i="27"/>
  <c r="P24" i="27"/>
  <c r="O24" i="27"/>
  <c r="P23" i="27"/>
  <c r="O23" i="27"/>
  <c r="P22" i="27"/>
  <c r="O22" i="27"/>
  <c r="O21" i="27"/>
  <c r="P20" i="27"/>
  <c r="O20" i="27"/>
  <c r="P21" i="27" s="1"/>
  <c r="O19" i="27"/>
  <c r="P18" i="27"/>
  <c r="O18" i="27"/>
  <c r="P19" i="27" s="1"/>
  <c r="P17" i="27"/>
  <c r="O17" i="27"/>
  <c r="P16" i="27"/>
  <c r="O16" i="27"/>
  <c r="P15" i="27"/>
  <c r="O15" i="27"/>
  <c r="P14" i="27"/>
  <c r="O14" i="27"/>
  <c r="O13" i="27"/>
  <c r="P12" i="27"/>
  <c r="O12" i="27"/>
  <c r="P13" i="27" s="1"/>
  <c r="O11" i="27"/>
  <c r="P10" i="27"/>
  <c r="O10" i="27"/>
  <c r="P11" i="27" s="1"/>
  <c r="P9" i="27"/>
  <c r="O9" i="27"/>
  <c r="P8" i="27"/>
  <c r="O8" i="27"/>
  <c r="P7" i="27"/>
  <c r="O7" i="27"/>
  <c r="P6" i="27"/>
  <c r="O6" i="27"/>
  <c r="O5" i="27"/>
  <c r="P4" i="27"/>
  <c r="O4" i="27"/>
  <c r="P5" i="27" s="1"/>
  <c r="O3" i="27"/>
  <c r="P2" i="27"/>
  <c r="O2" i="27"/>
  <c r="P3" i="27" s="1"/>
  <c r="P104" i="24"/>
  <c r="O104" i="24"/>
  <c r="P103" i="24" s="1"/>
  <c r="O103" i="24"/>
  <c r="P102" i="24"/>
  <c r="O102" i="24"/>
  <c r="P101" i="24" s="1"/>
  <c r="O101" i="24"/>
  <c r="P100" i="24"/>
  <c r="O100" i="24"/>
  <c r="O99" i="24"/>
  <c r="P98" i="24"/>
  <c r="O98" i="24"/>
  <c r="P99" i="24" s="1"/>
  <c r="P97" i="24"/>
  <c r="O97" i="24"/>
  <c r="P96" i="24"/>
  <c r="O96" i="24"/>
  <c r="O95" i="24"/>
  <c r="P94" i="24"/>
  <c r="O94" i="24"/>
  <c r="P95" i="24" s="1"/>
  <c r="O93" i="24"/>
  <c r="P92" i="24"/>
  <c r="O92" i="24"/>
  <c r="O91" i="24"/>
  <c r="P90" i="24"/>
  <c r="O90" i="24"/>
  <c r="P91" i="24" s="1"/>
  <c r="P89" i="24"/>
  <c r="O89" i="24"/>
  <c r="P88" i="24"/>
  <c r="O88" i="24"/>
  <c r="O87" i="24"/>
  <c r="P86" i="24"/>
  <c r="O86" i="24"/>
  <c r="P87" i="24" s="1"/>
  <c r="O85" i="24"/>
  <c r="P84" i="24"/>
  <c r="O84" i="24"/>
  <c r="O83" i="24"/>
  <c r="P82" i="24"/>
  <c r="O82" i="24"/>
  <c r="P83" i="24" s="1"/>
  <c r="P81" i="24"/>
  <c r="O81" i="24"/>
  <c r="P80" i="24"/>
  <c r="O80" i="24"/>
  <c r="O79" i="24"/>
  <c r="P78" i="24"/>
  <c r="O78" i="24"/>
  <c r="P79" i="24" s="1"/>
  <c r="O77" i="24"/>
  <c r="P76" i="24"/>
  <c r="O76" i="24"/>
  <c r="O75" i="24"/>
  <c r="P74" i="24"/>
  <c r="O74" i="24"/>
  <c r="P75" i="24" s="1"/>
  <c r="P73" i="24"/>
  <c r="O73" i="24"/>
  <c r="P72" i="24"/>
  <c r="O72" i="24"/>
  <c r="O71" i="24"/>
  <c r="P70" i="24"/>
  <c r="O70" i="24"/>
  <c r="P71" i="24" s="1"/>
  <c r="O69" i="24"/>
  <c r="P68" i="24"/>
  <c r="O68" i="24"/>
  <c r="O67" i="24"/>
  <c r="P66" i="24"/>
  <c r="O66" i="24"/>
  <c r="P67" i="24" s="1"/>
  <c r="P65" i="24"/>
  <c r="O65" i="24"/>
  <c r="P64" i="24"/>
  <c r="O64" i="24"/>
  <c r="O63" i="24"/>
  <c r="P62" i="24"/>
  <c r="O62" i="24"/>
  <c r="P63" i="24" s="1"/>
  <c r="O61" i="24"/>
  <c r="P60" i="24"/>
  <c r="O60" i="24"/>
  <c r="O59" i="24"/>
  <c r="P58" i="24"/>
  <c r="O58" i="24"/>
  <c r="P59" i="24" s="1"/>
  <c r="P57" i="24"/>
  <c r="O57" i="24"/>
  <c r="P56" i="24"/>
  <c r="O56" i="24"/>
  <c r="O55" i="24"/>
  <c r="P54" i="24"/>
  <c r="O54" i="24"/>
  <c r="P55" i="24" s="1"/>
  <c r="O53" i="24"/>
  <c r="P52" i="24"/>
  <c r="O52" i="24"/>
  <c r="O51" i="24"/>
  <c r="P50" i="24"/>
  <c r="O50" i="24"/>
  <c r="P51" i="24" s="1"/>
  <c r="P49" i="24"/>
  <c r="O49" i="24"/>
  <c r="P48" i="24"/>
  <c r="O48" i="24"/>
  <c r="O47" i="24"/>
  <c r="P46" i="24"/>
  <c r="O46" i="24"/>
  <c r="P47" i="24" s="1"/>
  <c r="O45" i="24"/>
  <c r="P44" i="24"/>
  <c r="O44" i="24"/>
  <c r="O43" i="24"/>
  <c r="P42" i="24"/>
  <c r="O42" i="24"/>
  <c r="P43" i="24" s="1"/>
  <c r="P41" i="24"/>
  <c r="O41" i="24"/>
  <c r="P40" i="24"/>
  <c r="O40" i="24"/>
  <c r="O39" i="24"/>
  <c r="P38" i="24"/>
  <c r="O38" i="24"/>
  <c r="P39" i="24" s="1"/>
  <c r="O37" i="24"/>
  <c r="P36" i="24"/>
  <c r="O36" i="24"/>
  <c r="O35" i="24"/>
  <c r="P34" i="24"/>
  <c r="O34" i="24"/>
  <c r="P35" i="24" s="1"/>
  <c r="P33" i="24"/>
  <c r="O33" i="24"/>
  <c r="P32" i="24"/>
  <c r="O32" i="24"/>
  <c r="O31" i="24"/>
  <c r="P30" i="24"/>
  <c r="O30" i="24"/>
  <c r="P31" i="24" s="1"/>
  <c r="O29" i="24"/>
  <c r="P28" i="24"/>
  <c r="O28" i="24"/>
  <c r="O27" i="24"/>
  <c r="P26" i="24"/>
  <c r="O26" i="24"/>
  <c r="P27" i="24" s="1"/>
  <c r="P25" i="24"/>
  <c r="O25" i="24"/>
  <c r="P24" i="24"/>
  <c r="O24" i="24"/>
  <c r="O23" i="24"/>
  <c r="P22" i="24"/>
  <c r="O22" i="24"/>
  <c r="P23" i="24" s="1"/>
  <c r="O21" i="24"/>
  <c r="P20" i="24"/>
  <c r="O20" i="24"/>
  <c r="O19" i="24"/>
  <c r="P18" i="24"/>
  <c r="O18" i="24"/>
  <c r="P19" i="24" s="1"/>
  <c r="P17" i="24"/>
  <c r="O17" i="24"/>
  <c r="P16" i="24"/>
  <c r="O16" i="24"/>
  <c r="O15" i="24"/>
  <c r="P14" i="24"/>
  <c r="O14" i="24"/>
  <c r="P15" i="24" s="1"/>
  <c r="O13" i="24"/>
  <c r="P12" i="24"/>
  <c r="O12" i="24"/>
  <c r="O11" i="24"/>
  <c r="P10" i="24"/>
  <c r="O10" i="24"/>
  <c r="P11" i="24" s="1"/>
  <c r="P9" i="24"/>
  <c r="O9" i="24"/>
  <c r="P8" i="24"/>
  <c r="O8" i="24"/>
  <c r="O7" i="24"/>
  <c r="P6" i="24"/>
  <c r="O6" i="24"/>
  <c r="P7" i="24" s="1"/>
  <c r="O5" i="24"/>
  <c r="P4" i="24"/>
  <c r="O4" i="24"/>
  <c r="O3" i="24"/>
  <c r="P2" i="24"/>
  <c r="O2" i="24"/>
  <c r="P3" i="24" s="1"/>
  <c r="P104" i="23"/>
  <c r="O104" i="23"/>
  <c r="P103" i="23" s="1"/>
  <c r="O103" i="23"/>
  <c r="P102" i="23"/>
  <c r="O102" i="23"/>
  <c r="P101" i="23" s="1"/>
  <c r="O101" i="23"/>
  <c r="P100" i="23"/>
  <c r="O100" i="23"/>
  <c r="P99" i="23" s="1"/>
  <c r="O99" i="23"/>
  <c r="P98" i="23"/>
  <c r="O98" i="23"/>
  <c r="P97" i="23"/>
  <c r="O97" i="23"/>
  <c r="P96" i="23"/>
  <c r="O96" i="23"/>
  <c r="P95" i="23" s="1"/>
  <c r="O95" i="23"/>
  <c r="P94" i="23"/>
  <c r="O94" i="23"/>
  <c r="P93" i="23" s="1"/>
  <c r="O93" i="23"/>
  <c r="P92" i="23"/>
  <c r="O92" i="23"/>
  <c r="P91" i="23" s="1"/>
  <c r="O91" i="23"/>
  <c r="P90" i="23"/>
  <c r="O90" i="23"/>
  <c r="P89" i="23"/>
  <c r="O89" i="23"/>
  <c r="P88" i="23"/>
  <c r="O88" i="23"/>
  <c r="P87" i="23" s="1"/>
  <c r="O87" i="23"/>
  <c r="P86" i="23"/>
  <c r="O86" i="23"/>
  <c r="P85" i="23" s="1"/>
  <c r="O85" i="23"/>
  <c r="P84" i="23"/>
  <c r="O84" i="23"/>
  <c r="P83" i="23" s="1"/>
  <c r="O83" i="23"/>
  <c r="P82" i="23"/>
  <c r="O82" i="23"/>
  <c r="P81" i="23"/>
  <c r="O81" i="23"/>
  <c r="P80" i="23"/>
  <c r="O80" i="23"/>
  <c r="P79" i="23" s="1"/>
  <c r="O79" i="23"/>
  <c r="P78" i="23"/>
  <c r="O78" i="23"/>
  <c r="P77" i="23" s="1"/>
  <c r="O77" i="23"/>
  <c r="P76" i="23"/>
  <c r="O76" i="23"/>
  <c r="O75" i="23"/>
  <c r="P74" i="23"/>
  <c r="O74" i="23"/>
  <c r="P75" i="23" s="1"/>
  <c r="P73" i="23"/>
  <c r="O73" i="23"/>
  <c r="P72" i="23"/>
  <c r="O72" i="23"/>
  <c r="P71" i="23" s="1"/>
  <c r="O71" i="23"/>
  <c r="P70" i="23"/>
  <c r="O70" i="23"/>
  <c r="P69" i="23" s="1"/>
  <c r="O69" i="23"/>
  <c r="P68" i="23"/>
  <c r="O68" i="23"/>
  <c r="P67" i="23" s="1"/>
  <c r="O67" i="23"/>
  <c r="P66" i="23"/>
  <c r="O66" i="23"/>
  <c r="P65" i="23"/>
  <c r="O65" i="23"/>
  <c r="P64" i="23"/>
  <c r="O64" i="23"/>
  <c r="P63" i="23" s="1"/>
  <c r="O63" i="23"/>
  <c r="P62" i="23"/>
  <c r="O62" i="23"/>
  <c r="P61" i="23" s="1"/>
  <c r="O61" i="23"/>
  <c r="P60" i="23"/>
  <c r="O60" i="23"/>
  <c r="P59" i="23" s="1"/>
  <c r="O59" i="23"/>
  <c r="P58" i="23"/>
  <c r="O58" i="23"/>
  <c r="P57" i="23"/>
  <c r="O57" i="23"/>
  <c r="P56" i="23"/>
  <c r="O56" i="23"/>
  <c r="P55" i="23" s="1"/>
  <c r="O55" i="23"/>
  <c r="P54" i="23"/>
  <c r="O54" i="23"/>
  <c r="P53" i="23" s="1"/>
  <c r="O53" i="23"/>
  <c r="P52" i="23"/>
  <c r="O52" i="23"/>
  <c r="O51" i="23"/>
  <c r="P50" i="23"/>
  <c r="O50" i="23"/>
  <c r="P51" i="23" s="1"/>
  <c r="P49" i="23"/>
  <c r="O49" i="23"/>
  <c r="P48" i="23"/>
  <c r="O48" i="23"/>
  <c r="P47" i="23" s="1"/>
  <c r="O47" i="23"/>
  <c r="P46" i="23"/>
  <c r="O46" i="23"/>
  <c r="P45" i="23" s="1"/>
  <c r="O45" i="23"/>
  <c r="P44" i="23"/>
  <c r="O44" i="23"/>
  <c r="O43" i="23"/>
  <c r="P42" i="23"/>
  <c r="O42" i="23"/>
  <c r="P43" i="23" s="1"/>
  <c r="P41" i="23"/>
  <c r="O41" i="23"/>
  <c r="P40" i="23"/>
  <c r="O40" i="23"/>
  <c r="P39" i="23" s="1"/>
  <c r="O39" i="23"/>
  <c r="P38" i="23"/>
  <c r="O38" i="23"/>
  <c r="P37" i="23" s="1"/>
  <c r="O37" i="23"/>
  <c r="P36" i="23"/>
  <c r="O36" i="23"/>
  <c r="O35" i="23"/>
  <c r="P34" i="23"/>
  <c r="O34" i="23"/>
  <c r="P35" i="23" s="1"/>
  <c r="P33" i="23"/>
  <c r="O33" i="23"/>
  <c r="P32" i="23"/>
  <c r="O32" i="23"/>
  <c r="P31" i="23" s="1"/>
  <c r="O31" i="23"/>
  <c r="P30" i="23"/>
  <c r="O30" i="23"/>
  <c r="P29" i="23" s="1"/>
  <c r="O29" i="23"/>
  <c r="P28" i="23"/>
  <c r="O28" i="23"/>
  <c r="O27" i="23"/>
  <c r="P26" i="23"/>
  <c r="O26" i="23"/>
  <c r="P27" i="23" s="1"/>
  <c r="P25" i="23"/>
  <c r="O25" i="23"/>
  <c r="P24" i="23"/>
  <c r="O24" i="23"/>
  <c r="P23" i="23" s="1"/>
  <c r="O23" i="23"/>
  <c r="P22" i="23"/>
  <c r="O22" i="23"/>
  <c r="P21" i="23" s="1"/>
  <c r="O21" i="23"/>
  <c r="P20" i="23"/>
  <c r="O20" i="23"/>
  <c r="O19" i="23"/>
  <c r="P18" i="23"/>
  <c r="O18" i="23"/>
  <c r="P19" i="23" s="1"/>
  <c r="O17" i="23"/>
  <c r="P16" i="23"/>
  <c r="O16" i="23"/>
  <c r="P15" i="23" s="1"/>
  <c r="O15" i="23"/>
  <c r="P14" i="23"/>
  <c r="O14" i="23"/>
  <c r="P13" i="23" s="1"/>
  <c r="O13" i="23"/>
  <c r="P12" i="23"/>
  <c r="O12" i="23"/>
  <c r="O11" i="23"/>
  <c r="P10" i="23"/>
  <c r="O10" i="23"/>
  <c r="P11" i="23" s="1"/>
  <c r="O9" i="23"/>
  <c r="P8" i="23"/>
  <c r="O8" i="23"/>
  <c r="P7" i="23" s="1"/>
  <c r="O7" i="23"/>
  <c r="P6" i="23"/>
  <c r="O6" i="23"/>
  <c r="P5" i="23" s="1"/>
  <c r="O5" i="23"/>
  <c r="P4" i="23"/>
  <c r="O4" i="23"/>
  <c r="O3" i="23"/>
  <c r="P2" i="23"/>
  <c r="O2" i="23"/>
  <c r="P3" i="23" s="1"/>
  <c r="P104" i="32"/>
  <c r="O104" i="32"/>
  <c r="P103" i="32" s="1"/>
  <c r="O103" i="32"/>
  <c r="P102" i="32"/>
  <c r="O102" i="32"/>
  <c r="P101" i="32" s="1"/>
  <c r="O101" i="32"/>
  <c r="P100" i="32"/>
  <c r="O100" i="32"/>
  <c r="O99" i="32"/>
  <c r="P98" i="32"/>
  <c r="O98" i="32"/>
  <c r="P99" i="32" s="1"/>
  <c r="P97" i="32"/>
  <c r="O97" i="32"/>
  <c r="P96" i="32"/>
  <c r="O96" i="32"/>
  <c r="O95" i="32"/>
  <c r="P94" i="32"/>
  <c r="O94" i="32"/>
  <c r="P95" i="32" s="1"/>
  <c r="O93" i="32"/>
  <c r="P92" i="32"/>
  <c r="O92" i="32"/>
  <c r="O91" i="32"/>
  <c r="P90" i="32"/>
  <c r="O90" i="32"/>
  <c r="P91" i="32" s="1"/>
  <c r="P89" i="32"/>
  <c r="O89" i="32"/>
  <c r="P88" i="32"/>
  <c r="O88" i="32"/>
  <c r="O87" i="32"/>
  <c r="P86" i="32"/>
  <c r="O86" i="32"/>
  <c r="P87" i="32" s="1"/>
  <c r="O85" i="32"/>
  <c r="P84" i="32"/>
  <c r="O84" i="32"/>
  <c r="O83" i="32"/>
  <c r="P82" i="32"/>
  <c r="O82" i="32"/>
  <c r="P83" i="32" s="1"/>
  <c r="P81" i="32"/>
  <c r="O81" i="32"/>
  <c r="P80" i="32"/>
  <c r="O80" i="32"/>
  <c r="O79" i="32"/>
  <c r="P78" i="32"/>
  <c r="O78" i="32"/>
  <c r="P79" i="32" s="1"/>
  <c r="O77" i="32"/>
  <c r="P76" i="32"/>
  <c r="O76" i="32"/>
  <c r="O75" i="32"/>
  <c r="P74" i="32"/>
  <c r="O74" i="32"/>
  <c r="P75" i="32" s="1"/>
  <c r="P73" i="32"/>
  <c r="O73" i="32"/>
  <c r="P72" i="32"/>
  <c r="O72" i="32"/>
  <c r="O71" i="32"/>
  <c r="P70" i="32"/>
  <c r="O70" i="32"/>
  <c r="P71" i="32" s="1"/>
  <c r="O69" i="32"/>
  <c r="P68" i="32"/>
  <c r="O68" i="32"/>
  <c r="O67" i="32"/>
  <c r="P66" i="32"/>
  <c r="O66" i="32"/>
  <c r="P67" i="32" s="1"/>
  <c r="P65" i="32"/>
  <c r="O65" i="32"/>
  <c r="P64" i="32"/>
  <c r="O64" i="32"/>
  <c r="O63" i="32"/>
  <c r="P62" i="32"/>
  <c r="O62" i="32"/>
  <c r="P63" i="32" s="1"/>
  <c r="O61" i="32"/>
  <c r="P60" i="32"/>
  <c r="O60" i="32"/>
  <c r="O59" i="32"/>
  <c r="P58" i="32"/>
  <c r="O58" i="32"/>
  <c r="P59" i="32" s="1"/>
  <c r="P57" i="32"/>
  <c r="O57" i="32"/>
  <c r="P56" i="32"/>
  <c r="O56" i="32"/>
  <c r="O55" i="32"/>
  <c r="P54" i="32"/>
  <c r="O54" i="32"/>
  <c r="P55" i="32" s="1"/>
  <c r="O53" i="32"/>
  <c r="P52" i="32"/>
  <c r="O52" i="32"/>
  <c r="O51" i="32"/>
  <c r="P50" i="32"/>
  <c r="O50" i="32"/>
  <c r="P51" i="32" s="1"/>
  <c r="P49" i="32"/>
  <c r="O49" i="32"/>
  <c r="P48" i="32"/>
  <c r="O48" i="32"/>
  <c r="O47" i="32"/>
  <c r="P46" i="32"/>
  <c r="O46" i="32"/>
  <c r="P47" i="32" s="1"/>
  <c r="O45" i="32"/>
  <c r="P44" i="32"/>
  <c r="O44" i="32"/>
  <c r="O43" i="32"/>
  <c r="P42" i="32"/>
  <c r="O42" i="32"/>
  <c r="P43" i="32" s="1"/>
  <c r="P41" i="32"/>
  <c r="O41" i="32"/>
  <c r="P40" i="32"/>
  <c r="O40" i="32"/>
  <c r="O39" i="32"/>
  <c r="P38" i="32"/>
  <c r="O38" i="32"/>
  <c r="P39" i="32" s="1"/>
  <c r="O37" i="32"/>
  <c r="P36" i="32"/>
  <c r="O36" i="32"/>
  <c r="P37" i="32" s="1"/>
  <c r="O35" i="32"/>
  <c r="P34" i="32"/>
  <c r="O34" i="32"/>
  <c r="P35" i="32" s="1"/>
  <c r="P33" i="32"/>
  <c r="O33" i="32"/>
  <c r="P32" i="32"/>
  <c r="O32" i="32"/>
  <c r="O31" i="32"/>
  <c r="P30" i="32"/>
  <c r="O30" i="32"/>
  <c r="P31" i="32" s="1"/>
  <c r="O29" i="32"/>
  <c r="P28" i="32"/>
  <c r="O28" i="32"/>
  <c r="P29" i="32" s="1"/>
  <c r="O27" i="32"/>
  <c r="P26" i="32"/>
  <c r="O26" i="32"/>
  <c r="P27" i="32" s="1"/>
  <c r="P25" i="32"/>
  <c r="O25" i="32"/>
  <c r="P24" i="32"/>
  <c r="O24" i="32"/>
  <c r="O23" i="32"/>
  <c r="P22" i="32"/>
  <c r="O22" i="32"/>
  <c r="P23" i="32" s="1"/>
  <c r="O21" i="32"/>
  <c r="P20" i="32"/>
  <c r="O20" i="32"/>
  <c r="P21" i="32" s="1"/>
  <c r="O19" i="32"/>
  <c r="P18" i="32"/>
  <c r="O18" i="32"/>
  <c r="P19" i="32" s="1"/>
  <c r="P17" i="32"/>
  <c r="O17" i="32"/>
  <c r="P16" i="32"/>
  <c r="O16" i="32"/>
  <c r="O15" i="32"/>
  <c r="P14" i="32"/>
  <c r="O14" i="32"/>
  <c r="P15" i="32" s="1"/>
  <c r="O13" i="32"/>
  <c r="P12" i="32"/>
  <c r="O12" i="32"/>
  <c r="P13" i="32" s="1"/>
  <c r="O11" i="32"/>
  <c r="P10" i="32"/>
  <c r="O10" i="32"/>
  <c r="P11" i="32" s="1"/>
  <c r="P9" i="32"/>
  <c r="O9" i="32"/>
  <c r="P8" i="32"/>
  <c r="O8" i="32"/>
  <c r="O7" i="32"/>
  <c r="P6" i="32"/>
  <c r="O6" i="32"/>
  <c r="P7" i="32" s="1"/>
  <c r="O5" i="32"/>
  <c r="P4" i="32"/>
  <c r="O4" i="32"/>
  <c r="P5" i="32" s="1"/>
  <c r="O3" i="32"/>
  <c r="P2" i="32"/>
  <c r="O2" i="32"/>
  <c r="P3" i="32" s="1"/>
  <c r="P104" i="31"/>
  <c r="O104" i="31"/>
  <c r="O103" i="31"/>
  <c r="P102" i="31"/>
  <c r="O102" i="31"/>
  <c r="P103" i="31" s="1"/>
  <c r="O101" i="31"/>
  <c r="P100" i="31"/>
  <c r="O100" i="31"/>
  <c r="P101" i="31" s="1"/>
  <c r="O99" i="31"/>
  <c r="P98" i="31"/>
  <c r="O98" i="31"/>
  <c r="P99" i="31" s="1"/>
  <c r="P97" i="31"/>
  <c r="O97" i="31"/>
  <c r="P96" i="31"/>
  <c r="O96" i="31"/>
  <c r="O95" i="31"/>
  <c r="P94" i="31"/>
  <c r="O94" i="31"/>
  <c r="P95" i="31" s="1"/>
  <c r="O93" i="31"/>
  <c r="P92" i="31"/>
  <c r="O92" i="31"/>
  <c r="P93" i="31" s="1"/>
  <c r="O91" i="31"/>
  <c r="P90" i="31"/>
  <c r="O90" i="31"/>
  <c r="P91" i="31" s="1"/>
  <c r="P89" i="31"/>
  <c r="O89" i="31"/>
  <c r="P88" i="31"/>
  <c r="O88" i="31"/>
  <c r="P87" i="31"/>
  <c r="O87" i="31"/>
  <c r="P86" i="31"/>
  <c r="O86" i="31"/>
  <c r="O85" i="31"/>
  <c r="P84" i="31"/>
  <c r="O84" i="31"/>
  <c r="P85" i="31" s="1"/>
  <c r="O83" i="31"/>
  <c r="P82" i="31"/>
  <c r="O82" i="31"/>
  <c r="P83" i="31" s="1"/>
  <c r="P81" i="31"/>
  <c r="O81" i="31"/>
  <c r="P80" i="31"/>
  <c r="O80" i="31"/>
  <c r="O79" i="31"/>
  <c r="P78" i="31"/>
  <c r="O78" i="31"/>
  <c r="P79" i="31" s="1"/>
  <c r="O77" i="31"/>
  <c r="P76" i="31"/>
  <c r="O76" i="31"/>
  <c r="P77" i="31" s="1"/>
  <c r="O75" i="31"/>
  <c r="P74" i="31"/>
  <c r="O74" i="31"/>
  <c r="P75" i="31" s="1"/>
  <c r="P73" i="31"/>
  <c r="O73" i="31"/>
  <c r="P72" i="31"/>
  <c r="O72" i="31"/>
  <c r="O71" i="31"/>
  <c r="P70" i="31"/>
  <c r="O70" i="31"/>
  <c r="P71" i="31" s="1"/>
  <c r="O69" i="31"/>
  <c r="P68" i="31"/>
  <c r="O68" i="31"/>
  <c r="P69" i="31" s="1"/>
  <c r="O67" i="31"/>
  <c r="P66" i="31"/>
  <c r="O66" i="31"/>
  <c r="P67" i="31" s="1"/>
  <c r="P65" i="31"/>
  <c r="O65" i="31"/>
  <c r="P64" i="31"/>
  <c r="O64" i="31"/>
  <c r="O63" i="31"/>
  <c r="P62" i="31"/>
  <c r="O62" i="31"/>
  <c r="P63" i="31" s="1"/>
  <c r="O61" i="31"/>
  <c r="P60" i="31"/>
  <c r="O60" i="31"/>
  <c r="P61" i="31" s="1"/>
  <c r="O59" i="31"/>
  <c r="P58" i="31"/>
  <c r="O58" i="31"/>
  <c r="P59" i="31" s="1"/>
  <c r="P57" i="31"/>
  <c r="O57" i="31"/>
  <c r="P56" i="31"/>
  <c r="O56" i="31"/>
  <c r="O55" i="31"/>
  <c r="P54" i="31"/>
  <c r="O54" i="31"/>
  <c r="P55" i="31" s="1"/>
  <c r="O53" i="31"/>
  <c r="P52" i="31"/>
  <c r="O52" i="31"/>
  <c r="P53" i="31" s="1"/>
  <c r="O51" i="31"/>
  <c r="P50" i="31"/>
  <c r="O50" i="31"/>
  <c r="P51" i="31" s="1"/>
  <c r="P49" i="31"/>
  <c r="O49" i="31"/>
  <c r="P48" i="31"/>
  <c r="O48" i="31"/>
  <c r="O47" i="31"/>
  <c r="P46" i="31"/>
  <c r="O46" i="31"/>
  <c r="P47" i="31" s="1"/>
  <c r="O45" i="31"/>
  <c r="P44" i="31"/>
  <c r="O44" i="31"/>
  <c r="P45" i="31" s="1"/>
  <c r="O43" i="31"/>
  <c r="P42" i="31"/>
  <c r="O42" i="31"/>
  <c r="P43" i="31" s="1"/>
  <c r="P41" i="31"/>
  <c r="O41" i="31"/>
  <c r="P40" i="31"/>
  <c r="O40" i="31"/>
  <c r="O39" i="31"/>
  <c r="P38" i="31"/>
  <c r="O38" i="31"/>
  <c r="P39" i="31" s="1"/>
  <c r="O37" i="31"/>
  <c r="P36" i="31"/>
  <c r="O36" i="31"/>
  <c r="P37" i="31" s="1"/>
  <c r="O35" i="31"/>
  <c r="P34" i="31"/>
  <c r="O34" i="31"/>
  <c r="P35" i="31" s="1"/>
  <c r="P33" i="31"/>
  <c r="O33" i="31"/>
  <c r="P32" i="31"/>
  <c r="O32" i="31"/>
  <c r="O31" i="31"/>
  <c r="P30" i="31"/>
  <c r="O30" i="31"/>
  <c r="P31" i="31" s="1"/>
  <c r="O29" i="31"/>
  <c r="P28" i="31"/>
  <c r="O28" i="31"/>
  <c r="P29" i="31" s="1"/>
  <c r="O27" i="31"/>
  <c r="P26" i="31"/>
  <c r="O26" i="31"/>
  <c r="P27" i="31" s="1"/>
  <c r="P25" i="31"/>
  <c r="O25" i="31"/>
  <c r="P24" i="31"/>
  <c r="O24" i="31"/>
  <c r="O23" i="31"/>
  <c r="P22" i="31"/>
  <c r="O22" i="31"/>
  <c r="P23" i="31" s="1"/>
  <c r="O21" i="31"/>
  <c r="P20" i="31"/>
  <c r="O20" i="31"/>
  <c r="P21" i="31" s="1"/>
  <c r="O19" i="31"/>
  <c r="P18" i="31"/>
  <c r="O18" i="31"/>
  <c r="P19" i="31" s="1"/>
  <c r="P17" i="31"/>
  <c r="O17" i="31"/>
  <c r="P16" i="31"/>
  <c r="O16" i="31"/>
  <c r="O15" i="31"/>
  <c r="P14" i="31"/>
  <c r="O14" i="31"/>
  <c r="P15" i="31" s="1"/>
  <c r="O13" i="31"/>
  <c r="P12" i="31"/>
  <c r="O12" i="31"/>
  <c r="P13" i="31" s="1"/>
  <c r="O11" i="31"/>
  <c r="P10" i="31"/>
  <c r="O10" i="31"/>
  <c r="P11" i="31" s="1"/>
  <c r="P9" i="31"/>
  <c r="O9" i="31"/>
  <c r="P8" i="31"/>
  <c r="O8" i="31"/>
  <c r="O7" i="31"/>
  <c r="P6" i="31"/>
  <c r="O6" i="31"/>
  <c r="P7" i="31" s="1"/>
  <c r="O5" i="31"/>
  <c r="P4" i="31"/>
  <c r="O4" i="31"/>
  <c r="P5" i="31" s="1"/>
  <c r="O3" i="31"/>
  <c r="P2" i="31"/>
  <c r="O2" i="31"/>
  <c r="P3" i="31" s="1"/>
  <c r="P2" i="30"/>
  <c r="O2" i="30"/>
  <c r="P104" i="30"/>
  <c r="O104" i="30"/>
  <c r="P103" i="30" s="1"/>
  <c r="O103" i="30"/>
  <c r="P102" i="30"/>
  <c r="O102" i="30"/>
  <c r="O101" i="30"/>
  <c r="P100" i="30"/>
  <c r="O100" i="30"/>
  <c r="P101" i="30" s="1"/>
  <c r="O99" i="30"/>
  <c r="P98" i="30"/>
  <c r="O98" i="30"/>
  <c r="P99" i="30" s="1"/>
  <c r="P97" i="30"/>
  <c r="O97" i="30"/>
  <c r="P96" i="30"/>
  <c r="O96" i="30"/>
  <c r="P95" i="30" s="1"/>
  <c r="O95" i="30"/>
  <c r="P94" i="30"/>
  <c r="O94" i="30"/>
  <c r="O93" i="30"/>
  <c r="P92" i="30"/>
  <c r="O92" i="30"/>
  <c r="P93" i="30" s="1"/>
  <c r="O91" i="30"/>
  <c r="P90" i="30"/>
  <c r="O90" i="30"/>
  <c r="P91" i="30" s="1"/>
  <c r="P89" i="30"/>
  <c r="O89" i="30"/>
  <c r="P88" i="30"/>
  <c r="O88" i="30"/>
  <c r="P87" i="30" s="1"/>
  <c r="O87" i="30"/>
  <c r="P86" i="30"/>
  <c r="O86" i="30"/>
  <c r="O85" i="30"/>
  <c r="P84" i="30"/>
  <c r="O84" i="30"/>
  <c r="P85" i="30" s="1"/>
  <c r="O83" i="30"/>
  <c r="P82" i="30"/>
  <c r="O82" i="30"/>
  <c r="P83" i="30" s="1"/>
  <c r="P81" i="30"/>
  <c r="O81" i="30"/>
  <c r="P80" i="30"/>
  <c r="O80" i="30"/>
  <c r="P79" i="30" s="1"/>
  <c r="O79" i="30"/>
  <c r="P78" i="30"/>
  <c r="O78" i="30"/>
  <c r="O77" i="30"/>
  <c r="P76" i="30"/>
  <c r="O76" i="30"/>
  <c r="P77" i="30" s="1"/>
  <c r="O75" i="30"/>
  <c r="P74" i="30"/>
  <c r="O74" i="30"/>
  <c r="P75" i="30" s="1"/>
  <c r="P73" i="30"/>
  <c r="O73" i="30"/>
  <c r="P72" i="30"/>
  <c r="O72" i="30"/>
  <c r="P71" i="30" s="1"/>
  <c r="O71" i="30"/>
  <c r="P70" i="30"/>
  <c r="O70" i="30"/>
  <c r="O69" i="30"/>
  <c r="P68" i="30"/>
  <c r="O68" i="30"/>
  <c r="P69" i="30" s="1"/>
  <c r="O67" i="30"/>
  <c r="P66" i="30"/>
  <c r="O66" i="30"/>
  <c r="P67" i="30" s="1"/>
  <c r="P65" i="30"/>
  <c r="O65" i="30"/>
  <c r="P64" i="30"/>
  <c r="O64" i="30"/>
  <c r="P63" i="30" s="1"/>
  <c r="O63" i="30"/>
  <c r="P62" i="30"/>
  <c r="O62" i="30"/>
  <c r="O61" i="30"/>
  <c r="P60" i="30"/>
  <c r="O60" i="30"/>
  <c r="P61" i="30" s="1"/>
  <c r="O59" i="30"/>
  <c r="P58" i="30"/>
  <c r="O58" i="30"/>
  <c r="P59" i="30" s="1"/>
  <c r="P57" i="30"/>
  <c r="O57" i="30"/>
  <c r="P56" i="30"/>
  <c r="O56" i="30"/>
  <c r="P55" i="30" s="1"/>
  <c r="O55" i="30"/>
  <c r="P54" i="30"/>
  <c r="O54" i="30"/>
  <c r="O53" i="30"/>
  <c r="P52" i="30"/>
  <c r="O52" i="30"/>
  <c r="P53" i="30" s="1"/>
  <c r="O51" i="30"/>
  <c r="P50" i="30"/>
  <c r="O50" i="30"/>
  <c r="P51" i="30" s="1"/>
  <c r="P49" i="30"/>
  <c r="O49" i="30"/>
  <c r="P48" i="30"/>
  <c r="O48" i="30"/>
  <c r="P47" i="30" s="1"/>
  <c r="O47" i="30"/>
  <c r="P46" i="30"/>
  <c r="O46" i="30"/>
  <c r="O45" i="30"/>
  <c r="P44" i="30"/>
  <c r="O44" i="30"/>
  <c r="P45" i="30" s="1"/>
  <c r="O43" i="30"/>
  <c r="P42" i="30"/>
  <c r="O42" i="30"/>
  <c r="P43" i="30" s="1"/>
  <c r="P41" i="30"/>
  <c r="O41" i="30"/>
  <c r="P40" i="30"/>
  <c r="O40" i="30"/>
  <c r="P39" i="30" s="1"/>
  <c r="O39" i="30"/>
  <c r="P38" i="30"/>
  <c r="O38" i="30"/>
  <c r="O37" i="30"/>
  <c r="P36" i="30"/>
  <c r="O36" i="30"/>
  <c r="P37" i="30" s="1"/>
  <c r="O35" i="30"/>
  <c r="P34" i="30"/>
  <c r="O34" i="30"/>
  <c r="P35" i="30" s="1"/>
  <c r="P33" i="30"/>
  <c r="O33" i="30"/>
  <c r="P32" i="30"/>
  <c r="O32" i="30"/>
  <c r="P31" i="30" s="1"/>
  <c r="O31" i="30"/>
  <c r="P30" i="30"/>
  <c r="O30" i="30"/>
  <c r="O29" i="30"/>
  <c r="P28" i="30"/>
  <c r="O28" i="30"/>
  <c r="P29" i="30" s="1"/>
  <c r="O27" i="30"/>
  <c r="P26" i="30"/>
  <c r="O26" i="30"/>
  <c r="P27" i="30" s="1"/>
  <c r="P25" i="30"/>
  <c r="O25" i="30"/>
  <c r="P24" i="30"/>
  <c r="O24" i="30"/>
  <c r="P23" i="30" s="1"/>
  <c r="O23" i="30"/>
  <c r="P22" i="30"/>
  <c r="O22" i="30"/>
  <c r="O21" i="30"/>
  <c r="P20" i="30"/>
  <c r="O20" i="30"/>
  <c r="P21" i="30" s="1"/>
  <c r="O19" i="30"/>
  <c r="P18" i="30"/>
  <c r="O18" i="30"/>
  <c r="P19" i="30" s="1"/>
  <c r="P17" i="30"/>
  <c r="O17" i="30"/>
  <c r="P16" i="30"/>
  <c r="O16" i="30"/>
  <c r="P15" i="30" s="1"/>
  <c r="O15" i="30"/>
  <c r="P14" i="30"/>
  <c r="O14" i="30"/>
  <c r="O13" i="30"/>
  <c r="P12" i="30"/>
  <c r="O12" i="30"/>
  <c r="P13" i="30" s="1"/>
  <c r="O11" i="30"/>
  <c r="P10" i="30"/>
  <c r="O10" i="30"/>
  <c r="P11" i="30" s="1"/>
  <c r="P9" i="30"/>
  <c r="O9" i="30"/>
  <c r="P8" i="30"/>
  <c r="O8" i="30"/>
  <c r="P7" i="30" s="1"/>
  <c r="O7" i="30"/>
  <c r="P6" i="30"/>
  <c r="O6" i="30"/>
  <c r="O5" i="30"/>
  <c r="P4" i="30"/>
  <c r="O4" i="30"/>
  <c r="P5" i="30" s="1"/>
  <c r="O3" i="30"/>
  <c r="P3" i="30"/>
  <c r="P29" i="28" l="1"/>
  <c r="P37" i="28"/>
  <c r="P85" i="28"/>
  <c r="P101" i="29"/>
  <c r="P97" i="26"/>
  <c r="P93" i="26"/>
  <c r="P101" i="26"/>
  <c r="P5" i="24"/>
  <c r="P13" i="24"/>
  <c r="P21" i="24"/>
  <c r="P29" i="24"/>
  <c r="P37" i="24"/>
  <c r="P45" i="24"/>
  <c r="P53" i="24"/>
  <c r="P61" i="24"/>
  <c r="P69" i="24"/>
  <c r="P77" i="24"/>
  <c r="P85" i="24"/>
  <c r="P93" i="24"/>
  <c r="P17" i="23"/>
  <c r="P9" i="23"/>
  <c r="P45" i="32"/>
  <c r="P53" i="32"/>
  <c r="P61" i="32"/>
  <c r="P69" i="32"/>
  <c r="P77" i="32"/>
  <c r="P85" i="32"/>
  <c r="P93" i="32"/>
  <c r="D3" i="41"/>
  <c r="C3" i="41"/>
  <c r="J3" i="14" a="1"/>
  <c r="J3" i="14" s="1"/>
  <c r="C14" i="41"/>
  <c r="D14" i="41"/>
  <c r="C15" i="41"/>
  <c r="D15" i="41"/>
  <c r="B15" i="41"/>
  <c r="B14" i="41"/>
  <c r="C4" i="41"/>
  <c r="C5" i="41"/>
  <c r="C6" i="41"/>
  <c r="C7" i="41"/>
  <c r="C8" i="41"/>
  <c r="C9" i="41"/>
  <c r="C10" i="41"/>
  <c r="C11" i="41"/>
  <c r="C12" i="41"/>
  <c r="C13" i="41"/>
  <c r="D40" i="1"/>
  <c r="D38" i="1"/>
  <c r="B3" i="41"/>
  <c r="B4" i="41"/>
  <c r="D4" i="41"/>
  <c r="B5" i="41"/>
  <c r="D5" i="41"/>
  <c r="B6" i="41"/>
  <c r="D6" i="41"/>
  <c r="B7" i="41"/>
  <c r="D7" i="41"/>
  <c r="B8" i="41"/>
  <c r="D8" i="41"/>
  <c r="B9" i="41"/>
  <c r="D9" i="41"/>
  <c r="B10" i="41"/>
  <c r="D10" i="41"/>
  <c r="B11" i="41"/>
  <c r="D11" i="41"/>
  <c r="B12" i="41"/>
  <c r="D12" i="41"/>
  <c r="B13" i="41"/>
  <c r="D13" i="41"/>
  <c r="D57" i="1"/>
  <c r="D61" i="1" l="1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I34" i="30"/>
  <c r="I35" i="30"/>
  <c r="I36" i="30"/>
  <c r="I37" i="30"/>
  <c r="I38" i="30"/>
  <c r="I39" i="30"/>
  <c r="H4" i="31"/>
  <c r="H16" i="30"/>
  <c r="H17" i="30"/>
  <c r="H18" i="30"/>
  <c r="H19" i="30"/>
  <c r="H20" i="30"/>
  <c r="G16" i="30"/>
  <c r="G17" i="30"/>
  <c r="G18" i="30"/>
  <c r="G19" i="30"/>
  <c r="G20" i="30"/>
  <c r="F19" i="30"/>
  <c r="F18" i="30" s="1"/>
  <c r="F17" i="30" s="1"/>
  <c r="F16" i="30" s="1"/>
  <c r="F20" i="30"/>
  <c r="H28" i="30"/>
  <c r="H27" i="30"/>
  <c r="H26" i="30"/>
  <c r="H25" i="30"/>
  <c r="H24" i="30"/>
  <c r="H23" i="30"/>
  <c r="H22" i="30"/>
  <c r="H21" i="30"/>
  <c r="G28" i="30"/>
  <c r="G27" i="30"/>
  <c r="G26" i="30"/>
  <c r="G25" i="30"/>
  <c r="G24" i="30"/>
  <c r="G23" i="30"/>
  <c r="G22" i="30"/>
  <c r="G21" i="30"/>
  <c r="D48" i="1"/>
  <c r="D46" i="1"/>
  <c r="B4" i="3"/>
  <c r="W4" i="3" l="1"/>
  <c r="I4" i="3"/>
  <c r="B5" i="3"/>
  <c r="X4" i="3"/>
  <c r="T4" i="3"/>
  <c r="S4" i="3"/>
  <c r="S5" i="3" l="1"/>
  <c r="C5" i="3"/>
  <c r="X5" i="3"/>
  <c r="T5" i="3"/>
  <c r="D5" i="3" l="1"/>
  <c r="U4" i="3"/>
  <c r="V4" i="3"/>
  <c r="U5" i="3" l="1"/>
  <c r="B6" i="3"/>
  <c r="V5" i="3"/>
  <c r="V6" i="3" l="1"/>
  <c r="B7" i="3"/>
  <c r="U6" i="3"/>
  <c r="X6" i="3"/>
  <c r="T6" i="3"/>
  <c r="S6" i="3"/>
  <c r="C6" i="3"/>
  <c r="W5" i="3"/>
  <c r="D6" i="3" l="1"/>
  <c r="S7" i="3"/>
  <c r="X7" i="3"/>
  <c r="T7" i="3"/>
  <c r="V7" i="3"/>
  <c r="U7" i="3"/>
  <c r="B8" i="3"/>
  <c r="C7" i="3"/>
  <c r="W6" i="3"/>
  <c r="S8" i="3" l="1"/>
  <c r="X8" i="3"/>
  <c r="D7" i="3"/>
  <c r="T8" i="3"/>
  <c r="U8" i="3"/>
  <c r="B9" i="3"/>
  <c r="W7" i="3"/>
  <c r="C8" i="3"/>
  <c r="V8" i="3"/>
  <c r="D8" i="3" l="1"/>
  <c r="B10" i="3"/>
  <c r="X9" i="3"/>
  <c r="C9" i="3"/>
  <c r="V9" i="3"/>
  <c r="U9" i="3"/>
  <c r="S9" i="3"/>
  <c r="T9" i="3"/>
  <c r="W8" i="3"/>
  <c r="T10" i="3" l="1"/>
  <c r="D9" i="3"/>
  <c r="B11" i="3"/>
  <c r="T11" i="3" s="1"/>
  <c r="V10" i="3"/>
  <c r="X10" i="3"/>
  <c r="U10" i="3"/>
  <c r="S10" i="3"/>
  <c r="W9" i="3"/>
  <c r="C10" i="3"/>
  <c r="B12" i="3" l="1"/>
  <c r="U12" i="3" s="1"/>
  <c r="V11" i="3"/>
  <c r="X11" i="3"/>
  <c r="S11" i="3"/>
  <c r="C11" i="3"/>
  <c r="U11" i="3"/>
  <c r="D10" i="3"/>
  <c r="W10" i="3"/>
  <c r="T12" i="3"/>
  <c r="S12" i="3" l="1"/>
  <c r="X12" i="3"/>
  <c r="C12" i="3"/>
  <c r="B13" i="3"/>
  <c r="V13" i="3" s="1"/>
  <c r="V12" i="3"/>
  <c r="W11" i="3"/>
  <c r="D11" i="3"/>
  <c r="T13" i="3"/>
  <c r="S13" i="3"/>
  <c r="U13" i="3"/>
  <c r="W12" i="3"/>
  <c r="B14" i="3"/>
  <c r="C13" i="3" l="1"/>
  <c r="D12" i="3"/>
  <c r="D13" i="3" s="1"/>
  <c r="W13" i="3"/>
  <c r="T14" i="3"/>
  <c r="S14" i="3"/>
  <c r="V14" i="3"/>
  <c r="U14" i="3"/>
  <c r="B15" i="3"/>
  <c r="C14" i="3"/>
  <c r="D14" i="3" l="1"/>
  <c r="T15" i="3"/>
  <c r="S15" i="3"/>
  <c r="V15" i="3"/>
  <c r="U15" i="3"/>
  <c r="W14" i="3"/>
  <c r="C15" i="3"/>
  <c r="B16" i="3"/>
  <c r="D15" i="3" l="1"/>
  <c r="W15" i="3"/>
  <c r="T16" i="3"/>
  <c r="S16" i="3"/>
  <c r="V16" i="3"/>
  <c r="U16" i="3"/>
  <c r="B17" i="3"/>
  <c r="C16" i="3"/>
  <c r="D16" i="3" l="1"/>
  <c r="T17" i="3"/>
  <c r="S17" i="3"/>
  <c r="W16" i="3"/>
  <c r="V17" i="3"/>
  <c r="U17" i="3"/>
  <c r="C17" i="3"/>
  <c r="B18" i="3"/>
  <c r="K18" i="3" l="1"/>
  <c r="D17" i="3"/>
  <c r="T18" i="3"/>
  <c r="S18" i="3"/>
  <c r="V18" i="3"/>
  <c r="U18" i="3"/>
  <c r="W17" i="3"/>
  <c r="B19" i="3"/>
  <c r="C18" i="3"/>
  <c r="D18" i="3" l="1"/>
  <c r="W18" i="3"/>
  <c r="T19" i="3"/>
  <c r="S19" i="3"/>
  <c r="V19" i="3"/>
  <c r="U19" i="3"/>
  <c r="C19" i="3"/>
  <c r="B20" i="3"/>
  <c r="D19" i="3" l="1"/>
  <c r="W19" i="3"/>
  <c r="T20" i="3"/>
  <c r="S20" i="3"/>
  <c r="V20" i="3"/>
  <c r="U20" i="3"/>
  <c r="B21" i="3"/>
  <c r="C20" i="3"/>
  <c r="D20" i="3" l="1"/>
  <c r="W20" i="3"/>
  <c r="T21" i="3"/>
  <c r="S21" i="3"/>
  <c r="U21" i="3"/>
  <c r="V21" i="3"/>
  <c r="C21" i="3"/>
  <c r="B22" i="3"/>
  <c r="D21" i="3" l="1"/>
  <c r="T22" i="3"/>
  <c r="S22" i="3"/>
  <c r="U22" i="3"/>
  <c r="V22" i="3"/>
  <c r="W21" i="3"/>
  <c r="B23" i="3"/>
  <c r="C22" i="3"/>
  <c r="D22" i="3" l="1"/>
  <c r="W22" i="3"/>
  <c r="T23" i="3"/>
  <c r="S23" i="3"/>
  <c r="U23" i="3"/>
  <c r="V23" i="3"/>
  <c r="C23" i="3"/>
  <c r="B24" i="3"/>
  <c r="D23" i="3" l="1"/>
  <c r="W23" i="3"/>
  <c r="T24" i="3"/>
  <c r="S24" i="3"/>
  <c r="U24" i="3"/>
  <c r="V24" i="3"/>
  <c r="B25" i="3"/>
  <c r="C24" i="3"/>
  <c r="D24" i="3" l="1"/>
  <c r="W24" i="3"/>
  <c r="T25" i="3"/>
  <c r="S25" i="3"/>
  <c r="U25" i="3"/>
  <c r="V25" i="3"/>
  <c r="C25" i="3"/>
  <c r="B26" i="3"/>
  <c r="D25" i="3" l="1"/>
  <c r="T26" i="3"/>
  <c r="S26" i="3"/>
  <c r="W25" i="3"/>
  <c r="U26" i="3"/>
  <c r="V26" i="3"/>
  <c r="B27" i="3"/>
  <c r="C26" i="3"/>
  <c r="D26" i="3" l="1"/>
  <c r="T27" i="3"/>
  <c r="S27" i="3"/>
  <c r="W26" i="3"/>
  <c r="U27" i="3"/>
  <c r="V27" i="3"/>
  <c r="C27" i="3"/>
  <c r="B28" i="3"/>
  <c r="K28" i="3" l="1"/>
  <c r="D27" i="3"/>
  <c r="T28" i="3"/>
  <c r="S28" i="3"/>
  <c r="U28" i="3"/>
  <c r="V28" i="3"/>
  <c r="W27" i="3"/>
  <c r="B29" i="3"/>
  <c r="C28" i="3"/>
  <c r="K29" i="3" l="1"/>
  <c r="D28" i="3"/>
  <c r="T29" i="3"/>
  <c r="S29" i="3"/>
  <c r="V29" i="3"/>
  <c r="U29" i="3"/>
  <c r="W28" i="3"/>
  <c r="C29" i="3"/>
  <c r="B30" i="3"/>
  <c r="K30" i="3" l="1"/>
  <c r="D29" i="3"/>
  <c r="W29" i="3"/>
  <c r="T30" i="3"/>
  <c r="S30" i="3"/>
  <c r="V30" i="3"/>
  <c r="U30" i="3"/>
  <c r="B31" i="3"/>
  <c r="C30" i="3"/>
  <c r="K31" i="3" l="1"/>
  <c r="D30" i="3"/>
  <c r="W30" i="3"/>
  <c r="T31" i="3"/>
  <c r="S31" i="3"/>
  <c r="V31" i="3"/>
  <c r="U31" i="3"/>
  <c r="C31" i="3"/>
  <c r="B32" i="3"/>
  <c r="K32" i="3" l="1"/>
  <c r="D31" i="3"/>
  <c r="W31" i="3"/>
  <c r="T32" i="3"/>
  <c r="S32" i="3"/>
  <c r="V32" i="3"/>
  <c r="U32" i="3"/>
  <c r="B33" i="3"/>
  <c r="C32" i="3"/>
  <c r="K33" i="3" l="1"/>
  <c r="D32" i="3"/>
  <c r="T33" i="3"/>
  <c r="S33" i="3"/>
  <c r="W32" i="3"/>
  <c r="V33" i="3"/>
  <c r="U33" i="3"/>
  <c r="C33" i="3"/>
  <c r="B34" i="3"/>
  <c r="K34" i="3" l="1"/>
  <c r="D33" i="3"/>
  <c r="W33" i="3"/>
  <c r="T34" i="3"/>
  <c r="S34" i="3"/>
  <c r="V34" i="3"/>
  <c r="U34" i="3"/>
  <c r="B35" i="3"/>
  <c r="C34" i="3"/>
  <c r="K35" i="3" l="1"/>
  <c r="D34" i="3"/>
  <c r="W34" i="3"/>
  <c r="T35" i="3"/>
  <c r="S35" i="3"/>
  <c r="V35" i="3"/>
  <c r="U35" i="3"/>
  <c r="B36" i="3"/>
  <c r="C35" i="3"/>
  <c r="K36" i="3" l="1"/>
  <c r="D35" i="3"/>
  <c r="W35" i="3"/>
  <c r="T36" i="3"/>
  <c r="S36" i="3"/>
  <c r="V36" i="3"/>
  <c r="U36" i="3"/>
  <c r="C36" i="3"/>
  <c r="B37" i="3"/>
  <c r="K37" i="3" l="1"/>
  <c r="D36" i="3"/>
  <c r="T37" i="3"/>
  <c r="S37" i="3"/>
  <c r="U37" i="3"/>
  <c r="V37" i="3"/>
  <c r="W36" i="3"/>
  <c r="B38" i="3"/>
  <c r="C37" i="3"/>
  <c r="K38" i="3" l="1"/>
  <c r="D37" i="3"/>
  <c r="W37" i="3"/>
  <c r="T38" i="3"/>
  <c r="S38" i="3"/>
  <c r="U38" i="3"/>
  <c r="V38" i="3"/>
  <c r="C38" i="3"/>
  <c r="B39" i="3"/>
  <c r="K39" i="3" l="1"/>
  <c r="D38" i="3"/>
  <c r="T39" i="3"/>
  <c r="S39" i="3"/>
  <c r="U39" i="3"/>
  <c r="V39" i="3"/>
  <c r="W38" i="3"/>
  <c r="B40" i="3"/>
  <c r="C39" i="3"/>
  <c r="K40" i="3" l="1"/>
  <c r="D39" i="3"/>
  <c r="W39" i="3"/>
  <c r="T40" i="3"/>
  <c r="S40" i="3"/>
  <c r="U40" i="3"/>
  <c r="V40" i="3"/>
  <c r="C40" i="3"/>
  <c r="B41" i="3"/>
  <c r="K41" i="3" l="1"/>
  <c r="D40" i="3"/>
  <c r="W40" i="3"/>
  <c r="T41" i="3"/>
  <c r="S41" i="3"/>
  <c r="U41" i="3"/>
  <c r="V41" i="3"/>
  <c r="B42" i="3"/>
  <c r="C41" i="3"/>
  <c r="K42" i="3" l="1"/>
  <c r="D41" i="3"/>
  <c r="T42" i="3"/>
  <c r="S42" i="3"/>
  <c r="U42" i="3"/>
  <c r="V42" i="3"/>
  <c r="W41" i="3"/>
  <c r="C42" i="3"/>
  <c r="B43" i="3"/>
  <c r="K43" i="3" l="1"/>
  <c r="D42" i="3"/>
  <c r="T43" i="3"/>
  <c r="S43" i="3"/>
  <c r="U43" i="3"/>
  <c r="V43" i="3"/>
  <c r="W42" i="3"/>
  <c r="B44" i="3"/>
  <c r="C43" i="3"/>
  <c r="K44" i="3" l="1"/>
  <c r="D43" i="3"/>
  <c r="X44" i="3"/>
  <c r="T44" i="3"/>
  <c r="S44" i="3"/>
  <c r="U44" i="3"/>
  <c r="V44" i="3"/>
  <c r="W43" i="3"/>
  <c r="C44" i="3"/>
  <c r="R44" i="3" s="1"/>
  <c r="B45" i="3"/>
  <c r="K45" i="3" l="1"/>
  <c r="D44" i="3"/>
  <c r="X45" i="3"/>
  <c r="T45" i="3"/>
  <c r="S45" i="3"/>
  <c r="V45" i="3"/>
  <c r="U45" i="3"/>
  <c r="W44" i="3"/>
  <c r="B46" i="3"/>
  <c r="C45" i="3"/>
  <c r="R45" i="3" s="1"/>
  <c r="K46" i="3" l="1"/>
  <c r="D45" i="3"/>
  <c r="X46" i="3"/>
  <c r="T46" i="3"/>
  <c r="S46" i="3"/>
  <c r="V46" i="3"/>
  <c r="U46" i="3"/>
  <c r="W45" i="3"/>
  <c r="C46" i="3"/>
  <c r="R46" i="3" s="1"/>
  <c r="B47" i="3"/>
  <c r="K47" i="3" l="1"/>
  <c r="D46" i="3"/>
  <c r="X47" i="3"/>
  <c r="T47" i="3"/>
  <c r="S47" i="3"/>
  <c r="V47" i="3"/>
  <c r="U47" i="3"/>
  <c r="W46" i="3"/>
  <c r="B48" i="3"/>
  <c r="C47" i="3"/>
  <c r="R47" i="3" s="1"/>
  <c r="K48" i="3" l="1"/>
  <c r="D47" i="3"/>
  <c r="W47" i="3"/>
  <c r="X48" i="3"/>
  <c r="T48" i="3"/>
  <c r="S48" i="3"/>
  <c r="V48" i="3"/>
  <c r="U48" i="3"/>
  <c r="C48" i="3"/>
  <c r="R48" i="3" s="1"/>
  <c r="B49" i="3"/>
  <c r="R49" i="3" s="1"/>
  <c r="K49" i="3" l="1"/>
  <c r="D48" i="3"/>
  <c r="X49" i="3"/>
  <c r="T49" i="3"/>
  <c r="S49" i="3"/>
  <c r="V49" i="3"/>
  <c r="U49" i="3"/>
  <c r="W48" i="3"/>
  <c r="B50" i="3"/>
  <c r="R50" i="3" s="1"/>
  <c r="C49" i="3"/>
  <c r="K50" i="3" l="1"/>
  <c r="D49" i="3"/>
  <c r="W49" i="3"/>
  <c r="X50" i="3"/>
  <c r="T50" i="3"/>
  <c r="S50" i="3"/>
  <c r="V50" i="3"/>
  <c r="U50" i="3"/>
  <c r="C50" i="3"/>
  <c r="B51" i="3"/>
  <c r="R51" i="3" s="1"/>
  <c r="K51" i="3" l="1"/>
  <c r="D50" i="3"/>
  <c r="W50" i="3"/>
  <c r="X51" i="3"/>
  <c r="T51" i="3"/>
  <c r="S51" i="3"/>
  <c r="V51" i="3"/>
  <c r="U51" i="3"/>
  <c r="B52" i="3"/>
  <c r="R52" i="3" s="1"/>
  <c r="C51" i="3"/>
  <c r="K52" i="3" l="1"/>
  <c r="D51" i="3"/>
  <c r="X52" i="3"/>
  <c r="T52" i="3"/>
  <c r="S52" i="3"/>
  <c r="V52" i="3"/>
  <c r="U52" i="3"/>
  <c r="W51" i="3"/>
  <c r="C52" i="3"/>
  <c r="B53" i="3"/>
  <c r="R53" i="3" s="1"/>
  <c r="K53" i="3" l="1"/>
  <c r="D52" i="3"/>
  <c r="W52" i="3"/>
  <c r="X53" i="3"/>
  <c r="T53" i="3"/>
  <c r="S53" i="3"/>
  <c r="U53" i="3"/>
  <c r="V53" i="3"/>
  <c r="B54" i="3"/>
  <c r="R54" i="3" s="1"/>
  <c r="C53" i="3"/>
  <c r="K54" i="3" l="1"/>
  <c r="D53" i="3"/>
  <c r="W53" i="3"/>
  <c r="X54" i="3"/>
  <c r="T54" i="3"/>
  <c r="S54" i="3"/>
  <c r="U54" i="3"/>
  <c r="V54" i="3"/>
  <c r="C54" i="3"/>
  <c r="B55" i="3"/>
  <c r="R55" i="3" s="1"/>
  <c r="K55" i="3" l="1"/>
  <c r="D54" i="3"/>
  <c r="W54" i="3"/>
  <c r="X55" i="3"/>
  <c r="T55" i="3"/>
  <c r="S55" i="3"/>
  <c r="U55" i="3"/>
  <c r="V55" i="3"/>
  <c r="B56" i="3"/>
  <c r="R56" i="3" s="1"/>
  <c r="C55" i="3"/>
  <c r="K56" i="3" l="1"/>
  <c r="D55" i="3"/>
  <c r="W55" i="3"/>
  <c r="X56" i="3"/>
  <c r="T56" i="3"/>
  <c r="S56" i="3"/>
  <c r="U56" i="3"/>
  <c r="V56" i="3"/>
  <c r="C56" i="3"/>
  <c r="B57" i="3"/>
  <c r="R57" i="3" s="1"/>
  <c r="K57" i="3" l="1"/>
  <c r="D56" i="3"/>
  <c r="X57" i="3"/>
  <c r="T57" i="3"/>
  <c r="S57" i="3"/>
  <c r="U57" i="3"/>
  <c r="V57" i="3"/>
  <c r="W56" i="3"/>
  <c r="B58" i="3"/>
  <c r="R58" i="3" s="1"/>
  <c r="C57" i="3"/>
  <c r="K58" i="3" l="1"/>
  <c r="D57" i="3"/>
  <c r="X58" i="3"/>
  <c r="T58" i="3"/>
  <c r="S58" i="3"/>
  <c r="W57" i="3"/>
  <c r="U58" i="3"/>
  <c r="V58" i="3"/>
  <c r="C58" i="3"/>
  <c r="B59" i="3"/>
  <c r="R59" i="3" s="1"/>
  <c r="K59" i="3" l="1"/>
  <c r="D58" i="3"/>
  <c r="X59" i="3"/>
  <c r="T59" i="3"/>
  <c r="S59" i="3"/>
  <c r="U59" i="3"/>
  <c r="V59" i="3"/>
  <c r="W58" i="3"/>
  <c r="B60" i="3"/>
  <c r="R60" i="3" s="1"/>
  <c r="C59" i="3"/>
  <c r="D59" i="3" l="1"/>
  <c r="K60" i="3"/>
  <c r="X60" i="3"/>
  <c r="T60" i="3"/>
  <c r="S60" i="3"/>
  <c r="U60" i="3"/>
  <c r="V60" i="3"/>
  <c r="W59" i="3"/>
  <c r="B61" i="3"/>
  <c r="R61" i="3" s="1"/>
  <c r="C60" i="3"/>
  <c r="K61" i="3" l="1"/>
  <c r="D60" i="3"/>
  <c r="W60" i="3"/>
  <c r="X61" i="3"/>
  <c r="T61" i="3"/>
  <c r="S61" i="3"/>
  <c r="V61" i="3"/>
  <c r="U61" i="3"/>
  <c r="B62" i="3"/>
  <c r="R62" i="3" s="1"/>
  <c r="C61" i="3"/>
  <c r="K62" i="3" l="1"/>
  <c r="D61" i="3"/>
  <c r="X62" i="3"/>
  <c r="T62" i="3"/>
  <c r="S62" i="3"/>
  <c r="W61" i="3"/>
  <c r="V62" i="3"/>
  <c r="U62" i="3"/>
  <c r="B63" i="3"/>
  <c r="R63" i="3" s="1"/>
  <c r="C62" i="3"/>
  <c r="K63" i="3" l="1"/>
  <c r="D62" i="3"/>
  <c r="W62" i="3"/>
  <c r="X63" i="3"/>
  <c r="T63" i="3"/>
  <c r="S63" i="3"/>
  <c r="V63" i="3"/>
  <c r="U63" i="3"/>
  <c r="B64" i="3"/>
  <c r="R64" i="3" s="1"/>
  <c r="C63" i="3"/>
  <c r="K64" i="3" l="1"/>
  <c r="D63" i="3"/>
  <c r="X64" i="3"/>
  <c r="T64" i="3"/>
  <c r="S64" i="3"/>
  <c r="W63" i="3"/>
  <c r="V64" i="3"/>
  <c r="U64" i="3"/>
  <c r="B65" i="3"/>
  <c r="R65" i="3" s="1"/>
  <c r="C64" i="3"/>
  <c r="K65" i="3" l="1"/>
  <c r="D64" i="3"/>
  <c r="X65" i="3"/>
  <c r="T65" i="3"/>
  <c r="S65" i="3"/>
  <c r="W64" i="3"/>
  <c r="V65" i="3"/>
  <c r="U65" i="3"/>
  <c r="B66" i="3"/>
  <c r="R66" i="3" s="1"/>
  <c r="C65" i="3"/>
  <c r="K66" i="3" l="1"/>
  <c r="D65" i="3"/>
  <c r="W65" i="3"/>
  <c r="X66" i="3"/>
  <c r="T66" i="3"/>
  <c r="S66" i="3"/>
  <c r="V66" i="3"/>
  <c r="U66" i="3"/>
  <c r="B67" i="3"/>
  <c r="R67" i="3" s="1"/>
  <c r="C66" i="3"/>
  <c r="K67" i="3" l="1"/>
  <c r="D66" i="3"/>
  <c r="W66" i="3"/>
  <c r="X67" i="3"/>
  <c r="T67" i="3"/>
  <c r="S67" i="3"/>
  <c r="V67" i="3"/>
  <c r="U67" i="3"/>
  <c r="B68" i="3"/>
  <c r="R68" i="3" s="1"/>
  <c r="C67" i="3"/>
  <c r="K68" i="3" l="1"/>
  <c r="D67" i="3"/>
  <c r="W67" i="3"/>
  <c r="X68" i="3"/>
  <c r="T68" i="3"/>
  <c r="S68" i="3"/>
  <c r="V68" i="3"/>
  <c r="U68" i="3"/>
  <c r="B69" i="3"/>
  <c r="R69" i="3" s="1"/>
  <c r="C68" i="3"/>
  <c r="M69" i="3" l="1"/>
  <c r="O69" i="3"/>
  <c r="N69" i="3"/>
  <c r="P69" i="3"/>
  <c r="I69" i="3"/>
  <c r="J69" i="3"/>
  <c r="H69" i="3"/>
  <c r="K69" i="3"/>
  <c r="D68" i="3"/>
  <c r="W68" i="3"/>
  <c r="X69" i="3"/>
  <c r="T69" i="3"/>
  <c r="S69" i="3"/>
  <c r="U69" i="3"/>
  <c r="V69" i="3"/>
  <c r="B70" i="3"/>
  <c r="R70" i="3" s="1"/>
  <c r="C69" i="3"/>
  <c r="E69" i="3" s="1"/>
  <c r="P70" i="3" l="1"/>
  <c r="M70" i="3"/>
  <c r="O70" i="3"/>
  <c r="N70" i="3"/>
  <c r="I70" i="3"/>
  <c r="J70" i="3"/>
  <c r="F69" i="3"/>
  <c r="H70" i="3"/>
  <c r="K70" i="3"/>
  <c r="D69" i="3"/>
  <c r="G69" i="3"/>
  <c r="W69" i="3"/>
  <c r="X70" i="3"/>
  <c r="T70" i="3"/>
  <c r="S70" i="3"/>
  <c r="U70" i="3"/>
  <c r="V70" i="3"/>
  <c r="B71" i="3"/>
  <c r="R71" i="3" s="1"/>
  <c r="C70" i="3"/>
  <c r="E70" i="3" s="1"/>
  <c r="P71" i="3" l="1"/>
  <c r="M71" i="3"/>
  <c r="O71" i="3"/>
  <c r="N71" i="3"/>
  <c r="I71" i="3"/>
  <c r="J71" i="3"/>
  <c r="F70" i="3"/>
  <c r="H71" i="3"/>
  <c r="D70" i="3"/>
  <c r="G70" i="3"/>
  <c r="K71" i="3"/>
  <c r="X71" i="3"/>
  <c r="T71" i="3"/>
  <c r="S71" i="3"/>
  <c r="W70" i="3"/>
  <c r="U71" i="3"/>
  <c r="V71" i="3"/>
  <c r="B72" i="3"/>
  <c r="R72" i="3" s="1"/>
  <c r="C71" i="3"/>
  <c r="E71" i="3" s="1"/>
  <c r="P72" i="3" l="1"/>
  <c r="M72" i="3"/>
  <c r="O72" i="3"/>
  <c r="N72" i="3"/>
  <c r="I72" i="3"/>
  <c r="J72" i="3"/>
  <c r="F71" i="3"/>
  <c r="H72" i="3"/>
  <c r="K72" i="3"/>
  <c r="G71" i="3"/>
  <c r="D71" i="3"/>
  <c r="W71" i="3"/>
  <c r="X72" i="3"/>
  <c r="S72" i="3"/>
  <c r="T72" i="3"/>
  <c r="U72" i="3"/>
  <c r="V72" i="3"/>
  <c r="B73" i="3"/>
  <c r="R73" i="3" s="1"/>
  <c r="C72" i="3"/>
  <c r="E72" i="3" s="1"/>
  <c r="N73" i="3" l="1"/>
  <c r="P73" i="3"/>
  <c r="M73" i="3"/>
  <c r="O73" i="3"/>
  <c r="I73" i="3"/>
  <c r="J73" i="3"/>
  <c r="F72" i="3"/>
  <c r="H73" i="3"/>
  <c r="K73" i="3"/>
  <c r="D72" i="3"/>
  <c r="G72" i="3"/>
  <c r="X73" i="3"/>
  <c r="S73" i="3"/>
  <c r="T73" i="3"/>
  <c r="W72" i="3"/>
  <c r="U73" i="3"/>
  <c r="V73" i="3"/>
  <c r="B74" i="3"/>
  <c r="R74" i="3" s="1"/>
  <c r="C73" i="3"/>
  <c r="E73" i="3" s="1"/>
  <c r="N74" i="3" l="1"/>
  <c r="P74" i="3"/>
  <c r="M74" i="3"/>
  <c r="O74" i="3"/>
  <c r="I74" i="3"/>
  <c r="J74" i="3"/>
  <c r="F73" i="3"/>
  <c r="H74" i="3"/>
  <c r="K74" i="3"/>
  <c r="D73" i="3"/>
  <c r="G73" i="3"/>
  <c r="X74" i="3"/>
  <c r="S74" i="3"/>
  <c r="T74" i="3"/>
  <c r="W73" i="3"/>
  <c r="U74" i="3"/>
  <c r="V74" i="3"/>
  <c r="B75" i="3"/>
  <c r="R75" i="3" s="1"/>
  <c r="C74" i="3"/>
  <c r="E74" i="3" s="1"/>
  <c r="O75" i="3" l="1"/>
  <c r="N75" i="3"/>
  <c r="P75" i="3"/>
  <c r="M75" i="3"/>
  <c r="I75" i="3"/>
  <c r="J75" i="3"/>
  <c r="F74" i="3"/>
  <c r="H75" i="3"/>
  <c r="K75" i="3"/>
  <c r="G74" i="3"/>
  <c r="D74" i="3"/>
  <c r="X75" i="3"/>
  <c r="T75" i="3"/>
  <c r="S75" i="3"/>
  <c r="W74" i="3"/>
  <c r="U75" i="3"/>
  <c r="V75" i="3"/>
  <c r="B76" i="3"/>
  <c r="R76" i="3" s="1"/>
  <c r="C75" i="3"/>
  <c r="E75" i="3" s="1"/>
  <c r="M76" i="3" l="1"/>
  <c r="O76" i="3"/>
  <c r="N76" i="3"/>
  <c r="P76" i="3"/>
  <c r="I76" i="3"/>
  <c r="J76" i="3"/>
  <c r="F75" i="3"/>
  <c r="H76" i="3"/>
  <c r="K76" i="3"/>
  <c r="G75" i="3"/>
  <c r="D75" i="3"/>
  <c r="X76" i="3"/>
  <c r="S76" i="3"/>
  <c r="T76" i="3"/>
  <c r="U76" i="3"/>
  <c r="V76" i="3"/>
  <c r="W75" i="3"/>
  <c r="B77" i="3"/>
  <c r="R77" i="3" s="1"/>
  <c r="C76" i="3"/>
  <c r="E76" i="3" s="1"/>
  <c r="M77" i="3" l="1"/>
  <c r="O77" i="3"/>
  <c r="N77" i="3"/>
  <c r="P77" i="3"/>
  <c r="I77" i="3"/>
  <c r="J77" i="3"/>
  <c r="F76" i="3"/>
  <c r="H77" i="3"/>
  <c r="K77" i="3"/>
  <c r="G76" i="3"/>
  <c r="D76" i="3"/>
  <c r="X77" i="3"/>
  <c r="S77" i="3"/>
  <c r="T77" i="3"/>
  <c r="W76" i="3"/>
  <c r="V77" i="3"/>
  <c r="U77" i="3"/>
  <c r="B78" i="3"/>
  <c r="R78" i="3" s="1"/>
  <c r="C77" i="3"/>
  <c r="E77" i="3" s="1"/>
  <c r="P78" i="3" l="1"/>
  <c r="M78" i="3"/>
  <c r="O78" i="3"/>
  <c r="N78" i="3"/>
  <c r="I78" i="3"/>
  <c r="J78" i="3"/>
  <c r="F77" i="3"/>
  <c r="H78" i="3"/>
  <c r="K78" i="3"/>
  <c r="G77" i="3"/>
  <c r="D77" i="3"/>
  <c r="X78" i="3"/>
  <c r="T78" i="3"/>
  <c r="S78" i="3"/>
  <c r="W77" i="3"/>
  <c r="V78" i="3"/>
  <c r="U78" i="3"/>
  <c r="B79" i="3"/>
  <c r="R79" i="3" s="1"/>
  <c r="C78" i="3"/>
  <c r="E78" i="3" s="1"/>
  <c r="P79" i="3" l="1"/>
  <c r="M79" i="3"/>
  <c r="O79" i="3"/>
  <c r="N79" i="3"/>
  <c r="I79" i="3"/>
  <c r="J79" i="3"/>
  <c r="F78" i="3"/>
  <c r="H79" i="3"/>
  <c r="K79" i="3"/>
  <c r="G78" i="3"/>
  <c r="D78" i="3"/>
  <c r="X79" i="3"/>
  <c r="S79" i="3"/>
  <c r="T79" i="3"/>
  <c r="W78" i="3"/>
  <c r="V79" i="3"/>
  <c r="U79" i="3"/>
  <c r="B80" i="3"/>
  <c r="R80" i="3" s="1"/>
  <c r="C79" i="3"/>
  <c r="E79" i="3" s="1"/>
  <c r="P80" i="3" l="1"/>
  <c r="M80" i="3"/>
  <c r="O80" i="3"/>
  <c r="N80" i="3"/>
  <c r="I80" i="3"/>
  <c r="J80" i="3"/>
  <c r="F79" i="3"/>
  <c r="H80" i="3"/>
  <c r="K80" i="3"/>
  <c r="D79" i="3"/>
  <c r="G79" i="3"/>
  <c r="X80" i="3"/>
  <c r="T80" i="3"/>
  <c r="S80" i="3"/>
  <c r="W79" i="3"/>
  <c r="V80" i="3"/>
  <c r="U80" i="3"/>
  <c r="B81" i="3"/>
  <c r="R81" i="3" s="1"/>
  <c r="C80" i="3"/>
  <c r="E80" i="3" s="1"/>
  <c r="N81" i="3" l="1"/>
  <c r="P81" i="3"/>
  <c r="M81" i="3"/>
  <c r="O81" i="3"/>
  <c r="I81" i="3"/>
  <c r="J81" i="3"/>
  <c r="F80" i="3"/>
  <c r="H81" i="3"/>
  <c r="K81" i="3"/>
  <c r="D80" i="3"/>
  <c r="G80" i="3"/>
  <c r="X81" i="3"/>
  <c r="S81" i="3"/>
  <c r="T81" i="3"/>
  <c r="W80" i="3"/>
  <c r="V81" i="3"/>
  <c r="U81" i="3"/>
  <c r="B82" i="3"/>
  <c r="R82" i="3" s="1"/>
  <c r="C81" i="3"/>
  <c r="E81" i="3" s="1"/>
  <c r="N82" i="3" l="1"/>
  <c r="P82" i="3"/>
  <c r="M82" i="3"/>
  <c r="O82" i="3"/>
  <c r="I82" i="3"/>
  <c r="J82" i="3"/>
  <c r="F81" i="3"/>
  <c r="H82" i="3"/>
  <c r="K82" i="3"/>
  <c r="D81" i="3"/>
  <c r="G81" i="3"/>
  <c r="X82" i="3"/>
  <c r="S82" i="3"/>
  <c r="T82" i="3"/>
  <c r="W81" i="3"/>
  <c r="V82" i="3"/>
  <c r="U82" i="3"/>
  <c r="B83" i="3"/>
  <c r="R83" i="3" s="1"/>
  <c r="C82" i="3"/>
  <c r="E82" i="3" s="1"/>
  <c r="O83" i="3" l="1"/>
  <c r="N83" i="3"/>
  <c r="P83" i="3"/>
  <c r="M83" i="3"/>
  <c r="I83" i="3"/>
  <c r="J83" i="3"/>
  <c r="F82" i="3"/>
  <c r="H83" i="3"/>
  <c r="K83" i="3"/>
  <c r="D82" i="3"/>
  <c r="G82" i="3"/>
  <c r="X83" i="3"/>
  <c r="S83" i="3"/>
  <c r="T83" i="3"/>
  <c r="W82" i="3"/>
  <c r="V83" i="3"/>
  <c r="U83" i="3"/>
  <c r="B84" i="3"/>
  <c r="R84" i="3" s="1"/>
  <c r="C83" i="3"/>
  <c r="E83" i="3" s="1"/>
  <c r="M84" i="3" l="1"/>
  <c r="O84" i="3"/>
  <c r="N84" i="3"/>
  <c r="P84" i="3"/>
  <c r="I84" i="3"/>
  <c r="J84" i="3"/>
  <c r="F83" i="3"/>
  <c r="H84" i="3"/>
  <c r="K84" i="3"/>
  <c r="D83" i="3"/>
  <c r="G83" i="3"/>
  <c r="X84" i="3"/>
  <c r="S84" i="3"/>
  <c r="T84" i="3"/>
  <c r="W83" i="3"/>
  <c r="V84" i="3"/>
  <c r="U84" i="3"/>
  <c r="B85" i="3"/>
  <c r="R85" i="3" s="1"/>
  <c r="C84" i="3"/>
  <c r="E84" i="3" s="1"/>
  <c r="M85" i="3" l="1"/>
  <c r="O85" i="3"/>
  <c r="N85" i="3"/>
  <c r="P85" i="3"/>
  <c r="I85" i="3"/>
  <c r="J85" i="3"/>
  <c r="F84" i="3"/>
  <c r="H85" i="3"/>
  <c r="K85" i="3"/>
  <c r="D84" i="3"/>
  <c r="G84" i="3"/>
  <c r="W84" i="3"/>
  <c r="X85" i="3"/>
  <c r="T85" i="3"/>
  <c r="S85" i="3"/>
  <c r="U85" i="3"/>
  <c r="V85" i="3"/>
  <c r="B86" i="3"/>
  <c r="R86" i="3" s="1"/>
  <c r="C85" i="3"/>
  <c r="E85" i="3" s="1"/>
  <c r="P86" i="3" l="1"/>
  <c r="M86" i="3"/>
  <c r="O86" i="3"/>
  <c r="N86" i="3"/>
  <c r="I86" i="3"/>
  <c r="J86" i="3"/>
  <c r="F85" i="3"/>
  <c r="H86" i="3"/>
  <c r="K86" i="3"/>
  <c r="D85" i="3"/>
  <c r="G85" i="3"/>
  <c r="X86" i="3"/>
  <c r="T86" i="3"/>
  <c r="S86" i="3"/>
  <c r="W85" i="3"/>
  <c r="U86" i="3"/>
  <c r="V86" i="3"/>
  <c r="B87" i="3"/>
  <c r="R87" i="3" s="1"/>
  <c r="C86" i="3"/>
  <c r="E86" i="3" s="1"/>
  <c r="P87" i="3" l="1"/>
  <c r="M87" i="3"/>
  <c r="O87" i="3"/>
  <c r="N87" i="3"/>
  <c r="I87" i="3"/>
  <c r="J87" i="3"/>
  <c r="F86" i="3"/>
  <c r="H87" i="3"/>
  <c r="K87" i="3"/>
  <c r="D86" i="3"/>
  <c r="G86" i="3"/>
  <c r="X87" i="3"/>
  <c r="T87" i="3"/>
  <c r="S87" i="3"/>
  <c r="W86" i="3"/>
  <c r="U87" i="3"/>
  <c r="V87" i="3"/>
  <c r="B88" i="3"/>
  <c r="R88" i="3" s="1"/>
  <c r="C87" i="3"/>
  <c r="E87" i="3" s="1"/>
  <c r="P88" i="3" l="1"/>
  <c r="M88" i="3"/>
  <c r="O88" i="3"/>
  <c r="N88" i="3"/>
  <c r="I88" i="3"/>
  <c r="J88" i="3"/>
  <c r="F87" i="3"/>
  <c r="H88" i="3"/>
  <c r="D87" i="3"/>
  <c r="G87" i="3"/>
  <c r="K88" i="3"/>
  <c r="X88" i="3"/>
  <c r="T88" i="3"/>
  <c r="S88" i="3"/>
  <c r="U88" i="3"/>
  <c r="V88" i="3"/>
  <c r="W87" i="3"/>
  <c r="B89" i="3"/>
  <c r="R89" i="3" s="1"/>
  <c r="C88" i="3"/>
  <c r="E88" i="3" s="1"/>
  <c r="N89" i="3" l="1"/>
  <c r="P89" i="3"/>
  <c r="M89" i="3"/>
  <c r="O89" i="3"/>
  <c r="I89" i="3"/>
  <c r="J89" i="3"/>
  <c r="F88" i="3"/>
  <c r="H89" i="3"/>
  <c r="K89" i="3"/>
  <c r="D88" i="3"/>
  <c r="G88" i="3"/>
  <c r="X89" i="3"/>
  <c r="T89" i="3"/>
  <c r="S89" i="3"/>
  <c r="U89" i="3"/>
  <c r="V89" i="3"/>
  <c r="W88" i="3"/>
  <c r="B90" i="3"/>
  <c r="R90" i="3" s="1"/>
  <c r="C89" i="3"/>
  <c r="E89" i="3" s="1"/>
  <c r="N90" i="3" l="1"/>
  <c r="P90" i="3"/>
  <c r="M90" i="3"/>
  <c r="O90" i="3"/>
  <c r="I90" i="3"/>
  <c r="J90" i="3"/>
  <c r="F89" i="3"/>
  <c r="H90" i="3"/>
  <c r="K90" i="3"/>
  <c r="D89" i="3"/>
  <c r="G89" i="3"/>
  <c r="W89" i="3"/>
  <c r="X90" i="3"/>
  <c r="T90" i="3"/>
  <c r="S90" i="3"/>
  <c r="U90" i="3"/>
  <c r="V90" i="3"/>
  <c r="B91" i="3"/>
  <c r="R91" i="3" s="1"/>
  <c r="C90" i="3"/>
  <c r="E90" i="3" s="1"/>
  <c r="O91" i="3" l="1"/>
  <c r="N91" i="3"/>
  <c r="P91" i="3"/>
  <c r="M91" i="3"/>
  <c r="I91" i="3"/>
  <c r="J91" i="3"/>
  <c r="F90" i="3"/>
  <c r="H91" i="3"/>
  <c r="K91" i="3"/>
  <c r="G90" i="3"/>
  <c r="D90" i="3"/>
  <c r="X91" i="3"/>
  <c r="S91" i="3"/>
  <c r="T91" i="3"/>
  <c r="W90" i="3"/>
  <c r="U91" i="3"/>
  <c r="V91" i="3"/>
  <c r="B92" i="3"/>
  <c r="R92" i="3" s="1"/>
  <c r="C91" i="3"/>
  <c r="E91" i="3" s="1"/>
  <c r="M92" i="3" l="1"/>
  <c r="O92" i="3"/>
  <c r="N92" i="3"/>
  <c r="P92" i="3"/>
  <c r="I92" i="3"/>
  <c r="J92" i="3"/>
  <c r="F91" i="3"/>
  <c r="H92" i="3"/>
  <c r="K92" i="3"/>
  <c r="G91" i="3"/>
  <c r="D91" i="3"/>
  <c r="X92" i="3"/>
  <c r="S92" i="3"/>
  <c r="T92" i="3"/>
  <c r="W91" i="3"/>
  <c r="U92" i="3"/>
  <c r="V92" i="3"/>
  <c r="B93" i="3"/>
  <c r="R93" i="3" s="1"/>
  <c r="C92" i="3"/>
  <c r="E92" i="3" s="1"/>
  <c r="M93" i="3" l="1"/>
  <c r="O93" i="3"/>
  <c r="N93" i="3"/>
  <c r="P93" i="3"/>
  <c r="I93" i="3"/>
  <c r="J93" i="3"/>
  <c r="F92" i="3"/>
  <c r="H93" i="3"/>
  <c r="K93" i="3"/>
  <c r="G92" i="3"/>
  <c r="D92" i="3"/>
  <c r="W92" i="3"/>
  <c r="X93" i="3"/>
  <c r="T93" i="3"/>
  <c r="S93" i="3"/>
  <c r="V93" i="3"/>
  <c r="U93" i="3"/>
  <c r="B94" i="3"/>
  <c r="R94" i="3" s="1"/>
  <c r="C93" i="3"/>
  <c r="E93" i="3" s="1"/>
  <c r="P94" i="3" l="1"/>
  <c r="M94" i="3"/>
  <c r="O94" i="3"/>
  <c r="N94" i="3"/>
  <c r="I94" i="3"/>
  <c r="J94" i="3"/>
  <c r="F93" i="3"/>
  <c r="H94" i="3"/>
  <c r="K94" i="3"/>
  <c r="G93" i="3"/>
  <c r="D93" i="3"/>
  <c r="X94" i="3"/>
  <c r="T94" i="3"/>
  <c r="S94" i="3"/>
  <c r="W93" i="3"/>
  <c r="V94" i="3"/>
  <c r="U94" i="3"/>
  <c r="B95" i="3"/>
  <c r="R95" i="3" s="1"/>
  <c r="C94" i="3"/>
  <c r="E94" i="3" s="1"/>
  <c r="P95" i="3" l="1"/>
  <c r="M95" i="3"/>
  <c r="O95" i="3"/>
  <c r="N95" i="3"/>
  <c r="I95" i="3"/>
  <c r="J95" i="3"/>
  <c r="F94" i="3"/>
  <c r="H95" i="3"/>
  <c r="K95" i="3"/>
  <c r="G94" i="3"/>
  <c r="D94" i="3"/>
  <c r="X95" i="3"/>
  <c r="T95" i="3"/>
  <c r="S95" i="3"/>
  <c r="W94" i="3"/>
  <c r="V95" i="3"/>
  <c r="U95" i="3"/>
  <c r="W95" i="3"/>
  <c r="B96" i="3"/>
  <c r="R96" i="3" s="1"/>
  <c r="C95" i="3"/>
  <c r="E95" i="3" s="1"/>
  <c r="P96" i="3" l="1"/>
  <c r="M96" i="3"/>
  <c r="O96" i="3"/>
  <c r="N96" i="3"/>
  <c r="I96" i="3"/>
  <c r="J96" i="3"/>
  <c r="F95" i="3"/>
  <c r="H96" i="3"/>
  <c r="D95" i="3"/>
  <c r="G95" i="3"/>
  <c r="K96" i="3"/>
  <c r="X96" i="3"/>
  <c r="T96" i="3"/>
  <c r="S96" i="3"/>
  <c r="V96" i="3"/>
  <c r="U96" i="3"/>
  <c r="B97" i="3"/>
  <c r="R97" i="3" s="1"/>
  <c r="C96" i="3"/>
  <c r="E96" i="3" s="1"/>
  <c r="N97" i="3" l="1"/>
  <c r="O97" i="3"/>
  <c r="P97" i="3"/>
  <c r="M97" i="3"/>
  <c r="I97" i="3"/>
  <c r="J97" i="3"/>
  <c r="F96" i="3"/>
  <c r="H97" i="3"/>
  <c r="D96" i="3"/>
  <c r="G96" i="3"/>
  <c r="K97" i="3"/>
  <c r="X97" i="3"/>
  <c r="S97" i="3"/>
  <c r="T97" i="3"/>
  <c r="W96" i="3"/>
  <c r="V97" i="3"/>
  <c r="U97" i="3"/>
  <c r="B98" i="3"/>
  <c r="R98" i="3" s="1"/>
  <c r="C97" i="3"/>
  <c r="E97" i="3" s="1"/>
  <c r="O98" i="3" l="1"/>
  <c r="N98" i="3"/>
  <c r="P98" i="3"/>
  <c r="M98" i="3"/>
  <c r="I98" i="3"/>
  <c r="J98" i="3"/>
  <c r="F97" i="3"/>
  <c r="H98" i="3"/>
  <c r="K98" i="3"/>
  <c r="D97" i="3"/>
  <c r="G97" i="3"/>
  <c r="X98" i="3"/>
  <c r="S98" i="3"/>
  <c r="T98" i="3"/>
  <c r="W97" i="3"/>
  <c r="V98" i="3"/>
  <c r="U98" i="3"/>
  <c r="B99" i="3"/>
  <c r="R99" i="3" s="1"/>
  <c r="C98" i="3"/>
  <c r="E98" i="3" s="1"/>
  <c r="O99" i="3" l="1"/>
  <c r="N99" i="3"/>
  <c r="P99" i="3"/>
  <c r="M99" i="3"/>
  <c r="I99" i="3"/>
  <c r="J99" i="3"/>
  <c r="F98" i="3"/>
  <c r="H99" i="3"/>
  <c r="K99" i="3"/>
  <c r="D98" i="3"/>
  <c r="G98" i="3"/>
  <c r="X99" i="3"/>
  <c r="S99" i="3"/>
  <c r="T99" i="3"/>
  <c r="W98" i="3"/>
  <c r="V99" i="3"/>
  <c r="U99" i="3"/>
  <c r="B100" i="3"/>
  <c r="R100" i="3" s="1"/>
  <c r="C99" i="3"/>
  <c r="E99" i="3" s="1"/>
  <c r="M100" i="3" l="1"/>
  <c r="O100" i="3"/>
  <c r="N100" i="3"/>
  <c r="P100" i="3"/>
  <c r="I100" i="3"/>
  <c r="J100" i="3"/>
  <c r="F99" i="3"/>
  <c r="H100" i="3"/>
  <c r="D99" i="3"/>
  <c r="G99" i="3"/>
  <c r="K100" i="3"/>
  <c r="X100" i="3"/>
  <c r="S100" i="3"/>
  <c r="T100" i="3"/>
  <c r="W99" i="3"/>
  <c r="V100" i="3"/>
  <c r="U100" i="3"/>
  <c r="B101" i="3"/>
  <c r="R101" i="3" s="1"/>
  <c r="C100" i="3"/>
  <c r="E100" i="3" s="1"/>
  <c r="M101" i="3" l="1"/>
  <c r="O101" i="3"/>
  <c r="N101" i="3"/>
  <c r="P101" i="3"/>
  <c r="I101" i="3"/>
  <c r="J101" i="3"/>
  <c r="F100" i="3"/>
  <c r="H101" i="3"/>
  <c r="K101" i="3"/>
  <c r="G100" i="3"/>
  <c r="D100" i="3"/>
  <c r="X101" i="3"/>
  <c r="T101" i="3"/>
  <c r="S101" i="3"/>
  <c r="W100" i="3"/>
  <c r="U101" i="3"/>
  <c r="V101" i="3"/>
  <c r="B102" i="3"/>
  <c r="R102" i="3" s="1"/>
  <c r="C101" i="3"/>
  <c r="E101" i="3" s="1"/>
  <c r="P102" i="3" l="1"/>
  <c r="M102" i="3"/>
  <c r="O102" i="3"/>
  <c r="N102" i="3"/>
  <c r="I102" i="3"/>
  <c r="J102" i="3"/>
  <c r="F101" i="3"/>
  <c r="H102" i="3"/>
  <c r="K102" i="3"/>
  <c r="D101" i="3"/>
  <c r="G101" i="3"/>
  <c r="X102" i="3"/>
  <c r="T102" i="3"/>
  <c r="S102" i="3"/>
  <c r="W101" i="3"/>
  <c r="U102" i="3"/>
  <c r="V102" i="3"/>
  <c r="B103" i="3"/>
  <c r="R103" i="3" s="1"/>
  <c r="C102" i="3"/>
  <c r="E102" i="3" s="1"/>
  <c r="P103" i="3" l="1"/>
  <c r="M103" i="3"/>
  <c r="O103" i="3"/>
  <c r="N103" i="3"/>
  <c r="I103" i="3"/>
  <c r="J103" i="3"/>
  <c r="F102" i="3"/>
  <c r="H103" i="3"/>
  <c r="K103" i="3"/>
  <c r="D102" i="3"/>
  <c r="G102" i="3"/>
  <c r="X103" i="3"/>
  <c r="T103" i="3"/>
  <c r="S103" i="3"/>
  <c r="W102" i="3"/>
  <c r="U103" i="3"/>
  <c r="V103" i="3"/>
  <c r="C103" i="3"/>
  <c r="E103" i="3" s="1"/>
  <c r="F103" i="3" l="1"/>
  <c r="G103" i="3"/>
  <c r="D103" i="3"/>
  <c r="W103" i="3"/>
  <c r="B12" i="36" l="1"/>
  <c r="B6" i="36"/>
  <c r="B7" i="36" s="1"/>
  <c r="B8" i="36" s="1"/>
  <c r="B9" i="36" s="1"/>
  <c r="B10" i="36" s="1"/>
  <c r="B11" i="36" s="1"/>
  <c r="B5" i="36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l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B47" i="35" s="1"/>
  <c r="B48" i="35" s="1"/>
  <c r="B49" i="35" s="1"/>
  <c r="B50" i="35" s="1"/>
  <c r="B51" i="35" s="1"/>
  <c r="B52" i="35" s="1"/>
  <c r="D59" i="1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G12" i="28"/>
  <c r="H12" i="28" s="1"/>
  <c r="K12" i="28" s="1"/>
  <c r="K14" i="29"/>
  <c r="K15" i="29"/>
  <c r="K16" i="29"/>
  <c r="K17" i="29"/>
  <c r="K18" i="29"/>
  <c r="K19" i="29"/>
  <c r="K30" i="29" s="1"/>
  <c r="K41" i="29" s="1"/>
  <c r="K52" i="29" s="1"/>
  <c r="K63" i="29" s="1"/>
  <c r="K74" i="29" s="1"/>
  <c r="K85" i="29" s="1"/>
  <c r="K96" i="29" s="1"/>
  <c r="K20" i="29"/>
  <c r="K31" i="29" s="1"/>
  <c r="K42" i="29" s="1"/>
  <c r="K53" i="29" s="1"/>
  <c r="K64" i="29" s="1"/>
  <c r="K75" i="29" s="1"/>
  <c r="K86" i="29" s="1"/>
  <c r="K97" i="29" s="1"/>
  <c r="K21" i="29"/>
  <c r="K32" i="29" s="1"/>
  <c r="K43" i="29" s="1"/>
  <c r="K54" i="29" s="1"/>
  <c r="K65" i="29" s="1"/>
  <c r="K76" i="29" s="1"/>
  <c r="K87" i="29" s="1"/>
  <c r="K98" i="29" s="1"/>
  <c r="K22" i="29"/>
  <c r="K33" i="29" s="1"/>
  <c r="K44" i="29" s="1"/>
  <c r="K55" i="29" s="1"/>
  <c r="K66" i="29" s="1"/>
  <c r="K77" i="29" s="1"/>
  <c r="K88" i="29" s="1"/>
  <c r="K99" i="29" s="1"/>
  <c r="K23" i="29"/>
  <c r="K34" i="29" s="1"/>
  <c r="K45" i="29" s="1"/>
  <c r="K56" i="29" s="1"/>
  <c r="K67" i="29" s="1"/>
  <c r="K78" i="29" s="1"/>
  <c r="K89" i="29" s="1"/>
  <c r="K100" i="29" s="1"/>
  <c r="K24" i="29"/>
  <c r="K35" i="29" s="1"/>
  <c r="K46" i="29" s="1"/>
  <c r="K57" i="29" s="1"/>
  <c r="K68" i="29" s="1"/>
  <c r="K79" i="29" s="1"/>
  <c r="K90" i="29" s="1"/>
  <c r="K101" i="29" s="1"/>
  <c r="K25" i="29"/>
  <c r="K36" i="29" s="1"/>
  <c r="K47" i="29" s="1"/>
  <c r="K58" i="29" s="1"/>
  <c r="K69" i="29" s="1"/>
  <c r="K80" i="29" s="1"/>
  <c r="K91" i="29" s="1"/>
  <c r="K102" i="29" s="1"/>
  <c r="K26" i="29"/>
  <c r="K37" i="29" s="1"/>
  <c r="K48" i="29" s="1"/>
  <c r="K59" i="29" s="1"/>
  <c r="K70" i="29" s="1"/>
  <c r="K81" i="29" s="1"/>
  <c r="K92" i="29" s="1"/>
  <c r="K103" i="29" s="1"/>
  <c r="K27" i="29"/>
  <c r="K38" i="29" s="1"/>
  <c r="K49" i="29" s="1"/>
  <c r="K60" i="29" s="1"/>
  <c r="K71" i="29" s="1"/>
  <c r="K82" i="29" s="1"/>
  <c r="K93" i="29" s="1"/>
  <c r="K104" i="29" s="1"/>
  <c r="K28" i="29"/>
  <c r="K39" i="29" s="1"/>
  <c r="K50" i="29" s="1"/>
  <c r="K61" i="29" s="1"/>
  <c r="K72" i="29" s="1"/>
  <c r="K83" i="29" s="1"/>
  <c r="K94" i="29" s="1"/>
  <c r="K29" i="29"/>
  <c r="K40" i="29" s="1"/>
  <c r="K51" i="29" s="1"/>
  <c r="K62" i="29" s="1"/>
  <c r="K73" i="29" s="1"/>
  <c r="K84" i="29" s="1"/>
  <c r="K95" i="29" s="1"/>
  <c r="K13" i="29"/>
  <c r="K3" i="29"/>
  <c r="K4" i="29"/>
  <c r="K5" i="29"/>
  <c r="K6" i="29"/>
  <c r="K7" i="29"/>
  <c r="K8" i="29"/>
  <c r="K9" i="29"/>
  <c r="K10" i="29"/>
  <c r="K11" i="29"/>
  <c r="K12" i="29"/>
  <c r="K2" i="29"/>
  <c r="H3" i="29"/>
  <c r="H4" i="29"/>
  <c r="H5" i="29"/>
  <c r="H6" i="29"/>
  <c r="H7" i="29"/>
  <c r="H8" i="29"/>
  <c r="H9" i="29"/>
  <c r="H10" i="29"/>
  <c r="H11" i="29"/>
  <c r="H12" i="29"/>
  <c r="H2" i="29"/>
  <c r="G10" i="29"/>
  <c r="G9" i="29" s="1"/>
  <c r="G8" i="29" s="1"/>
  <c r="G7" i="29" s="1"/>
  <c r="G6" i="29" s="1"/>
  <c r="G5" i="29" s="1"/>
  <c r="G4" i="29" s="1"/>
  <c r="G3" i="29" s="1"/>
  <c r="G2" i="29" s="1"/>
  <c r="G11" i="29"/>
  <c r="G12" i="29"/>
  <c r="G3" i="26"/>
  <c r="G4" i="26" s="1"/>
  <c r="H4" i="26" s="1"/>
  <c r="K4" i="26" s="1"/>
  <c r="G2" i="26"/>
  <c r="H2" i="26" s="1"/>
  <c r="K2" i="26" s="1"/>
  <c r="K5" i="26" s="1"/>
  <c r="K4" i="27"/>
  <c r="K7" i="27" s="1"/>
  <c r="K3" i="27"/>
  <c r="K6" i="27" s="1"/>
  <c r="L2" i="27"/>
  <c r="K2" i="27"/>
  <c r="K5" i="27" s="1"/>
  <c r="H3" i="27"/>
  <c r="H2" i="27"/>
  <c r="G4" i="27"/>
  <c r="G3" i="27"/>
  <c r="G2" i="27"/>
  <c r="L2" i="24"/>
  <c r="K2" i="24"/>
  <c r="H4" i="24"/>
  <c r="G4" i="24"/>
  <c r="H2" i="24"/>
  <c r="K5" i="24" s="1"/>
  <c r="G2" i="24"/>
  <c r="G3" i="24"/>
  <c r="L3" i="23"/>
  <c r="L4" i="23"/>
  <c r="L5" i="23"/>
  <c r="L6" i="23"/>
  <c r="L7" i="23"/>
  <c r="L8" i="23"/>
  <c r="L9" i="23"/>
  <c r="L10" i="23"/>
  <c r="L11" i="23"/>
  <c r="L12" i="23"/>
  <c r="L13" i="23"/>
  <c r="L14" i="23"/>
  <c r="L15" i="23"/>
  <c r="L16" i="23"/>
  <c r="L17" i="23"/>
  <c r="L18" i="23"/>
  <c r="L19" i="23"/>
  <c r="L20" i="23"/>
  <c r="L21" i="23"/>
  <c r="L22" i="23"/>
  <c r="L23" i="23"/>
  <c r="L24" i="23"/>
  <c r="L25" i="23"/>
  <c r="L26" i="23"/>
  <c r="L27" i="23"/>
  <c r="L28" i="23"/>
  <c r="L29" i="23"/>
  <c r="L30" i="23"/>
  <c r="L31" i="23"/>
  <c r="L32" i="23"/>
  <c r="L33" i="23"/>
  <c r="L34" i="23"/>
  <c r="L35" i="23"/>
  <c r="L36" i="23"/>
  <c r="L37" i="23"/>
  <c r="L38" i="23"/>
  <c r="L39" i="23"/>
  <c r="L40" i="23"/>
  <c r="L41" i="23"/>
  <c r="L42" i="23"/>
  <c r="L43" i="23"/>
  <c r="L44" i="23"/>
  <c r="L45" i="23"/>
  <c r="L46" i="23"/>
  <c r="L47" i="23"/>
  <c r="L48" i="23"/>
  <c r="L49" i="23"/>
  <c r="L50" i="23"/>
  <c r="L51" i="23"/>
  <c r="L52" i="23"/>
  <c r="L53" i="23"/>
  <c r="L54" i="23"/>
  <c r="L55" i="23"/>
  <c r="L56" i="23"/>
  <c r="L57" i="23"/>
  <c r="L58" i="23"/>
  <c r="L59" i="23"/>
  <c r="L60" i="23"/>
  <c r="L61" i="23"/>
  <c r="L62" i="23"/>
  <c r="L63" i="23"/>
  <c r="L64" i="23"/>
  <c r="L65" i="23"/>
  <c r="L66" i="23"/>
  <c r="L67" i="23"/>
  <c r="L68" i="23"/>
  <c r="L69" i="23"/>
  <c r="L70" i="23"/>
  <c r="L71" i="23"/>
  <c r="L72" i="23"/>
  <c r="L73" i="23"/>
  <c r="L74" i="23"/>
  <c r="L75" i="23"/>
  <c r="L76" i="23"/>
  <c r="L77" i="23"/>
  <c r="L78" i="23"/>
  <c r="L79" i="23"/>
  <c r="L80" i="23"/>
  <c r="L81" i="23"/>
  <c r="L82" i="23"/>
  <c r="L83" i="23"/>
  <c r="L84" i="23"/>
  <c r="L85" i="23"/>
  <c r="L86" i="23"/>
  <c r="L87" i="23"/>
  <c r="L88" i="23"/>
  <c r="L89" i="23"/>
  <c r="L90" i="23"/>
  <c r="L91" i="23"/>
  <c r="L92" i="23"/>
  <c r="L93" i="23"/>
  <c r="L94" i="23"/>
  <c r="L95" i="23"/>
  <c r="L96" i="23"/>
  <c r="L97" i="23"/>
  <c r="L98" i="23"/>
  <c r="L99" i="23"/>
  <c r="L100" i="23"/>
  <c r="L101" i="23"/>
  <c r="L102" i="23"/>
  <c r="L103" i="23"/>
  <c r="L104" i="23"/>
  <c r="L2" i="23"/>
  <c r="L2" i="32"/>
  <c r="K6" i="23"/>
  <c r="K7" i="23"/>
  <c r="K10" i="23" s="1"/>
  <c r="K13" i="23" s="1"/>
  <c r="K16" i="23" s="1"/>
  <c r="K19" i="23" s="1"/>
  <c r="K22" i="23" s="1"/>
  <c r="K25" i="23" s="1"/>
  <c r="K28" i="23" s="1"/>
  <c r="K31" i="23" s="1"/>
  <c r="K34" i="23" s="1"/>
  <c r="K37" i="23" s="1"/>
  <c r="K40" i="23" s="1"/>
  <c r="K43" i="23" s="1"/>
  <c r="K46" i="23" s="1"/>
  <c r="K49" i="23" s="1"/>
  <c r="K52" i="23" s="1"/>
  <c r="K55" i="23" s="1"/>
  <c r="K58" i="23" s="1"/>
  <c r="K61" i="23" s="1"/>
  <c r="K64" i="23" s="1"/>
  <c r="K67" i="23" s="1"/>
  <c r="K70" i="23" s="1"/>
  <c r="K73" i="23" s="1"/>
  <c r="K76" i="23" s="1"/>
  <c r="K79" i="23" s="1"/>
  <c r="K82" i="23" s="1"/>
  <c r="K85" i="23" s="1"/>
  <c r="K88" i="23" s="1"/>
  <c r="K91" i="23" s="1"/>
  <c r="K94" i="23" s="1"/>
  <c r="K97" i="23" s="1"/>
  <c r="K100" i="23" s="1"/>
  <c r="K103" i="23" s="1"/>
  <c r="K8" i="23"/>
  <c r="K11" i="23" s="1"/>
  <c r="K14" i="23" s="1"/>
  <c r="K17" i="23" s="1"/>
  <c r="K20" i="23" s="1"/>
  <c r="K23" i="23" s="1"/>
  <c r="K26" i="23" s="1"/>
  <c r="K29" i="23" s="1"/>
  <c r="K32" i="23" s="1"/>
  <c r="K35" i="23" s="1"/>
  <c r="K38" i="23" s="1"/>
  <c r="K41" i="23" s="1"/>
  <c r="K44" i="23" s="1"/>
  <c r="K47" i="23" s="1"/>
  <c r="K50" i="23" s="1"/>
  <c r="K53" i="23" s="1"/>
  <c r="K56" i="23" s="1"/>
  <c r="K59" i="23" s="1"/>
  <c r="K62" i="23" s="1"/>
  <c r="K65" i="23" s="1"/>
  <c r="K68" i="23" s="1"/>
  <c r="K71" i="23" s="1"/>
  <c r="K74" i="23" s="1"/>
  <c r="K77" i="23" s="1"/>
  <c r="K80" i="23" s="1"/>
  <c r="K83" i="23" s="1"/>
  <c r="K86" i="23" s="1"/>
  <c r="K89" i="23" s="1"/>
  <c r="K92" i="23" s="1"/>
  <c r="K95" i="23" s="1"/>
  <c r="K98" i="23" s="1"/>
  <c r="K101" i="23" s="1"/>
  <c r="K104" i="23" s="1"/>
  <c r="K9" i="23"/>
  <c r="K12" i="23" s="1"/>
  <c r="K15" i="23" s="1"/>
  <c r="K18" i="23" s="1"/>
  <c r="K21" i="23" s="1"/>
  <c r="K24" i="23" s="1"/>
  <c r="K27" i="23" s="1"/>
  <c r="K30" i="23" s="1"/>
  <c r="K33" i="23" s="1"/>
  <c r="K36" i="23" s="1"/>
  <c r="K39" i="23" s="1"/>
  <c r="K42" i="23" s="1"/>
  <c r="K45" i="23" s="1"/>
  <c r="K48" i="23" s="1"/>
  <c r="K51" i="23" s="1"/>
  <c r="K54" i="23" s="1"/>
  <c r="K57" i="23" s="1"/>
  <c r="K60" i="23" s="1"/>
  <c r="K63" i="23" s="1"/>
  <c r="K66" i="23" s="1"/>
  <c r="K69" i="23" s="1"/>
  <c r="K72" i="23" s="1"/>
  <c r="K75" i="23" s="1"/>
  <c r="K78" i="23" s="1"/>
  <c r="K81" i="23" s="1"/>
  <c r="K84" i="23" s="1"/>
  <c r="K87" i="23" s="1"/>
  <c r="K90" i="23" s="1"/>
  <c r="K93" i="23" s="1"/>
  <c r="K96" i="23" s="1"/>
  <c r="K99" i="23" s="1"/>
  <c r="K102" i="23" s="1"/>
  <c r="K5" i="23"/>
  <c r="K4" i="23"/>
  <c r="K3" i="23"/>
  <c r="K2" i="23"/>
  <c r="K2" i="32"/>
  <c r="H3" i="23"/>
  <c r="H4" i="23"/>
  <c r="H2" i="23"/>
  <c r="G4" i="23"/>
  <c r="G3" i="23"/>
  <c r="G2" i="23"/>
  <c r="K19" i="32"/>
  <c r="K30" i="32" s="1"/>
  <c r="L18" i="32"/>
  <c r="K18" i="32"/>
  <c r="K29" i="32" s="1"/>
  <c r="K17" i="32"/>
  <c r="K12" i="32"/>
  <c r="K23" i="32" s="1"/>
  <c r="K11" i="32"/>
  <c r="K22" i="32" s="1"/>
  <c r="L10" i="32"/>
  <c r="K10" i="32"/>
  <c r="K21" i="32" s="1"/>
  <c r="K9" i="32"/>
  <c r="L8" i="32" s="1"/>
  <c r="K8" i="32"/>
  <c r="K7" i="32"/>
  <c r="L7" i="32" s="1"/>
  <c r="K6" i="32"/>
  <c r="L5" i="32" s="1"/>
  <c r="K5" i="32"/>
  <c r="K16" i="32" s="1"/>
  <c r="K4" i="32"/>
  <c r="K15" i="32" s="1"/>
  <c r="K3" i="32"/>
  <c r="K14" i="32" s="1"/>
  <c r="K13" i="32"/>
  <c r="F12" i="32"/>
  <c r="H12" i="32" s="1"/>
  <c r="K18" i="31"/>
  <c r="K29" i="31" s="1"/>
  <c r="K17" i="31"/>
  <c r="K12" i="31"/>
  <c r="K23" i="31" s="1"/>
  <c r="K11" i="31"/>
  <c r="K22" i="31" s="1"/>
  <c r="L10" i="31"/>
  <c r="K10" i="31"/>
  <c r="K21" i="31" s="1"/>
  <c r="K9" i="31"/>
  <c r="L8" i="31" s="1"/>
  <c r="K8" i="31"/>
  <c r="L7" i="31" s="1"/>
  <c r="K7" i="31"/>
  <c r="L6" i="31" s="1"/>
  <c r="K6" i="31"/>
  <c r="K5" i="31"/>
  <c r="K16" i="31" s="1"/>
  <c r="K4" i="31"/>
  <c r="K15" i="31" s="1"/>
  <c r="K3" i="31"/>
  <c r="K14" i="31" s="1"/>
  <c r="L2" i="31"/>
  <c r="K2" i="31"/>
  <c r="K13" i="31" s="1"/>
  <c r="F12" i="31"/>
  <c r="H12" i="31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A42" i="23" s="1"/>
  <c r="A43" i="23" s="1"/>
  <c r="A44" i="23" s="1"/>
  <c r="A45" i="23" s="1"/>
  <c r="A46" i="23" s="1"/>
  <c r="A47" i="23" s="1"/>
  <c r="A48" i="23" s="1"/>
  <c r="A49" i="23" s="1"/>
  <c r="A50" i="23" s="1"/>
  <c r="A51" i="23" s="1"/>
  <c r="A52" i="23" s="1"/>
  <c r="A53" i="23" s="1"/>
  <c r="A54" i="23" s="1"/>
  <c r="A55" i="23" s="1"/>
  <c r="A56" i="23" s="1"/>
  <c r="A57" i="23" s="1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A201" i="23" s="1"/>
  <c r="A202" i="23" s="1"/>
  <c r="A203" i="23" s="1"/>
  <c r="A204" i="23" s="1"/>
  <c r="A205" i="23" s="1"/>
  <c r="A206" i="23" s="1"/>
  <c r="A207" i="23" s="1"/>
  <c r="A208" i="23" s="1"/>
  <c r="A209" i="23" s="1"/>
  <c r="A210" i="23" s="1"/>
  <c r="A211" i="23" s="1"/>
  <c r="A212" i="23" s="1"/>
  <c r="A213" i="23" s="1"/>
  <c r="A214" i="23" s="1"/>
  <c r="A215" i="23" s="1"/>
  <c r="A216" i="23" s="1"/>
  <c r="A217" i="23" s="1"/>
  <c r="A218" i="23" s="1"/>
  <c r="A219" i="23" s="1"/>
  <c r="A220" i="23" s="1"/>
  <c r="A221" i="23" s="1"/>
  <c r="A222" i="23" s="1"/>
  <c r="A223" i="23" s="1"/>
  <c r="A224" i="23" s="1"/>
  <c r="A225" i="23" s="1"/>
  <c r="A226" i="23" s="1"/>
  <c r="A227" i="23" s="1"/>
  <c r="A228" i="23" s="1"/>
  <c r="A229" i="23" s="1"/>
  <c r="A230" i="23" s="1"/>
  <c r="A231" i="23" s="1"/>
  <c r="A232" i="23" s="1"/>
  <c r="A233" i="23" s="1"/>
  <c r="A234" i="23" s="1"/>
  <c r="A235" i="23" s="1"/>
  <c r="A236" i="23" s="1"/>
  <c r="A237" i="23" s="1"/>
  <c r="A238" i="23" s="1"/>
  <c r="A239" i="23" s="1"/>
  <c r="A240" i="23" s="1"/>
  <c r="A241" i="23" s="1"/>
  <c r="A242" i="23" s="1"/>
  <c r="A243" i="23" s="1"/>
  <c r="A244" i="23" s="1"/>
  <c r="A245" i="23" s="1"/>
  <c r="A246" i="23" s="1"/>
  <c r="A247" i="23" s="1"/>
  <c r="A248" i="23" s="1"/>
  <c r="A249" i="23" s="1"/>
  <c r="A250" i="23" s="1"/>
  <c r="A251" i="23" s="1"/>
  <c r="A252" i="23" s="1"/>
  <c r="A253" i="23" s="1"/>
  <c r="A254" i="23" s="1"/>
  <c r="A255" i="23" s="1"/>
  <c r="A256" i="23" s="1"/>
  <c r="A257" i="23" s="1"/>
  <c r="A258" i="23" s="1"/>
  <c r="A259" i="23" s="1"/>
  <c r="A260" i="23" s="1"/>
  <c r="A261" i="23" s="1"/>
  <c r="A262" i="23" s="1"/>
  <c r="A263" i="23" s="1"/>
  <c r="A264" i="23" s="1"/>
  <c r="A265" i="23" s="1"/>
  <c r="A266" i="23" s="1"/>
  <c r="A267" i="23" s="1"/>
  <c r="A268" i="23" s="1"/>
  <c r="A269" i="23" s="1"/>
  <c r="A270" i="23" s="1"/>
  <c r="A271" i="23" s="1"/>
  <c r="A272" i="23" s="1"/>
  <c r="A273" i="23" s="1"/>
  <c r="A274" i="23" s="1"/>
  <c r="A275" i="23" s="1"/>
  <c r="A276" i="23" s="1"/>
  <c r="A277" i="23" s="1"/>
  <c r="A278" i="23" s="1"/>
  <c r="A279" i="23" s="1"/>
  <c r="A280" i="23" s="1"/>
  <c r="A281" i="23" s="1"/>
  <c r="A282" i="23" s="1"/>
  <c r="A283" i="23" s="1"/>
  <c r="A284" i="23" s="1"/>
  <c r="A285" i="23" s="1"/>
  <c r="A286" i="23" s="1"/>
  <c r="A287" i="23" s="1"/>
  <c r="A288" i="23" s="1"/>
  <c r="A289" i="23" s="1"/>
  <c r="A290" i="23" s="1"/>
  <c r="A291" i="23" s="1"/>
  <c r="A292" i="23" s="1"/>
  <c r="A293" i="23" s="1"/>
  <c r="A294" i="23" s="1"/>
  <c r="A295" i="23" s="1"/>
  <c r="A296" i="23" s="1"/>
  <c r="A297" i="23" s="1"/>
  <c r="A298" i="23" s="1"/>
  <c r="A299" i="23" s="1"/>
  <c r="A300" i="23" s="1"/>
  <c r="A301" i="23" s="1"/>
  <c r="A302" i="23" s="1"/>
  <c r="A303" i="23" s="1"/>
  <c r="A304" i="23" s="1"/>
  <c r="A305" i="23" s="1"/>
  <c r="A306" i="23" s="1"/>
  <c r="A307" i="23" s="1"/>
  <c r="A308" i="23" s="1"/>
  <c r="A309" i="23" s="1"/>
  <c r="A310" i="23" s="1"/>
  <c r="A311" i="23" s="1"/>
  <c r="A312" i="23" s="1"/>
  <c r="A313" i="23" s="1"/>
  <c r="A314" i="23" s="1"/>
  <c r="A315" i="23" s="1"/>
  <c r="A316" i="23" s="1"/>
  <c r="A317" i="23" s="1"/>
  <c r="A318" i="23" s="1"/>
  <c r="A319" i="23" s="1"/>
  <c r="A320" i="23" s="1"/>
  <c r="A321" i="23" s="1"/>
  <c r="A322" i="23" s="1"/>
  <c r="A323" i="23" s="1"/>
  <c r="A324" i="23" s="1"/>
  <c r="A325" i="23" s="1"/>
  <c r="A326" i="23" s="1"/>
  <c r="A327" i="23" s="1"/>
  <c r="A328" i="23" s="1"/>
  <c r="A329" i="23" s="1"/>
  <c r="A330" i="23" s="1"/>
  <c r="A331" i="23" s="1"/>
  <c r="A332" i="23" s="1"/>
  <c r="A333" i="23" s="1"/>
  <c r="A334" i="23" s="1"/>
  <c r="A335" i="23" s="1"/>
  <c r="A336" i="23" s="1"/>
  <c r="A337" i="23" s="1"/>
  <c r="A338" i="23" s="1"/>
  <c r="A339" i="23" s="1"/>
  <c r="A340" i="23" s="1"/>
  <c r="A341" i="23" s="1"/>
  <c r="A342" i="23" s="1"/>
  <c r="A343" i="23" s="1"/>
  <c r="A344" i="23" s="1"/>
  <c r="A345" i="23" s="1"/>
  <c r="A346" i="23" s="1"/>
  <c r="A347" i="23" s="1"/>
  <c r="A348" i="23" s="1"/>
  <c r="A349" i="23" s="1"/>
  <c r="A350" i="23" s="1"/>
  <c r="A351" i="23" s="1"/>
  <c r="A352" i="23" s="1"/>
  <c r="A353" i="23" s="1"/>
  <c r="A354" i="23" s="1"/>
  <c r="A355" i="23" s="1"/>
  <c r="A356" i="23" s="1"/>
  <c r="A357" i="23" s="1"/>
  <c r="A358" i="23" s="1"/>
  <c r="A359" i="23" s="1"/>
  <c r="A360" i="23" s="1"/>
  <c r="A361" i="23" s="1"/>
  <c r="A362" i="23" s="1"/>
  <c r="A363" i="23" s="1"/>
  <c r="A364" i="23" s="1"/>
  <c r="A365" i="23" s="1"/>
  <c r="A366" i="23" s="1"/>
  <c r="A367" i="23" s="1"/>
  <c r="A368" i="23" s="1"/>
  <c r="A369" i="23" s="1"/>
  <c r="A370" i="23" s="1"/>
  <c r="A371" i="23" s="1"/>
  <c r="A372" i="23" s="1"/>
  <c r="A373" i="23" s="1"/>
  <c r="A374" i="23" s="1"/>
  <c r="A375" i="23" s="1"/>
  <c r="A376" i="23" s="1"/>
  <c r="A377" i="23" s="1"/>
  <c r="A378" i="23" s="1"/>
  <c r="A379" i="23" s="1"/>
  <c r="A380" i="23" s="1"/>
  <c r="A381" i="23" s="1"/>
  <c r="A382" i="23" s="1"/>
  <c r="A383" i="23" s="1"/>
  <c r="A384" i="23" s="1"/>
  <c r="A385" i="23" s="1"/>
  <c r="A386" i="23" s="1"/>
  <c r="A387" i="23" s="1"/>
  <c r="A388" i="23" s="1"/>
  <c r="A389" i="23" s="1"/>
  <c r="A390" i="23" s="1"/>
  <c r="A391" i="23" s="1"/>
  <c r="A392" i="23" s="1"/>
  <c r="A393" i="23" s="1"/>
  <c r="A394" i="23" s="1"/>
  <c r="A395" i="23" s="1"/>
  <c r="A396" i="23" s="1"/>
  <c r="A397" i="23" s="1"/>
  <c r="A398" i="23" s="1"/>
  <c r="A399" i="23" s="1"/>
  <c r="A400" i="23" s="1"/>
  <c r="A401" i="23" s="1"/>
  <c r="A402" i="23" s="1"/>
  <c r="A403" i="23" s="1"/>
  <c r="A404" i="23" s="1"/>
  <c r="A405" i="23" s="1"/>
  <c r="A406" i="23" s="1"/>
  <c r="A407" i="23" s="1"/>
  <c r="A408" i="23" s="1"/>
  <c r="A409" i="23" s="1"/>
  <c r="A410" i="23" s="1"/>
  <c r="A411" i="23" s="1"/>
  <c r="A412" i="23" s="1"/>
  <c r="A413" i="23" s="1"/>
  <c r="A414" i="23" s="1"/>
  <c r="A415" i="23" s="1"/>
  <c r="A416" i="23" s="1"/>
  <c r="A417" i="23" s="1"/>
  <c r="A418" i="23" s="1"/>
  <c r="A419" i="23" s="1"/>
  <c r="A420" i="23" s="1"/>
  <c r="A421" i="23" s="1"/>
  <c r="A422" i="23" s="1"/>
  <c r="A423" i="23" s="1"/>
  <c r="A424" i="23" s="1"/>
  <c r="A425" i="23" s="1"/>
  <c r="A426" i="23" s="1"/>
  <c r="A427" i="23" s="1"/>
  <c r="A428" i="23" s="1"/>
  <c r="A429" i="23" s="1"/>
  <c r="A430" i="23" s="1"/>
  <c r="A431" i="23" s="1"/>
  <c r="A432" i="23" s="1"/>
  <c r="A433" i="23" s="1"/>
  <c r="A434" i="23" s="1"/>
  <c r="A435" i="23" s="1"/>
  <c r="A436" i="23" s="1"/>
  <c r="A437" i="23" s="1"/>
  <c r="A438" i="23" s="1"/>
  <c r="A439" i="23" s="1"/>
  <c r="A440" i="23" s="1"/>
  <c r="A441" i="23" s="1"/>
  <c r="A442" i="23" s="1"/>
  <c r="A443" i="23" s="1"/>
  <c r="A444" i="23" s="1"/>
  <c r="A445" i="23" s="1"/>
  <c r="A446" i="23" s="1"/>
  <c r="A447" i="23" s="1"/>
  <c r="A448" i="23" s="1"/>
  <c r="A449" i="23" s="1"/>
  <c r="A450" i="23" s="1"/>
  <c r="A451" i="23" s="1"/>
  <c r="A452" i="23" s="1"/>
  <c r="A453" i="23" s="1"/>
  <c r="A454" i="23" s="1"/>
  <c r="A455" i="23" s="1"/>
  <c r="A456" i="23" s="1"/>
  <c r="A457" i="23" s="1"/>
  <c r="A458" i="23" s="1"/>
  <c r="A459" i="23" s="1"/>
  <c r="A460" i="23" s="1"/>
  <c r="A461" i="23" s="1"/>
  <c r="A462" i="23" s="1"/>
  <c r="A463" i="23" s="1"/>
  <c r="A464" i="23" s="1"/>
  <c r="A465" i="23" s="1"/>
  <c r="A466" i="23" s="1"/>
  <c r="A467" i="23" s="1"/>
  <c r="A468" i="23" s="1"/>
  <c r="A469" i="23" s="1"/>
  <c r="A470" i="23" s="1"/>
  <c r="A471" i="23" s="1"/>
  <c r="A472" i="23" s="1"/>
  <c r="A473" i="23" s="1"/>
  <c r="A474" i="23" s="1"/>
  <c r="A475" i="23" s="1"/>
  <c r="A476" i="23" s="1"/>
  <c r="A477" i="23" s="1"/>
  <c r="A478" i="23" s="1"/>
  <c r="A479" i="23" s="1"/>
  <c r="A480" i="23" s="1"/>
  <c r="A481" i="23" s="1"/>
  <c r="A482" i="23" s="1"/>
  <c r="A483" i="23" s="1"/>
  <c r="A484" i="23" s="1"/>
  <c r="A485" i="23" s="1"/>
  <c r="A486" i="23" s="1"/>
  <c r="A487" i="23" s="1"/>
  <c r="A488" i="23" s="1"/>
  <c r="A489" i="23" s="1"/>
  <c r="A490" i="23" s="1"/>
  <c r="A491" i="23" s="1"/>
  <c r="A492" i="23" s="1"/>
  <c r="A493" i="23" s="1"/>
  <c r="A494" i="23" s="1"/>
  <c r="A495" i="23" s="1"/>
  <c r="A496" i="23" s="1"/>
  <c r="A497" i="23" s="1"/>
  <c r="A498" i="23" s="1"/>
  <c r="A499" i="23" s="1"/>
  <c r="A500" i="23" s="1"/>
  <c r="A501" i="23" s="1"/>
  <c r="A502" i="23" s="1"/>
  <c r="A503" i="23" s="1"/>
  <c r="A504" i="23" s="1"/>
  <c r="A505" i="23" s="1"/>
  <c r="A506" i="23" s="1"/>
  <c r="A507" i="23" s="1"/>
  <c r="A508" i="23" s="1"/>
  <c r="A509" i="23" s="1"/>
  <c r="A510" i="23" s="1"/>
  <c r="A511" i="23" s="1"/>
  <c r="A512" i="23" s="1"/>
  <c r="A513" i="23" s="1"/>
  <c r="A514" i="23" s="1"/>
  <c r="A515" i="23" s="1"/>
  <c r="A516" i="23" s="1"/>
  <c r="A517" i="23" s="1"/>
  <c r="A518" i="23" s="1"/>
  <c r="A519" i="23" s="1"/>
  <c r="A520" i="23" s="1"/>
  <c r="A521" i="23" s="1"/>
  <c r="A522" i="23" s="1"/>
  <c r="A523" i="23" s="1"/>
  <c r="A524" i="23" s="1"/>
  <c r="A525" i="23" s="1"/>
  <c r="A526" i="23" s="1"/>
  <c r="A527" i="23" s="1"/>
  <c r="A528" i="23" s="1"/>
  <c r="A529" i="23" s="1"/>
  <c r="A530" i="23" s="1"/>
  <c r="A531" i="23" s="1"/>
  <c r="A532" i="23" s="1"/>
  <c r="A533" i="23" s="1"/>
  <c r="A534" i="23" s="1"/>
  <c r="A535" i="23" s="1"/>
  <c r="A536" i="23" s="1"/>
  <c r="A537" i="23" s="1"/>
  <c r="A538" i="23" s="1"/>
  <c r="A539" i="23" s="1"/>
  <c r="A540" i="23" s="1"/>
  <c r="A541" i="23" s="1"/>
  <c r="A542" i="23" s="1"/>
  <c r="A543" i="23" s="1"/>
  <c r="A544" i="23" s="1"/>
  <c r="A545" i="23" s="1"/>
  <c r="A546" i="23" s="1"/>
  <c r="A547" i="23" s="1"/>
  <c r="A548" i="23" s="1"/>
  <c r="A549" i="23" s="1"/>
  <c r="A550" i="23" s="1"/>
  <c r="A551" i="23" s="1"/>
  <c r="A552" i="23" s="1"/>
  <c r="A553" i="23" s="1"/>
  <c r="A554" i="23" s="1"/>
  <c r="A555" i="23" s="1"/>
  <c r="A556" i="23" s="1"/>
  <c r="A557" i="23" s="1"/>
  <c r="A558" i="23" s="1"/>
  <c r="A559" i="23" s="1"/>
  <c r="A560" i="23" s="1"/>
  <c r="A561" i="23" s="1"/>
  <c r="A562" i="23" s="1"/>
  <c r="A563" i="23" s="1"/>
  <c r="A564" i="23" s="1"/>
  <c r="A565" i="23" s="1"/>
  <c r="A566" i="23" s="1"/>
  <c r="A567" i="23" s="1"/>
  <c r="A568" i="23" s="1"/>
  <c r="A569" i="23" s="1"/>
  <c r="A570" i="23" s="1"/>
  <c r="A571" i="23" s="1"/>
  <c r="A572" i="23" s="1"/>
  <c r="A573" i="23" s="1"/>
  <c r="A574" i="23" s="1"/>
  <c r="A575" i="23" s="1"/>
  <c r="A576" i="23" s="1"/>
  <c r="A577" i="23" s="1"/>
  <c r="A578" i="23" s="1"/>
  <c r="A579" i="23" s="1"/>
  <c r="A580" i="23" s="1"/>
  <c r="A581" i="23" s="1"/>
  <c r="A582" i="23" s="1"/>
  <c r="A583" i="23" s="1"/>
  <c r="A584" i="23" s="1"/>
  <c r="A585" i="23" s="1"/>
  <c r="A586" i="23" s="1"/>
  <c r="A587" i="23" s="1"/>
  <c r="A588" i="23" s="1"/>
  <c r="A589" i="23" s="1"/>
  <c r="A590" i="23" s="1"/>
  <c r="A591" i="23" s="1"/>
  <c r="A592" i="23" s="1"/>
  <c r="A593" i="23" s="1"/>
  <c r="A594" i="23" s="1"/>
  <c r="A595" i="23" s="1"/>
  <c r="A596" i="23" s="1"/>
  <c r="A597" i="23" s="1"/>
  <c r="A598" i="23" s="1"/>
  <c r="A599" i="23" s="1"/>
  <c r="A600" i="23" s="1"/>
  <c r="A601" i="23" s="1"/>
  <c r="A602" i="23" s="1"/>
  <c r="A603" i="23" s="1"/>
  <c r="A604" i="23" s="1"/>
  <c r="A605" i="23" s="1"/>
  <c r="A606" i="23" s="1"/>
  <c r="A607" i="23" s="1"/>
  <c r="A608" i="23" s="1"/>
  <c r="A609" i="23" s="1"/>
  <c r="A610" i="23" s="1"/>
  <c r="A611" i="23" s="1"/>
  <c r="A612" i="23" s="1"/>
  <c r="A613" i="23" s="1"/>
  <c r="A614" i="23" s="1"/>
  <c r="A615" i="23" s="1"/>
  <c r="A616" i="23" s="1"/>
  <c r="A617" i="23" s="1"/>
  <c r="A618" i="23" s="1"/>
  <c r="A619" i="23" s="1"/>
  <c r="A620" i="23" s="1"/>
  <c r="A621" i="23" s="1"/>
  <c r="A622" i="23" s="1"/>
  <c r="A623" i="23" s="1"/>
  <c r="A624" i="23" s="1"/>
  <c r="A625" i="23" s="1"/>
  <c r="A626" i="23" s="1"/>
  <c r="A627" i="23" s="1"/>
  <c r="A628" i="23" s="1"/>
  <c r="A629" i="23" s="1"/>
  <c r="A630" i="23" s="1"/>
  <c r="A631" i="23" s="1"/>
  <c r="A632" i="23" s="1"/>
  <c r="A633" i="23" s="1"/>
  <c r="A634" i="23" s="1"/>
  <c r="A635" i="23" s="1"/>
  <c r="A636" i="23" s="1"/>
  <c r="A637" i="23" s="1"/>
  <c r="A638" i="23" s="1"/>
  <c r="A639" i="23" s="1"/>
  <c r="A640" i="23" s="1"/>
  <c r="A641" i="23" s="1"/>
  <c r="A642" i="23" s="1"/>
  <c r="A643" i="23" s="1"/>
  <c r="A644" i="23" s="1"/>
  <c r="A645" i="23" s="1"/>
  <c r="A646" i="23" s="1"/>
  <c r="A647" i="23" s="1"/>
  <c r="A648" i="23" s="1"/>
  <c r="A649" i="23" s="1"/>
  <c r="A650" i="23" s="1"/>
  <c r="A651" i="23" s="1"/>
  <c r="A652" i="23" s="1"/>
  <c r="A653" i="23" s="1"/>
  <c r="A654" i="23" s="1"/>
  <c r="A655" i="23" s="1"/>
  <c r="A656" i="23" s="1"/>
  <c r="A657" i="23" s="1"/>
  <c r="A658" i="23" s="1"/>
  <c r="A659" i="23" s="1"/>
  <c r="A660" i="23" s="1"/>
  <c r="A661" i="23" s="1"/>
  <c r="A662" i="23" s="1"/>
  <c r="A663" i="23" s="1"/>
  <c r="A664" i="23" s="1"/>
  <c r="A665" i="23" s="1"/>
  <c r="A666" i="23" s="1"/>
  <c r="A667" i="23" s="1"/>
  <c r="A668" i="23" s="1"/>
  <c r="A669" i="23" s="1"/>
  <c r="A670" i="23" s="1"/>
  <c r="A671" i="23" s="1"/>
  <c r="A672" i="23" s="1"/>
  <c r="A673" i="23" s="1"/>
  <c r="A674" i="23" s="1"/>
  <c r="A675" i="23" s="1"/>
  <c r="A676" i="23" s="1"/>
  <c r="A677" i="23" s="1"/>
  <c r="A678" i="23" s="1"/>
  <c r="A679" i="23" s="1"/>
  <c r="A680" i="23" s="1"/>
  <c r="A681" i="23" s="1"/>
  <c r="A682" i="23" s="1"/>
  <c r="A683" i="23" s="1"/>
  <c r="A684" i="23" s="1"/>
  <c r="A685" i="23" s="1"/>
  <c r="A686" i="23" s="1"/>
  <c r="A687" i="23" s="1"/>
  <c r="A688" i="23" s="1"/>
  <c r="A689" i="23" s="1"/>
  <c r="A690" i="23" s="1"/>
  <c r="A691" i="23" s="1"/>
  <c r="A692" i="23" s="1"/>
  <c r="A693" i="23" s="1"/>
  <c r="A694" i="23" s="1"/>
  <c r="A695" i="23" s="1"/>
  <c r="A696" i="23" s="1"/>
  <c r="A697" i="23" s="1"/>
  <c r="A698" i="23" s="1"/>
  <c r="A699" i="23" s="1"/>
  <c r="A700" i="23" s="1"/>
  <c r="A701" i="23" s="1"/>
  <c r="A702" i="23" s="1"/>
  <c r="A703" i="23" s="1"/>
  <c r="A704" i="23" s="1"/>
  <c r="A705" i="23" s="1"/>
  <c r="A706" i="23" s="1"/>
  <c r="A707" i="23" s="1"/>
  <c r="A708" i="23" s="1"/>
  <c r="A709" i="23" s="1"/>
  <c r="A710" i="23" s="1"/>
  <c r="A711" i="23" s="1"/>
  <c r="A712" i="23" s="1"/>
  <c r="A713" i="23" s="1"/>
  <c r="A714" i="23" s="1"/>
  <c r="A715" i="23" s="1"/>
  <c r="A716" i="23" s="1"/>
  <c r="A717" i="23" s="1"/>
  <c r="A718" i="23" s="1"/>
  <c r="A719" i="23" s="1"/>
  <c r="A720" i="23" s="1"/>
  <c r="A721" i="23" s="1"/>
  <c r="A722" i="23" s="1"/>
  <c r="A723" i="23" s="1"/>
  <c r="A724" i="23" s="1"/>
  <c r="A725" i="23" s="1"/>
  <c r="A726" i="23" s="1"/>
  <c r="A727" i="23" s="1"/>
  <c r="A728" i="23" s="1"/>
  <c r="A729" i="23" s="1"/>
  <c r="A730" i="23" s="1"/>
  <c r="A731" i="23" s="1"/>
  <c r="A732" i="23" s="1"/>
  <c r="A733" i="23" s="1"/>
  <c r="A734" i="23" s="1"/>
  <c r="A735" i="23" s="1"/>
  <c r="A736" i="23" s="1"/>
  <c r="A737" i="23" s="1"/>
  <c r="A738" i="23" s="1"/>
  <c r="A739" i="23" s="1"/>
  <c r="A740" i="23" s="1"/>
  <c r="A741" i="23" s="1"/>
  <c r="A742" i="23" s="1"/>
  <c r="A743" i="23" s="1"/>
  <c r="A744" i="23" s="1"/>
  <c r="A745" i="23" s="1"/>
  <c r="A746" i="23" s="1"/>
  <c r="A747" i="23" s="1"/>
  <c r="A748" i="23" s="1"/>
  <c r="A749" i="23" s="1"/>
  <c r="A750" i="23" s="1"/>
  <c r="A751" i="23" s="1"/>
  <c r="A752" i="23" s="1"/>
  <c r="A753" i="23" s="1"/>
  <c r="A754" i="23" s="1"/>
  <c r="A755" i="23" s="1"/>
  <c r="A756" i="23" s="1"/>
  <c r="A757" i="23" s="1"/>
  <c r="A758" i="23" s="1"/>
  <c r="A759" i="23" s="1"/>
  <c r="A760" i="23" s="1"/>
  <c r="A761" i="23" s="1"/>
  <c r="A762" i="23" s="1"/>
  <c r="A763" i="23" s="1"/>
  <c r="A764" i="23" s="1"/>
  <c r="A765" i="23" s="1"/>
  <c r="A766" i="23" s="1"/>
  <c r="A767" i="23" s="1"/>
  <c r="A768" i="23" s="1"/>
  <c r="A769" i="23" s="1"/>
  <c r="A770" i="23" s="1"/>
  <c r="A771" i="23" s="1"/>
  <c r="A772" i="23" s="1"/>
  <c r="A773" i="23" s="1"/>
  <c r="A774" i="23" s="1"/>
  <c r="A775" i="23" s="1"/>
  <c r="A776" i="23" s="1"/>
  <c r="A777" i="23" s="1"/>
  <c r="A778" i="23" s="1"/>
  <c r="A779" i="23" s="1"/>
  <c r="A780" i="23" s="1"/>
  <c r="A781" i="23" s="1"/>
  <c r="A782" i="23" s="1"/>
  <c r="A783" i="23" s="1"/>
  <c r="A4" i="32"/>
  <c r="A5" i="32" s="1"/>
  <c r="A6" i="32" s="1"/>
  <c r="A7" i="32" s="1"/>
  <c r="A8" i="32" s="1"/>
  <c r="A9" i="32" s="1"/>
  <c r="A10" i="32" s="1"/>
  <c r="A11" i="32" s="1"/>
  <c r="A12" i="32" s="1"/>
  <c r="A13" i="32" s="1"/>
  <c r="A14" i="32" s="1"/>
  <c r="A15" i="32" s="1"/>
  <c r="A16" i="32" s="1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A43" i="32" s="1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A56" i="32" s="1"/>
  <c r="A57" i="32" s="1"/>
  <c r="A58" i="32" s="1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A69" i="32" s="1"/>
  <c r="A70" i="32" s="1"/>
  <c r="A71" i="32" s="1"/>
  <c r="A72" i="32" s="1"/>
  <c r="A73" i="32" s="1"/>
  <c r="A74" i="32" s="1"/>
  <c r="A75" i="32" s="1"/>
  <c r="A76" i="32" s="1"/>
  <c r="A77" i="32" s="1"/>
  <c r="A78" i="32" s="1"/>
  <c r="A79" i="32" s="1"/>
  <c r="A80" i="32" s="1"/>
  <c r="A81" i="32" s="1"/>
  <c r="A82" i="32" s="1"/>
  <c r="A83" i="32" s="1"/>
  <c r="A84" i="32" s="1"/>
  <c r="A85" i="32" s="1"/>
  <c r="A86" i="32" s="1"/>
  <c r="A87" i="32" s="1"/>
  <c r="A88" i="32" s="1"/>
  <c r="A89" i="32" s="1"/>
  <c r="A90" i="32" s="1"/>
  <c r="A91" i="32" s="1"/>
  <c r="A92" i="32" s="1"/>
  <c r="A93" i="32" s="1"/>
  <c r="A94" i="32" s="1"/>
  <c r="A95" i="32" s="1"/>
  <c r="A96" i="32" s="1"/>
  <c r="A97" i="32" s="1"/>
  <c r="A98" i="32" s="1"/>
  <c r="A99" i="32" s="1"/>
  <c r="A100" i="32" s="1"/>
  <c r="A101" i="32" s="1"/>
  <c r="A102" i="32" s="1"/>
  <c r="A103" i="32" s="1"/>
  <c r="A104" i="32" s="1"/>
  <c r="A105" i="32" s="1"/>
  <c r="A106" i="32" s="1"/>
  <c r="A107" i="32" s="1"/>
  <c r="A108" i="32" s="1"/>
  <c r="A109" i="32" s="1"/>
  <c r="A110" i="32" s="1"/>
  <c r="A111" i="32" s="1"/>
  <c r="A112" i="32" s="1"/>
  <c r="A113" i="32" s="1"/>
  <c r="A114" i="32" s="1"/>
  <c r="A115" i="32" s="1"/>
  <c r="A116" i="32" s="1"/>
  <c r="A117" i="32" s="1"/>
  <c r="A118" i="32" s="1"/>
  <c r="A119" i="32" s="1"/>
  <c r="A120" i="32" s="1"/>
  <c r="A121" i="32" s="1"/>
  <c r="A122" i="32" s="1"/>
  <c r="A123" i="32" s="1"/>
  <c r="A124" i="32" s="1"/>
  <c r="A125" i="32" s="1"/>
  <c r="A126" i="32" s="1"/>
  <c r="A127" i="32" s="1"/>
  <c r="A128" i="32" s="1"/>
  <c r="A129" i="32" s="1"/>
  <c r="A130" i="32" s="1"/>
  <c r="A131" i="32" s="1"/>
  <c r="A132" i="32" s="1"/>
  <c r="A133" i="32" s="1"/>
  <c r="A134" i="32" s="1"/>
  <c r="A135" i="32" s="1"/>
  <c r="A136" i="32" s="1"/>
  <c r="A137" i="32" s="1"/>
  <c r="A138" i="32" s="1"/>
  <c r="A139" i="32" s="1"/>
  <c r="A140" i="32" s="1"/>
  <c r="A141" i="32" s="1"/>
  <c r="A142" i="32" s="1"/>
  <c r="A143" i="32" s="1"/>
  <c r="A144" i="32" s="1"/>
  <c r="A145" i="32" s="1"/>
  <c r="A146" i="32" s="1"/>
  <c r="A147" i="32" s="1"/>
  <c r="A148" i="32" s="1"/>
  <c r="A149" i="32" s="1"/>
  <c r="A150" i="32" s="1"/>
  <c r="A151" i="32" s="1"/>
  <c r="A152" i="32" s="1"/>
  <c r="A153" i="32" s="1"/>
  <c r="A154" i="32" s="1"/>
  <c r="A155" i="32" s="1"/>
  <c r="A156" i="32" s="1"/>
  <c r="A157" i="32" s="1"/>
  <c r="A158" i="32" s="1"/>
  <c r="A159" i="32" s="1"/>
  <c r="A160" i="32" s="1"/>
  <c r="A161" i="32" s="1"/>
  <c r="A162" i="32" s="1"/>
  <c r="A163" i="32" s="1"/>
  <c r="A164" i="32" s="1"/>
  <c r="A165" i="32" s="1"/>
  <c r="A166" i="32" s="1"/>
  <c r="A167" i="32" s="1"/>
  <c r="A168" i="32" s="1"/>
  <c r="A169" i="32" s="1"/>
  <c r="A170" i="32" s="1"/>
  <c r="A171" i="32" s="1"/>
  <c r="A172" i="32" s="1"/>
  <c r="A173" i="32" s="1"/>
  <c r="A174" i="32" s="1"/>
  <c r="A175" i="32" s="1"/>
  <c r="A176" i="32" s="1"/>
  <c r="A177" i="32" s="1"/>
  <c r="A178" i="32" s="1"/>
  <c r="A179" i="32" s="1"/>
  <c r="A180" i="32" s="1"/>
  <c r="A181" i="32" s="1"/>
  <c r="A182" i="32" s="1"/>
  <c r="A183" i="32" s="1"/>
  <c r="A184" i="32" s="1"/>
  <c r="A185" i="32" s="1"/>
  <c r="A186" i="32" s="1"/>
  <c r="A187" i="32" s="1"/>
  <c r="A188" i="32" s="1"/>
  <c r="A189" i="32" s="1"/>
  <c r="A190" i="32" s="1"/>
  <c r="A191" i="32" s="1"/>
  <c r="A192" i="32" s="1"/>
  <c r="A193" i="32" s="1"/>
  <c r="A194" i="32" s="1"/>
  <c r="A195" i="32" s="1"/>
  <c r="A196" i="32" s="1"/>
  <c r="A197" i="32" s="1"/>
  <c r="A198" i="32" s="1"/>
  <c r="A199" i="32" s="1"/>
  <c r="A200" i="32" s="1"/>
  <c r="A201" i="32" s="1"/>
  <c r="A202" i="32" s="1"/>
  <c r="A203" i="32" s="1"/>
  <c r="A204" i="32" s="1"/>
  <c r="A205" i="32" s="1"/>
  <c r="A206" i="32" s="1"/>
  <c r="A207" i="32" s="1"/>
  <c r="A208" i="32" s="1"/>
  <c r="A209" i="32" s="1"/>
  <c r="A210" i="32" s="1"/>
  <c r="A211" i="32" s="1"/>
  <c r="A212" i="32" s="1"/>
  <c r="A213" i="32" s="1"/>
  <c r="A214" i="32" s="1"/>
  <c r="A215" i="32" s="1"/>
  <c r="A216" i="32" s="1"/>
  <c r="A217" i="32" s="1"/>
  <c r="A218" i="32" s="1"/>
  <c r="A219" i="32" s="1"/>
  <c r="A220" i="32" s="1"/>
  <c r="A221" i="32" s="1"/>
  <c r="A222" i="32" s="1"/>
  <c r="A223" i="32" s="1"/>
  <c r="A224" i="32" s="1"/>
  <c r="A225" i="32" s="1"/>
  <c r="A226" i="32" s="1"/>
  <c r="A227" i="32" s="1"/>
  <c r="A228" i="32" s="1"/>
  <c r="A229" i="32" s="1"/>
  <c r="A230" i="32" s="1"/>
  <c r="A231" i="32" s="1"/>
  <c r="A232" i="32" s="1"/>
  <c r="A233" i="32" s="1"/>
  <c r="A234" i="32" s="1"/>
  <c r="A235" i="32" s="1"/>
  <c r="A236" i="32" s="1"/>
  <c r="A237" i="32" s="1"/>
  <c r="A238" i="32" s="1"/>
  <c r="A239" i="32" s="1"/>
  <c r="A240" i="32" s="1"/>
  <c r="A241" i="32" s="1"/>
  <c r="A242" i="32" s="1"/>
  <c r="A243" i="32" s="1"/>
  <c r="A244" i="32" s="1"/>
  <c r="A245" i="32" s="1"/>
  <c r="A246" i="32" s="1"/>
  <c r="A247" i="32" s="1"/>
  <c r="A248" i="32" s="1"/>
  <c r="A249" i="32" s="1"/>
  <c r="A250" i="32" s="1"/>
  <c r="A251" i="32" s="1"/>
  <c r="A252" i="32" s="1"/>
  <c r="A253" i="32" s="1"/>
  <c r="A254" i="32" s="1"/>
  <c r="A255" i="32" s="1"/>
  <c r="A256" i="32" s="1"/>
  <c r="A257" i="32" s="1"/>
  <c r="A258" i="32" s="1"/>
  <c r="A259" i="32" s="1"/>
  <c r="A260" i="32" s="1"/>
  <c r="A261" i="32" s="1"/>
  <c r="A262" i="32" s="1"/>
  <c r="A263" i="32" s="1"/>
  <c r="A264" i="32" s="1"/>
  <c r="A265" i="32" s="1"/>
  <c r="A266" i="32" s="1"/>
  <c r="A267" i="32" s="1"/>
  <c r="A268" i="32" s="1"/>
  <c r="A269" i="32" s="1"/>
  <c r="A270" i="32" s="1"/>
  <c r="A271" i="32" s="1"/>
  <c r="A272" i="32" s="1"/>
  <c r="A273" i="32" s="1"/>
  <c r="A274" i="32" s="1"/>
  <c r="A275" i="32" s="1"/>
  <c r="A276" i="32" s="1"/>
  <c r="A277" i="32" s="1"/>
  <c r="A278" i="32" s="1"/>
  <c r="A279" i="32" s="1"/>
  <c r="A280" i="32" s="1"/>
  <c r="A281" i="32" s="1"/>
  <c r="A282" i="32" s="1"/>
  <c r="A283" i="32" s="1"/>
  <c r="A284" i="32" s="1"/>
  <c r="A285" i="32" s="1"/>
  <c r="A286" i="32" s="1"/>
  <c r="A287" i="32" s="1"/>
  <c r="A288" i="32" s="1"/>
  <c r="A289" i="32" s="1"/>
  <c r="A290" i="32" s="1"/>
  <c r="A291" i="32" s="1"/>
  <c r="A292" i="32" s="1"/>
  <c r="A293" i="32" s="1"/>
  <c r="A294" i="32" s="1"/>
  <c r="A295" i="32" s="1"/>
  <c r="A296" i="32" s="1"/>
  <c r="A297" i="32" s="1"/>
  <c r="A298" i="32" s="1"/>
  <c r="A299" i="32" s="1"/>
  <c r="A300" i="32" s="1"/>
  <c r="A301" i="32" s="1"/>
  <c r="A302" i="32" s="1"/>
  <c r="A303" i="32" s="1"/>
  <c r="A304" i="32" s="1"/>
  <c r="A305" i="32" s="1"/>
  <c r="A306" i="32" s="1"/>
  <c r="A307" i="32" s="1"/>
  <c r="A308" i="32" s="1"/>
  <c r="A309" i="32" s="1"/>
  <c r="A310" i="32" s="1"/>
  <c r="A311" i="32" s="1"/>
  <c r="A312" i="32" s="1"/>
  <c r="A313" i="32" s="1"/>
  <c r="A314" i="32" s="1"/>
  <c r="A315" i="32" s="1"/>
  <c r="A316" i="32" s="1"/>
  <c r="A317" i="32" s="1"/>
  <c r="A318" i="32" s="1"/>
  <c r="A319" i="32" s="1"/>
  <c r="A320" i="32" s="1"/>
  <c r="A321" i="32" s="1"/>
  <c r="A322" i="32" s="1"/>
  <c r="A323" i="32" s="1"/>
  <c r="A324" i="32" s="1"/>
  <c r="A325" i="32" s="1"/>
  <c r="A326" i="32" s="1"/>
  <c r="A327" i="32" s="1"/>
  <c r="A328" i="32" s="1"/>
  <c r="A329" i="32" s="1"/>
  <c r="A330" i="32" s="1"/>
  <c r="A331" i="32" s="1"/>
  <c r="A332" i="32" s="1"/>
  <c r="A333" i="32" s="1"/>
  <c r="A334" i="32" s="1"/>
  <c r="A335" i="32" s="1"/>
  <c r="A336" i="32" s="1"/>
  <c r="A337" i="32" s="1"/>
  <c r="A338" i="32" s="1"/>
  <c r="A339" i="32" s="1"/>
  <c r="A340" i="32" s="1"/>
  <c r="A341" i="32" s="1"/>
  <c r="A342" i="32" s="1"/>
  <c r="A343" i="32" s="1"/>
  <c r="A344" i="32" s="1"/>
  <c r="A345" i="32" s="1"/>
  <c r="A346" i="32" s="1"/>
  <c r="A347" i="32" s="1"/>
  <c r="A348" i="32" s="1"/>
  <c r="A349" i="32" s="1"/>
  <c r="A350" i="32" s="1"/>
  <c r="A351" i="32" s="1"/>
  <c r="A352" i="32" s="1"/>
  <c r="A353" i="32" s="1"/>
  <c r="A354" i="32" s="1"/>
  <c r="A355" i="32" s="1"/>
  <c r="A356" i="32" s="1"/>
  <c r="A357" i="32" s="1"/>
  <c r="A358" i="32" s="1"/>
  <c r="A359" i="32" s="1"/>
  <c r="A360" i="32" s="1"/>
  <c r="A361" i="32" s="1"/>
  <c r="A362" i="32" s="1"/>
  <c r="A363" i="32" s="1"/>
  <c r="A364" i="32" s="1"/>
  <c r="A365" i="32" s="1"/>
  <c r="A366" i="32" s="1"/>
  <c r="A367" i="32" s="1"/>
  <c r="A368" i="32" s="1"/>
  <c r="A369" i="32" s="1"/>
  <c r="A370" i="32" s="1"/>
  <c r="A371" i="32" s="1"/>
  <c r="A372" i="32" s="1"/>
  <c r="A373" i="32" s="1"/>
  <c r="A374" i="32" s="1"/>
  <c r="A375" i="32" s="1"/>
  <c r="A376" i="32" s="1"/>
  <c r="A377" i="32" s="1"/>
  <c r="A378" i="32" s="1"/>
  <c r="A379" i="32" s="1"/>
  <c r="A380" i="32" s="1"/>
  <c r="A381" i="32" s="1"/>
  <c r="A382" i="32" s="1"/>
  <c r="A383" i="32" s="1"/>
  <c r="A384" i="32" s="1"/>
  <c r="A385" i="32" s="1"/>
  <c r="A386" i="32" s="1"/>
  <c r="A387" i="32" s="1"/>
  <c r="A388" i="32" s="1"/>
  <c r="A389" i="32" s="1"/>
  <c r="A390" i="32" s="1"/>
  <c r="A391" i="32" s="1"/>
  <c r="A392" i="32" s="1"/>
  <c r="A393" i="32" s="1"/>
  <c r="A394" i="32" s="1"/>
  <c r="A395" i="32" s="1"/>
  <c r="A396" i="32" s="1"/>
  <c r="A397" i="32" s="1"/>
  <c r="A398" i="32" s="1"/>
  <c r="A399" i="32" s="1"/>
  <c r="A400" i="32" s="1"/>
  <c r="A401" i="32" s="1"/>
  <c r="A402" i="32" s="1"/>
  <c r="A403" i="32" s="1"/>
  <c r="A3" i="32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3" i="31"/>
  <c r="A3" i="30"/>
  <c r="K23" i="28" l="1"/>
  <c r="G11" i="28"/>
  <c r="L2" i="29"/>
  <c r="L4" i="29"/>
  <c r="K8" i="26"/>
  <c r="L4" i="26"/>
  <c r="K7" i="26"/>
  <c r="H3" i="26"/>
  <c r="K3" i="26" s="1"/>
  <c r="K8" i="27"/>
  <c r="L4" i="27"/>
  <c r="L5" i="27"/>
  <c r="K9" i="27"/>
  <c r="L6" i="27"/>
  <c r="K10" i="27"/>
  <c r="L3" i="27"/>
  <c r="H4" i="27"/>
  <c r="K4" i="24"/>
  <c r="L4" i="24" s="1"/>
  <c r="K8" i="24"/>
  <c r="H3" i="24"/>
  <c r="K3" i="24" s="1"/>
  <c r="K32" i="32"/>
  <c r="K25" i="32"/>
  <c r="L13" i="32"/>
  <c r="K33" i="32"/>
  <c r="L21" i="32"/>
  <c r="L14" i="32"/>
  <c r="K26" i="32"/>
  <c r="L22" i="32"/>
  <c r="K34" i="32"/>
  <c r="L16" i="32"/>
  <c r="K40" i="32"/>
  <c r="L28" i="32"/>
  <c r="L15" i="32"/>
  <c r="K27" i="32"/>
  <c r="K24" i="32"/>
  <c r="L12" i="32"/>
  <c r="L29" i="32"/>
  <c r="K41" i="32"/>
  <c r="L3" i="32"/>
  <c r="L11" i="32"/>
  <c r="K20" i="32"/>
  <c r="K28" i="32"/>
  <c r="L4" i="32"/>
  <c r="L6" i="32"/>
  <c r="L9" i="32"/>
  <c r="L17" i="32"/>
  <c r="F11" i="32"/>
  <c r="G12" i="32"/>
  <c r="K24" i="31"/>
  <c r="L12" i="31"/>
  <c r="L13" i="31"/>
  <c r="K25" i="31"/>
  <c r="L14" i="31"/>
  <c r="K26" i="31"/>
  <c r="L15" i="31"/>
  <c r="K27" i="31"/>
  <c r="K32" i="31"/>
  <c r="L20" i="31"/>
  <c r="L21" i="31"/>
  <c r="K33" i="31"/>
  <c r="L22" i="31"/>
  <c r="K34" i="31"/>
  <c r="L16" i="31"/>
  <c r="K40" i="31"/>
  <c r="L9" i="31"/>
  <c r="L17" i="31"/>
  <c r="K19" i="31"/>
  <c r="L3" i="31"/>
  <c r="L11" i="31"/>
  <c r="K20" i="31"/>
  <c r="K28" i="31"/>
  <c r="L4" i="31"/>
  <c r="L5" i="31"/>
  <c r="F11" i="31"/>
  <c r="G12" i="31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71" i="30" s="1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A94" i="30" s="1"/>
  <c r="A95" i="30" s="1"/>
  <c r="A96" i="30" s="1"/>
  <c r="A97" i="30" s="1"/>
  <c r="A98" i="30" s="1"/>
  <c r="A99" i="30" s="1"/>
  <c r="A100" i="30" s="1"/>
  <c r="A101" i="30" s="1"/>
  <c r="A102" i="30" s="1"/>
  <c r="A103" i="30" s="1"/>
  <c r="A104" i="30" s="1"/>
  <c r="A105" i="30" s="1"/>
  <c r="A106" i="30" s="1"/>
  <c r="A107" i="30" s="1"/>
  <c r="A108" i="30" s="1"/>
  <c r="A109" i="30" s="1"/>
  <c r="A110" i="30" s="1"/>
  <c r="A111" i="30" s="1"/>
  <c r="A112" i="30" s="1"/>
  <c r="A113" i="30" s="1"/>
  <c r="A114" i="30" s="1"/>
  <c r="A115" i="30" s="1"/>
  <c r="A116" i="30" s="1"/>
  <c r="A117" i="30" s="1"/>
  <c r="A118" i="30" s="1"/>
  <c r="A119" i="30" s="1"/>
  <c r="A120" i="30" s="1"/>
  <c r="A121" i="30" s="1"/>
  <c r="A122" i="30" s="1"/>
  <c r="A123" i="30" s="1"/>
  <c r="A124" i="30" s="1"/>
  <c r="A125" i="30" s="1"/>
  <c r="A126" i="30" s="1"/>
  <c r="A127" i="30" s="1"/>
  <c r="A128" i="30" s="1"/>
  <c r="A129" i="30" s="1"/>
  <c r="A130" i="30" s="1"/>
  <c r="A131" i="30" s="1"/>
  <c r="A132" i="30" s="1"/>
  <c r="A133" i="30" s="1"/>
  <c r="A134" i="30" s="1"/>
  <c r="A135" i="30" s="1"/>
  <c r="A136" i="30" s="1"/>
  <c r="A137" i="30" s="1"/>
  <c r="A138" i="30" s="1"/>
  <c r="A139" i="30" s="1"/>
  <c r="A140" i="30" s="1"/>
  <c r="A141" i="30" s="1"/>
  <c r="A142" i="30" s="1"/>
  <c r="A143" i="30" s="1"/>
  <c r="A144" i="30" s="1"/>
  <c r="A145" i="30" s="1"/>
  <c r="A146" i="30" s="1"/>
  <c r="A147" i="30" s="1"/>
  <c r="A148" i="30" s="1"/>
  <c r="A149" i="30" s="1"/>
  <c r="A150" i="30" s="1"/>
  <c r="A151" i="30" s="1"/>
  <c r="A152" i="30" s="1"/>
  <c r="A153" i="30" s="1"/>
  <c r="A154" i="30" s="1"/>
  <c r="A155" i="30" s="1"/>
  <c r="A156" i="30" s="1"/>
  <c r="A157" i="30" s="1"/>
  <c r="A158" i="30" s="1"/>
  <c r="A159" i="30" s="1"/>
  <c r="A160" i="30" s="1"/>
  <c r="A161" i="30" s="1"/>
  <c r="A162" i="30" s="1"/>
  <c r="A163" i="30" s="1"/>
  <c r="A164" i="30" s="1"/>
  <c r="A165" i="30" s="1"/>
  <c r="A166" i="30" s="1"/>
  <c r="A167" i="30" s="1"/>
  <c r="A168" i="30" s="1"/>
  <c r="A169" i="30" s="1"/>
  <c r="A170" i="30" s="1"/>
  <c r="A171" i="30" s="1"/>
  <c r="A172" i="30" s="1"/>
  <c r="A173" i="30" s="1"/>
  <c r="A174" i="30" s="1"/>
  <c r="A175" i="30" s="1"/>
  <c r="A176" i="30" s="1"/>
  <c r="A177" i="30" s="1"/>
  <c r="A178" i="30" s="1"/>
  <c r="A179" i="30" s="1"/>
  <c r="A180" i="30" s="1"/>
  <c r="A181" i="30" s="1"/>
  <c r="A182" i="30" s="1"/>
  <c r="A183" i="30" s="1"/>
  <c r="A184" i="30" s="1"/>
  <c r="A185" i="30" s="1"/>
  <c r="A186" i="30" s="1"/>
  <c r="A187" i="30" s="1"/>
  <c r="A188" i="30" s="1"/>
  <c r="A189" i="30" s="1"/>
  <c r="A190" i="30" s="1"/>
  <c r="A191" i="30" s="1"/>
  <c r="A192" i="30" s="1"/>
  <c r="A193" i="30" s="1"/>
  <c r="A194" i="30" s="1"/>
  <c r="A195" i="30" s="1"/>
  <c r="A196" i="30" s="1"/>
  <c r="A197" i="30" s="1"/>
  <c r="A198" i="30" s="1"/>
  <c r="A199" i="30" s="1"/>
  <c r="A200" i="30" s="1"/>
  <c r="A201" i="30" s="1"/>
  <c r="A202" i="30" s="1"/>
  <c r="A203" i="30" s="1"/>
  <c r="A204" i="30" s="1"/>
  <c r="A205" i="30" s="1"/>
  <c r="A206" i="30" s="1"/>
  <c r="A207" i="30" s="1"/>
  <c r="A208" i="30" s="1"/>
  <c r="A209" i="30" s="1"/>
  <c r="A210" i="30" s="1"/>
  <c r="A211" i="30" s="1"/>
  <c r="A212" i="30" s="1"/>
  <c r="A213" i="30" s="1"/>
  <c r="A214" i="30" s="1"/>
  <c r="A215" i="30" s="1"/>
  <c r="A216" i="30" s="1"/>
  <c r="A217" i="30" s="1"/>
  <c r="A218" i="30" s="1"/>
  <c r="A219" i="30" s="1"/>
  <c r="A220" i="30" s="1"/>
  <c r="A221" i="30" s="1"/>
  <c r="A222" i="30" s="1"/>
  <c r="A223" i="30" s="1"/>
  <c r="A224" i="30" s="1"/>
  <c r="A225" i="30" s="1"/>
  <c r="A226" i="30" s="1"/>
  <c r="A227" i="30" s="1"/>
  <c r="A228" i="30" s="1"/>
  <c r="A229" i="30" s="1"/>
  <c r="A230" i="30" s="1"/>
  <c r="A231" i="30" s="1"/>
  <c r="A232" i="30" s="1"/>
  <c r="A233" i="30" s="1"/>
  <c r="A234" i="30" s="1"/>
  <c r="A235" i="30" s="1"/>
  <c r="A236" i="30" s="1"/>
  <c r="A237" i="30" s="1"/>
  <c r="A238" i="30" s="1"/>
  <c r="A239" i="30" s="1"/>
  <c r="A240" i="30" s="1"/>
  <c r="A241" i="30" s="1"/>
  <c r="A242" i="30" s="1"/>
  <c r="A243" i="30" s="1"/>
  <c r="A244" i="30" s="1"/>
  <c r="A245" i="30" s="1"/>
  <c r="A246" i="30" s="1"/>
  <c r="A247" i="30" s="1"/>
  <c r="A248" i="30" s="1"/>
  <c r="A249" i="30" s="1"/>
  <c r="A250" i="30" s="1"/>
  <c r="A251" i="30" s="1"/>
  <c r="A252" i="30" s="1"/>
  <c r="A253" i="30" s="1"/>
  <c r="A254" i="30" s="1"/>
  <c r="A255" i="30" s="1"/>
  <c r="A256" i="30" s="1"/>
  <c r="A257" i="30" s="1"/>
  <c r="A258" i="30" s="1"/>
  <c r="A259" i="30" s="1"/>
  <c r="A260" i="30" s="1"/>
  <c r="A261" i="30" s="1"/>
  <c r="A262" i="30" s="1"/>
  <c r="A263" i="30" s="1"/>
  <c r="A264" i="30" s="1"/>
  <c r="A265" i="30" s="1"/>
  <c r="A266" i="30" s="1"/>
  <c r="A267" i="30" s="1"/>
  <c r="A268" i="30" s="1"/>
  <c r="A269" i="30" s="1"/>
  <c r="A270" i="30" s="1"/>
  <c r="A271" i="30" s="1"/>
  <c r="A272" i="30" s="1"/>
  <c r="A273" i="30" s="1"/>
  <c r="A274" i="30" s="1"/>
  <c r="A275" i="30" s="1"/>
  <c r="A276" i="30" s="1"/>
  <c r="A277" i="30" s="1"/>
  <c r="A278" i="30" s="1"/>
  <c r="A279" i="30" s="1"/>
  <c r="A280" i="30" s="1"/>
  <c r="A281" i="30" s="1"/>
  <c r="A282" i="30" s="1"/>
  <c r="A283" i="30" s="1"/>
  <c r="A284" i="30" s="1"/>
  <c r="A285" i="30" s="1"/>
  <c r="A286" i="30" s="1"/>
  <c r="A287" i="30" s="1"/>
  <c r="A288" i="30" s="1"/>
  <c r="A289" i="30" s="1"/>
  <c r="A290" i="30" s="1"/>
  <c r="A291" i="30" s="1"/>
  <c r="A292" i="30" s="1"/>
  <c r="A293" i="30" s="1"/>
  <c r="A294" i="30" s="1"/>
  <c r="A295" i="30" s="1"/>
  <c r="A296" i="30" s="1"/>
  <c r="A297" i="30" s="1"/>
  <c r="A298" i="30" s="1"/>
  <c r="A299" i="30" s="1"/>
  <c r="A300" i="30" s="1"/>
  <c r="A301" i="30" s="1"/>
  <c r="A302" i="30" s="1"/>
  <c r="A303" i="30" s="1"/>
  <c r="A304" i="30" s="1"/>
  <c r="A305" i="30" s="1"/>
  <c r="A306" i="30" s="1"/>
  <c r="A307" i="30" s="1"/>
  <c r="A308" i="30" s="1"/>
  <c r="A309" i="30" s="1"/>
  <c r="A310" i="30" s="1"/>
  <c r="A311" i="30" s="1"/>
  <c r="A312" i="30" s="1"/>
  <c r="A313" i="30" s="1"/>
  <c r="A314" i="30" s="1"/>
  <c r="A315" i="30" s="1"/>
  <c r="A316" i="30" s="1"/>
  <c r="A317" i="30" s="1"/>
  <c r="A318" i="30" s="1"/>
  <c r="A319" i="30" s="1"/>
  <c r="A320" i="30" s="1"/>
  <c r="A321" i="30" s="1"/>
  <c r="A322" i="30" s="1"/>
  <c r="A323" i="30" s="1"/>
  <c r="A324" i="30" s="1"/>
  <c r="A325" i="30" s="1"/>
  <c r="A326" i="30" s="1"/>
  <c r="A327" i="30" s="1"/>
  <c r="A328" i="30" s="1"/>
  <c r="A329" i="30" s="1"/>
  <c r="A330" i="30" s="1"/>
  <c r="A331" i="30" s="1"/>
  <c r="A332" i="30" s="1"/>
  <c r="A333" i="30" s="1"/>
  <c r="A334" i="30" s="1"/>
  <c r="A335" i="30" s="1"/>
  <c r="A336" i="30" s="1"/>
  <c r="A337" i="30" s="1"/>
  <c r="A338" i="30" s="1"/>
  <c r="A339" i="30" s="1"/>
  <c r="A340" i="30" s="1"/>
  <c r="A341" i="30" s="1"/>
  <c r="A342" i="30" s="1"/>
  <c r="A343" i="30" s="1"/>
  <c r="A344" i="30" s="1"/>
  <c r="A345" i="30" s="1"/>
  <c r="A346" i="30" s="1"/>
  <c r="A347" i="30" s="1"/>
  <c r="A348" i="30" s="1"/>
  <c r="A349" i="30" s="1"/>
  <c r="A350" i="30" s="1"/>
  <c r="A351" i="30" s="1"/>
  <c r="A352" i="30" s="1"/>
  <c r="A353" i="30" s="1"/>
  <c r="A354" i="30" s="1"/>
  <c r="A355" i="30" s="1"/>
  <c r="A356" i="30" s="1"/>
  <c r="A357" i="30" s="1"/>
  <c r="A358" i="30" s="1"/>
  <c r="A359" i="30" s="1"/>
  <c r="A360" i="30" s="1"/>
  <c r="A361" i="30" s="1"/>
  <c r="A362" i="30" s="1"/>
  <c r="A363" i="30" s="1"/>
  <c r="A364" i="30" s="1"/>
  <c r="A365" i="30" s="1"/>
  <c r="A366" i="30" s="1"/>
  <c r="A367" i="30" s="1"/>
  <c r="A368" i="30" s="1"/>
  <c r="A369" i="30" s="1"/>
  <c r="A370" i="30" s="1"/>
  <c r="A371" i="30" s="1"/>
  <c r="A372" i="30" s="1"/>
  <c r="A373" i="30" s="1"/>
  <c r="A374" i="30" s="1"/>
  <c r="A375" i="30" s="1"/>
  <c r="A376" i="30" s="1"/>
  <c r="A377" i="30" s="1"/>
  <c r="A378" i="30" s="1"/>
  <c r="A379" i="30" s="1"/>
  <c r="A380" i="30" s="1"/>
  <c r="A381" i="30" s="1"/>
  <c r="A382" i="30" s="1"/>
  <c r="A383" i="30" s="1"/>
  <c r="A384" i="30" s="1"/>
  <c r="A385" i="30" s="1"/>
  <c r="A386" i="30" s="1"/>
  <c r="A387" i="30" s="1"/>
  <c r="A388" i="30" s="1"/>
  <c r="A389" i="30" s="1"/>
  <c r="A390" i="30" s="1"/>
  <c r="A391" i="30" s="1"/>
  <c r="A392" i="30" s="1"/>
  <c r="A393" i="30" s="1"/>
  <c r="A394" i="30" s="1"/>
  <c r="A395" i="30" s="1"/>
  <c r="A396" i="30" s="1"/>
  <c r="A397" i="30" s="1"/>
  <c r="A398" i="30" s="1"/>
  <c r="A399" i="30" s="1"/>
  <c r="A400" i="30" s="1"/>
  <c r="A401" i="30" s="1"/>
  <c r="A402" i="30" s="1"/>
  <c r="A403" i="30" s="1"/>
  <c r="A404" i="30" s="1"/>
  <c r="A405" i="30" s="1"/>
  <c r="A406" i="30" s="1"/>
  <c r="A407" i="30" s="1"/>
  <c r="A408" i="30" s="1"/>
  <c r="A409" i="30" s="1"/>
  <c r="A410" i="30" s="1"/>
  <c r="A411" i="30" s="1"/>
  <c r="A412" i="30" s="1"/>
  <c r="A413" i="30" s="1"/>
  <c r="A414" i="30" s="1"/>
  <c r="A415" i="30" s="1"/>
  <c r="A416" i="30" s="1"/>
  <c r="A417" i="30" s="1"/>
  <c r="A418" i="30" s="1"/>
  <c r="A419" i="30" s="1"/>
  <c r="A420" i="30" s="1"/>
  <c r="A421" i="30" s="1"/>
  <c r="A422" i="30" s="1"/>
  <c r="A423" i="30" s="1"/>
  <c r="A424" i="30" s="1"/>
  <c r="A425" i="30" s="1"/>
  <c r="A426" i="30" s="1"/>
  <c r="A427" i="30" s="1"/>
  <c r="A428" i="30" s="1"/>
  <c r="A429" i="30" s="1"/>
  <c r="A430" i="30" s="1"/>
  <c r="A431" i="30" s="1"/>
  <c r="A432" i="30" s="1"/>
  <c r="A433" i="30" s="1"/>
  <c r="A434" i="30" s="1"/>
  <c r="A435" i="30" s="1"/>
  <c r="A436" i="30" s="1"/>
  <c r="A437" i="30" s="1"/>
  <c r="A438" i="30" s="1"/>
  <c r="A439" i="30" s="1"/>
  <c r="A440" i="30" s="1"/>
  <c r="A441" i="30" s="1"/>
  <c r="A442" i="30" s="1"/>
  <c r="A443" i="30" s="1"/>
  <c r="A444" i="30" s="1"/>
  <c r="A445" i="30" s="1"/>
  <c r="A446" i="30" s="1"/>
  <c r="A447" i="30" s="1"/>
  <c r="A448" i="30" s="1"/>
  <c r="A449" i="30" s="1"/>
  <c r="A450" i="30" s="1"/>
  <c r="A451" i="30" s="1"/>
  <c r="A452" i="30" s="1"/>
  <c r="A453" i="30" s="1"/>
  <c r="A454" i="30" s="1"/>
  <c r="A455" i="30" s="1"/>
  <c r="A456" i="30" s="1"/>
  <c r="A457" i="30" s="1"/>
  <c r="A458" i="30" s="1"/>
  <c r="A459" i="30" s="1"/>
  <c r="A460" i="30" s="1"/>
  <c r="A461" i="30" s="1"/>
  <c r="A462" i="30" s="1"/>
  <c r="A463" i="30" s="1"/>
  <c r="A464" i="30" s="1"/>
  <c r="A465" i="30" s="1"/>
  <c r="A466" i="30" s="1"/>
  <c r="A467" i="30" s="1"/>
  <c r="A468" i="30" s="1"/>
  <c r="A469" i="30" s="1"/>
  <c r="A470" i="30" s="1"/>
  <c r="A471" i="30" s="1"/>
  <c r="A472" i="30" s="1"/>
  <c r="A473" i="30" s="1"/>
  <c r="A474" i="30" s="1"/>
  <c r="A475" i="30" s="1"/>
  <c r="A476" i="30" s="1"/>
  <c r="A477" i="30" s="1"/>
  <c r="A478" i="30" s="1"/>
  <c r="A479" i="30" s="1"/>
  <c r="A480" i="30" s="1"/>
  <c r="A481" i="30" s="1"/>
  <c r="A482" i="30" s="1"/>
  <c r="A483" i="30" s="1"/>
  <c r="A484" i="30" s="1"/>
  <c r="A485" i="30" s="1"/>
  <c r="A486" i="30" s="1"/>
  <c r="A487" i="30" s="1"/>
  <c r="A488" i="30" s="1"/>
  <c r="A489" i="30" s="1"/>
  <c r="A490" i="30" s="1"/>
  <c r="A491" i="30" s="1"/>
  <c r="A492" i="30" s="1"/>
  <c r="A493" i="30" s="1"/>
  <c r="A494" i="30" s="1"/>
  <c r="A495" i="30" s="1"/>
  <c r="A496" i="30" s="1"/>
  <c r="A497" i="30" s="1"/>
  <c r="A498" i="30" s="1"/>
  <c r="A499" i="30" s="1"/>
  <c r="A500" i="30" s="1"/>
  <c r="A501" i="30" s="1"/>
  <c r="A502" i="30" s="1"/>
  <c r="A503" i="30" s="1"/>
  <c r="A504" i="30" s="1"/>
  <c r="A505" i="30" s="1"/>
  <c r="A506" i="30" s="1"/>
  <c r="A507" i="30" s="1"/>
  <c r="A508" i="30" s="1"/>
  <c r="A509" i="30" s="1"/>
  <c r="A510" i="30" s="1"/>
  <c r="A511" i="30" s="1"/>
  <c r="A512" i="30" s="1"/>
  <c r="A513" i="30" s="1"/>
  <c r="A514" i="30" s="1"/>
  <c r="A515" i="30" s="1"/>
  <c r="A516" i="30" s="1"/>
  <c r="A517" i="30" s="1"/>
  <c r="A518" i="30" s="1"/>
  <c r="A519" i="30" s="1"/>
  <c r="A520" i="30" s="1"/>
  <c r="A521" i="30" s="1"/>
  <c r="A522" i="30" s="1"/>
  <c r="A523" i="30" s="1"/>
  <c r="A524" i="30" s="1"/>
  <c r="A525" i="30" s="1"/>
  <c r="A526" i="30" s="1"/>
  <c r="A527" i="30" s="1"/>
  <c r="A528" i="30" s="1"/>
  <c r="A529" i="30" s="1"/>
  <c r="A530" i="30" s="1"/>
  <c r="A531" i="30" s="1"/>
  <c r="A532" i="30" s="1"/>
  <c r="A533" i="30" s="1"/>
  <c r="A534" i="30" s="1"/>
  <c r="A535" i="30" s="1"/>
  <c r="A536" i="30" s="1"/>
  <c r="A537" i="30" s="1"/>
  <c r="A538" i="30" s="1"/>
  <c r="A539" i="30" s="1"/>
  <c r="A540" i="30" s="1"/>
  <c r="A541" i="30" s="1"/>
  <c r="A542" i="30" s="1"/>
  <c r="A543" i="30" s="1"/>
  <c r="A544" i="30" s="1"/>
  <c r="A545" i="30" s="1"/>
  <c r="A546" i="30" s="1"/>
  <c r="A547" i="30" s="1"/>
  <c r="A548" i="30" s="1"/>
  <c r="A549" i="30" s="1"/>
  <c r="A550" i="30" s="1"/>
  <c r="A551" i="30" s="1"/>
  <c r="A552" i="30" s="1"/>
  <c r="A553" i="30" s="1"/>
  <c r="A554" i="30" s="1"/>
  <c r="A555" i="30" s="1"/>
  <c r="A556" i="30" s="1"/>
  <c r="A557" i="30" s="1"/>
  <c r="A558" i="30" s="1"/>
  <c r="A559" i="30" s="1"/>
  <c r="A560" i="30" s="1"/>
  <c r="A561" i="30" s="1"/>
  <c r="A562" i="30" s="1"/>
  <c r="A563" i="30" s="1"/>
  <c r="A564" i="30" s="1"/>
  <c r="A565" i="30" s="1"/>
  <c r="A566" i="30" s="1"/>
  <c r="A567" i="30" s="1"/>
  <c r="A568" i="30" s="1"/>
  <c r="A569" i="30" s="1"/>
  <c r="A570" i="30" s="1"/>
  <c r="A571" i="30" s="1"/>
  <c r="A572" i="30" s="1"/>
  <c r="A573" i="30" s="1"/>
  <c r="A574" i="30" s="1"/>
  <c r="A575" i="30" s="1"/>
  <c r="A576" i="30" s="1"/>
  <c r="A577" i="30" s="1"/>
  <c r="A578" i="30" s="1"/>
  <c r="A579" i="30" s="1"/>
  <c r="A580" i="30" s="1"/>
  <c r="A581" i="30" s="1"/>
  <c r="A582" i="30" s="1"/>
  <c r="A583" i="30" s="1"/>
  <c r="A584" i="30" s="1"/>
  <c r="A585" i="30" s="1"/>
  <c r="A586" i="30" s="1"/>
  <c r="A587" i="30" s="1"/>
  <c r="A588" i="30" s="1"/>
  <c r="A589" i="30" s="1"/>
  <c r="A590" i="30" s="1"/>
  <c r="A591" i="30" s="1"/>
  <c r="A592" i="30" s="1"/>
  <c r="A593" i="30" s="1"/>
  <c r="A594" i="30" s="1"/>
  <c r="A595" i="30" s="1"/>
  <c r="A596" i="30" s="1"/>
  <c r="A597" i="30" s="1"/>
  <c r="A598" i="30" s="1"/>
  <c r="A599" i="30" s="1"/>
  <c r="A600" i="30" s="1"/>
  <c r="A601" i="30" s="1"/>
  <c r="A602" i="30" s="1"/>
  <c r="A603" i="30" s="1"/>
  <c r="A604" i="30" s="1"/>
  <c r="A605" i="30" s="1"/>
  <c r="A606" i="30" s="1"/>
  <c r="A607" i="30" s="1"/>
  <c r="A608" i="30" s="1"/>
  <c r="A609" i="30" s="1"/>
  <c r="A610" i="30" s="1"/>
  <c r="A611" i="30" s="1"/>
  <c r="A612" i="30" s="1"/>
  <c r="A613" i="30" s="1"/>
  <c r="A614" i="30" s="1"/>
  <c r="A615" i="30" s="1"/>
  <c r="A616" i="30" s="1"/>
  <c r="A617" i="30" s="1"/>
  <c r="A618" i="30" s="1"/>
  <c r="A619" i="30" s="1"/>
  <c r="A620" i="30" s="1"/>
  <c r="A621" i="30" s="1"/>
  <c r="A622" i="30" s="1"/>
  <c r="A623" i="30" s="1"/>
  <c r="A624" i="30" s="1"/>
  <c r="A625" i="30" s="1"/>
  <c r="A626" i="30" s="1"/>
  <c r="A627" i="30" s="1"/>
  <c r="A628" i="30" s="1"/>
  <c r="A629" i="30" s="1"/>
  <c r="A630" i="30" s="1"/>
  <c r="A631" i="30" s="1"/>
  <c r="A632" i="30" s="1"/>
  <c r="A633" i="30" s="1"/>
  <c r="A634" i="30" s="1"/>
  <c r="A635" i="30" s="1"/>
  <c r="A636" i="30" s="1"/>
  <c r="A637" i="30" s="1"/>
  <c r="A638" i="30" s="1"/>
  <c r="A639" i="30" s="1"/>
  <c r="A640" i="30" s="1"/>
  <c r="A641" i="30" s="1"/>
  <c r="A642" i="30" s="1"/>
  <c r="A643" i="30" s="1"/>
  <c r="A644" i="30" s="1"/>
  <c r="A645" i="30" s="1"/>
  <c r="A646" i="30" s="1"/>
  <c r="A647" i="30" s="1"/>
  <c r="A648" i="30" s="1"/>
  <c r="A649" i="30" s="1"/>
  <c r="A650" i="30" s="1"/>
  <c r="A651" i="30" s="1"/>
  <c r="A652" i="30" s="1"/>
  <c r="A653" i="30" s="1"/>
  <c r="A654" i="30" s="1"/>
  <c r="A655" i="30" s="1"/>
  <c r="A656" i="30" s="1"/>
  <c r="A657" i="30" s="1"/>
  <c r="A658" i="30" s="1"/>
  <c r="A659" i="30" s="1"/>
  <c r="A660" i="30" s="1"/>
  <c r="A661" i="30" s="1"/>
  <c r="A662" i="30" s="1"/>
  <c r="A663" i="30" s="1"/>
  <c r="A664" i="30" s="1"/>
  <c r="A665" i="30" s="1"/>
  <c r="A666" i="30" s="1"/>
  <c r="A667" i="30" s="1"/>
  <c r="A668" i="30" s="1"/>
  <c r="A669" i="30" s="1"/>
  <c r="A670" i="30" s="1"/>
  <c r="A671" i="30" s="1"/>
  <c r="A672" i="30" s="1"/>
  <c r="A673" i="30" s="1"/>
  <c r="A674" i="30" s="1"/>
  <c r="A675" i="30" s="1"/>
  <c r="A676" i="30" s="1"/>
  <c r="A677" i="30" s="1"/>
  <c r="A678" i="30" s="1"/>
  <c r="A679" i="30" s="1"/>
  <c r="A680" i="30" s="1"/>
  <c r="A681" i="30" s="1"/>
  <c r="A682" i="30" s="1"/>
  <c r="A683" i="30" s="1"/>
  <c r="A684" i="30" s="1"/>
  <c r="A685" i="30" s="1"/>
  <c r="A686" i="30" s="1"/>
  <c r="A687" i="30" s="1"/>
  <c r="A688" i="30" s="1"/>
  <c r="A689" i="30" s="1"/>
  <c r="A690" i="30" s="1"/>
  <c r="A691" i="30" s="1"/>
  <c r="A692" i="30" s="1"/>
  <c r="A693" i="30" s="1"/>
  <c r="A694" i="30" s="1"/>
  <c r="A695" i="30" s="1"/>
  <c r="A696" i="30" s="1"/>
  <c r="A697" i="30" s="1"/>
  <c r="A698" i="30" s="1"/>
  <c r="A699" i="30" s="1"/>
  <c r="A700" i="30" s="1"/>
  <c r="A701" i="30" s="1"/>
  <c r="A702" i="30" s="1"/>
  <c r="A703" i="30" s="1"/>
  <c r="A704" i="30" s="1"/>
  <c r="A705" i="30" s="1"/>
  <c r="A706" i="30" s="1"/>
  <c r="A707" i="30" s="1"/>
  <c r="A708" i="30" s="1"/>
  <c r="A709" i="30" s="1"/>
  <c r="A710" i="30" s="1"/>
  <c r="A711" i="30" s="1"/>
  <c r="A712" i="30" s="1"/>
  <c r="A713" i="30" s="1"/>
  <c r="A714" i="30" s="1"/>
  <c r="A715" i="30" s="1"/>
  <c r="A716" i="30" s="1"/>
  <c r="A717" i="30" s="1"/>
  <c r="A718" i="30" s="1"/>
  <c r="A719" i="30" s="1"/>
  <c r="A720" i="30" s="1"/>
  <c r="A721" i="30" s="1"/>
  <c r="A722" i="30" s="1"/>
  <c r="A723" i="30" s="1"/>
  <c r="A724" i="30" s="1"/>
  <c r="A725" i="30" s="1"/>
  <c r="A726" i="30" s="1"/>
  <c r="A727" i="30" s="1"/>
  <c r="A728" i="30" s="1"/>
  <c r="A729" i="30" s="1"/>
  <c r="A730" i="30" s="1"/>
  <c r="A731" i="30" s="1"/>
  <c r="A732" i="30" s="1"/>
  <c r="A733" i="30" s="1"/>
  <c r="A734" i="30" s="1"/>
  <c r="A735" i="30" s="1"/>
  <c r="A736" i="30" s="1"/>
  <c r="A737" i="30" s="1"/>
  <c r="A738" i="30" s="1"/>
  <c r="A739" i="30" s="1"/>
  <c r="A740" i="30" s="1"/>
  <c r="A741" i="30" s="1"/>
  <c r="A742" i="30" s="1"/>
  <c r="A743" i="30" s="1"/>
  <c r="A744" i="30" s="1"/>
  <c r="A745" i="30" s="1"/>
  <c r="A746" i="30" s="1"/>
  <c r="A747" i="30" s="1"/>
  <c r="A748" i="30" s="1"/>
  <c r="A749" i="30" s="1"/>
  <c r="A750" i="30" s="1"/>
  <c r="A751" i="30" s="1"/>
  <c r="A752" i="30" s="1"/>
  <c r="A753" i="30" s="1"/>
  <c r="A754" i="30" s="1"/>
  <c r="A755" i="30" s="1"/>
  <c r="A756" i="30" s="1"/>
  <c r="A757" i="30" s="1"/>
  <c r="A758" i="30" s="1"/>
  <c r="A759" i="30" s="1"/>
  <c r="A760" i="30" s="1"/>
  <c r="A761" i="30" s="1"/>
  <c r="A762" i="30" s="1"/>
  <c r="A763" i="30" s="1"/>
  <c r="A764" i="30" s="1"/>
  <c r="A765" i="30" s="1"/>
  <c r="A766" i="30" s="1"/>
  <c r="A767" i="30" s="1"/>
  <c r="A768" i="30" s="1"/>
  <c r="A769" i="30" s="1"/>
  <c r="A770" i="30" s="1"/>
  <c r="A771" i="30" s="1"/>
  <c r="A772" i="30" s="1"/>
  <c r="A773" i="30" s="1"/>
  <c r="A774" i="30" s="1"/>
  <c r="A775" i="30" s="1"/>
  <c r="A776" i="30" s="1"/>
  <c r="A777" i="30" s="1"/>
  <c r="A778" i="30" s="1"/>
  <c r="A779" i="30" s="1"/>
  <c r="A780" i="30" s="1"/>
  <c r="A781" i="30" s="1"/>
  <c r="A782" i="30" s="1"/>
  <c r="A783" i="30" s="1"/>
  <c r="A784" i="30" s="1"/>
  <c r="A785" i="30" s="1"/>
  <c r="A786" i="30" s="1"/>
  <c r="A787" i="30" s="1"/>
  <c r="A788" i="30" s="1"/>
  <c r="A789" i="30" s="1"/>
  <c r="A790" i="30" s="1"/>
  <c r="A791" i="30" s="1"/>
  <c r="A792" i="30" s="1"/>
  <c r="A793" i="30" s="1"/>
  <c r="A794" i="30" s="1"/>
  <c r="A795" i="30" s="1"/>
  <c r="A796" i="30" s="1"/>
  <c r="A797" i="30" s="1"/>
  <c r="A798" i="30" s="1"/>
  <c r="A799" i="30" s="1"/>
  <c r="A800" i="30" s="1"/>
  <c r="A801" i="30" s="1"/>
  <c r="A802" i="30" s="1"/>
  <c r="A803" i="30" s="1"/>
  <c r="A804" i="30" s="1"/>
  <c r="A805" i="30" s="1"/>
  <c r="A806" i="30" s="1"/>
  <c r="A807" i="30" s="1"/>
  <c r="A808" i="30" s="1"/>
  <c r="A809" i="30" s="1"/>
  <c r="A810" i="30" s="1"/>
  <c r="A811" i="30" s="1"/>
  <c r="A812" i="30" s="1"/>
  <c r="A813" i="30" s="1"/>
  <c r="A814" i="30" s="1"/>
  <c r="A815" i="30" s="1"/>
  <c r="A816" i="30" s="1"/>
  <c r="A817" i="30" s="1"/>
  <c r="A818" i="30" s="1"/>
  <c r="A819" i="30" s="1"/>
  <c r="A820" i="30" s="1"/>
  <c r="A821" i="30" s="1"/>
  <c r="A822" i="30" s="1"/>
  <c r="A823" i="30" s="1"/>
  <c r="A824" i="30" s="1"/>
  <c r="A825" i="30" s="1"/>
  <c r="A826" i="30" s="1"/>
  <c r="A827" i="30" s="1"/>
  <c r="A828" i="30" s="1"/>
  <c r="A829" i="30" s="1"/>
  <c r="A830" i="30" s="1"/>
  <c r="A831" i="30" s="1"/>
  <c r="A832" i="30" s="1"/>
  <c r="A833" i="30" s="1"/>
  <c r="A834" i="30" s="1"/>
  <c r="A835" i="30" s="1"/>
  <c r="A836" i="30" s="1"/>
  <c r="A837" i="30" s="1"/>
  <c r="A838" i="30" s="1"/>
  <c r="A839" i="30" s="1"/>
  <c r="A840" i="30" s="1"/>
  <c r="A841" i="30" s="1"/>
  <c r="A842" i="30" s="1"/>
  <c r="A843" i="30" s="1"/>
  <c r="A844" i="30" s="1"/>
  <c r="A845" i="30" s="1"/>
  <c r="A846" i="30" s="1"/>
  <c r="A847" i="30" s="1"/>
  <c r="A848" i="30" s="1"/>
  <c r="A849" i="30" s="1"/>
  <c r="A850" i="30" s="1"/>
  <c r="A851" i="30" s="1"/>
  <c r="A852" i="30" s="1"/>
  <c r="A853" i="30" s="1"/>
  <c r="A854" i="30" s="1"/>
  <c r="A855" i="30" s="1"/>
  <c r="A856" i="30" s="1"/>
  <c r="A857" i="30" s="1"/>
  <c r="A858" i="30" s="1"/>
  <c r="A859" i="30" s="1"/>
  <c r="A860" i="30" s="1"/>
  <c r="A861" i="30" s="1"/>
  <c r="A862" i="30" s="1"/>
  <c r="A863" i="30" s="1"/>
  <c r="A864" i="30" s="1"/>
  <c r="A865" i="30" s="1"/>
  <c r="A866" i="30" s="1"/>
  <c r="A867" i="30" s="1"/>
  <c r="A868" i="30" s="1"/>
  <c r="A869" i="30" s="1"/>
  <c r="A870" i="30" s="1"/>
  <c r="A871" i="30" s="1"/>
  <c r="A872" i="30" s="1"/>
  <c r="A873" i="30" s="1"/>
  <c r="A874" i="30" s="1"/>
  <c r="A875" i="30" s="1"/>
  <c r="A876" i="30" s="1"/>
  <c r="A877" i="30" s="1"/>
  <c r="A878" i="30" s="1"/>
  <c r="A879" i="30" s="1"/>
  <c r="A880" i="30" s="1"/>
  <c r="A881" i="30" s="1"/>
  <c r="A882" i="30" s="1"/>
  <c r="A883" i="30" s="1"/>
  <c r="A884" i="30" s="1"/>
  <c r="A885" i="30" s="1"/>
  <c r="A886" i="30" s="1"/>
  <c r="A887" i="30" s="1"/>
  <c r="A888" i="30" s="1"/>
  <c r="A889" i="30" s="1"/>
  <c r="A890" i="30" s="1"/>
  <c r="A891" i="30" s="1"/>
  <c r="A892" i="30" s="1"/>
  <c r="A893" i="30" s="1"/>
  <c r="A894" i="30" s="1"/>
  <c r="A895" i="30" s="1"/>
  <c r="A896" i="30" s="1"/>
  <c r="A897" i="30" s="1"/>
  <c r="A898" i="30" s="1"/>
  <c r="A899" i="30" s="1"/>
  <c r="A900" i="30" s="1"/>
  <c r="A901" i="30" s="1"/>
  <c r="A902" i="30" s="1"/>
  <c r="A903" i="30" s="1"/>
  <c r="A904" i="30" s="1"/>
  <c r="A905" i="30" s="1"/>
  <c r="A906" i="30" s="1"/>
  <c r="A907" i="30" s="1"/>
  <c r="A908" i="30" s="1"/>
  <c r="A909" i="30" s="1"/>
  <c r="A910" i="30" s="1"/>
  <c r="A911" i="30" s="1"/>
  <c r="A912" i="30" s="1"/>
  <c r="A913" i="30" s="1"/>
  <c r="A914" i="30" s="1"/>
  <c r="A915" i="30" s="1"/>
  <c r="A916" i="30" s="1"/>
  <c r="A917" i="30" s="1"/>
  <c r="A918" i="30" s="1"/>
  <c r="A919" i="30" s="1"/>
  <c r="A920" i="30" s="1"/>
  <c r="A921" i="30" s="1"/>
  <c r="A922" i="30" s="1"/>
  <c r="A923" i="30" s="1"/>
  <c r="A924" i="30" s="1"/>
  <c r="A925" i="30" s="1"/>
  <c r="A926" i="30" s="1"/>
  <c r="A927" i="30" s="1"/>
  <c r="A928" i="30" s="1"/>
  <c r="A929" i="30" s="1"/>
  <c r="A930" i="30" s="1"/>
  <c r="A931" i="30" s="1"/>
  <c r="A932" i="30" s="1"/>
  <c r="A933" i="30" s="1"/>
  <c r="A934" i="30" s="1"/>
  <c r="A935" i="30" s="1"/>
  <c r="A936" i="30" s="1"/>
  <c r="A937" i="30" s="1"/>
  <c r="A938" i="30" s="1"/>
  <c r="A939" i="30" s="1"/>
  <c r="A940" i="30" s="1"/>
  <c r="A941" i="30" s="1"/>
  <c r="A942" i="30" s="1"/>
  <c r="A943" i="30" s="1"/>
  <c r="A944" i="30" s="1"/>
  <c r="A945" i="30" s="1"/>
  <c r="A946" i="30" s="1"/>
  <c r="A947" i="30" s="1"/>
  <c r="A948" i="30" s="1"/>
  <c r="A949" i="30" s="1"/>
  <c r="A950" i="30" s="1"/>
  <c r="A951" i="30" s="1"/>
  <c r="A952" i="30" s="1"/>
  <c r="A953" i="30" s="1"/>
  <c r="A954" i="30" s="1"/>
  <c r="A955" i="30" s="1"/>
  <c r="A956" i="30" s="1"/>
  <c r="A957" i="30" s="1"/>
  <c r="A958" i="30" s="1"/>
  <c r="A959" i="30" s="1"/>
  <c r="A960" i="30" s="1"/>
  <c r="A961" i="30" s="1"/>
  <c r="A962" i="30" s="1"/>
  <c r="A963" i="30" s="1"/>
  <c r="A964" i="30" s="1"/>
  <c r="A965" i="30" s="1"/>
  <c r="A966" i="30" s="1"/>
  <c r="A967" i="30" s="1"/>
  <c r="A968" i="30" s="1"/>
  <c r="A969" i="30" s="1"/>
  <c r="A970" i="30" s="1"/>
  <c r="A971" i="30" s="1"/>
  <c r="A972" i="30" s="1"/>
  <c r="A973" i="30" s="1"/>
  <c r="A974" i="30" s="1"/>
  <c r="A975" i="30" s="1"/>
  <c r="A976" i="30" s="1"/>
  <c r="A977" i="30" s="1"/>
  <c r="A978" i="30" s="1"/>
  <c r="A979" i="30" s="1"/>
  <c r="A980" i="30" s="1"/>
  <c r="A981" i="30" s="1"/>
  <c r="A982" i="30" s="1"/>
  <c r="A983" i="30" s="1"/>
  <c r="A984" i="30" s="1"/>
  <c r="A985" i="30" s="1"/>
  <c r="A986" i="30" s="1"/>
  <c r="A987" i="30" s="1"/>
  <c r="A988" i="30" s="1"/>
  <c r="A989" i="30" s="1"/>
  <c r="A990" i="30" s="1"/>
  <c r="A991" i="30" s="1"/>
  <c r="A992" i="30" s="1"/>
  <c r="A993" i="30" s="1"/>
  <c r="A994" i="30" s="1"/>
  <c r="A995" i="30" s="1"/>
  <c r="A996" i="30" s="1"/>
  <c r="A997" i="30" s="1"/>
  <c r="A998" i="30" s="1"/>
  <c r="A999" i="30" s="1"/>
  <c r="A1000" i="30" s="1"/>
  <c r="A1001" i="30" s="1"/>
  <c r="A1002" i="30" s="1"/>
  <c r="A1003" i="30" s="1"/>
  <c r="A1004" i="30" s="1"/>
  <c r="A1005" i="30" s="1"/>
  <c r="A1006" i="30" s="1"/>
  <c r="A1007" i="30" s="1"/>
  <c r="A1008" i="30" s="1"/>
  <c r="A1009" i="30" s="1"/>
  <c r="A1010" i="30" s="1"/>
  <c r="A1011" i="30" s="1"/>
  <c r="A1012" i="30" s="1"/>
  <c r="A1013" i="30" s="1"/>
  <c r="A1014" i="30" s="1"/>
  <c r="A1015" i="30" s="1"/>
  <c r="A1016" i="30" s="1"/>
  <c r="A1017" i="30" s="1"/>
  <c r="A1018" i="30" s="1"/>
  <c r="A1019" i="30" s="1"/>
  <c r="A1020" i="30" s="1"/>
  <c r="A1021" i="30" s="1"/>
  <c r="A1022" i="30" s="1"/>
  <c r="A1023" i="30" s="1"/>
  <c r="A1024" i="30" s="1"/>
  <c r="A1025" i="30" s="1"/>
  <c r="A1026" i="30" s="1"/>
  <c r="A1027" i="30" s="1"/>
  <c r="A1028" i="30" s="1"/>
  <c r="A1029" i="30" s="1"/>
  <c r="A1030" i="30" s="1"/>
  <c r="A1031" i="30" s="1"/>
  <c r="A1032" i="30" s="1"/>
  <c r="A1033" i="30" s="1"/>
  <c r="A1034" i="30" s="1"/>
  <c r="A1035" i="30" s="1"/>
  <c r="A1036" i="30" s="1"/>
  <c r="A1037" i="30" s="1"/>
  <c r="A1038" i="30" s="1"/>
  <c r="A1039" i="30" s="1"/>
  <c r="A1040" i="30" s="1"/>
  <c r="A1041" i="30" s="1"/>
  <c r="A1042" i="30" s="1"/>
  <c r="A1043" i="30" s="1"/>
  <c r="A1044" i="30" s="1"/>
  <c r="A1045" i="30" s="1"/>
  <c r="A1046" i="30" s="1"/>
  <c r="A1047" i="30" s="1"/>
  <c r="A1048" i="30" s="1"/>
  <c r="A1049" i="30" s="1"/>
  <c r="A1050" i="30" s="1"/>
  <c r="A1051" i="30" s="1"/>
  <c r="A1052" i="30" s="1"/>
  <c r="A1053" i="30" s="1"/>
  <c r="A1054" i="30" s="1"/>
  <c r="A1055" i="30" s="1"/>
  <c r="A1056" i="30" s="1"/>
  <c r="A1057" i="30" s="1"/>
  <c r="A1058" i="30" s="1"/>
  <c r="A1059" i="30" s="1"/>
  <c r="A1060" i="30" s="1"/>
  <c r="A1061" i="30" s="1"/>
  <c r="A1062" i="30" s="1"/>
  <c r="A1063" i="30" s="1"/>
  <c r="A1064" i="30" s="1"/>
  <c r="A1065" i="30" s="1"/>
  <c r="A1066" i="30" s="1"/>
  <c r="A1067" i="30" s="1"/>
  <c r="A1068" i="30" s="1"/>
  <c r="A1069" i="30" s="1"/>
  <c r="A1070" i="30" s="1"/>
  <c r="A1071" i="30" s="1"/>
  <c r="A1072" i="30" s="1"/>
  <c r="A1073" i="30" s="1"/>
  <c r="A1074" i="30" s="1"/>
  <c r="A1075" i="30" s="1"/>
  <c r="A1076" i="30" s="1"/>
  <c r="A1077" i="30" s="1"/>
  <c r="A1078" i="30" s="1"/>
  <c r="A1079" i="30" s="1"/>
  <c r="A1080" i="30" s="1"/>
  <c r="A1081" i="30" s="1"/>
  <c r="A1082" i="30" s="1"/>
  <c r="A1083" i="30" s="1"/>
  <c r="A1084" i="30" s="1"/>
  <c r="A1085" i="30" s="1"/>
  <c r="A1086" i="30" s="1"/>
  <c r="A1087" i="30" s="1"/>
  <c r="A1088" i="30" s="1"/>
  <c r="A1089" i="30" s="1"/>
  <c r="A1090" i="30" s="1"/>
  <c r="A1091" i="30" s="1"/>
  <c r="A1092" i="30" s="1"/>
  <c r="A1093" i="30" s="1"/>
  <c r="A1094" i="30" s="1"/>
  <c r="A1095" i="30" s="1"/>
  <c r="A1096" i="30" s="1"/>
  <c r="A1097" i="30" s="1"/>
  <c r="A1098" i="30" s="1"/>
  <c r="A1099" i="30" s="1"/>
  <c r="A1100" i="30" s="1"/>
  <c r="A1101" i="30" s="1"/>
  <c r="A1102" i="30" s="1"/>
  <c r="A1103" i="30" s="1"/>
  <c r="A1104" i="30" s="1"/>
  <c r="A1105" i="30" s="1"/>
  <c r="A1106" i="30" s="1"/>
  <c r="A1107" i="30" s="1"/>
  <c r="A1108" i="30" s="1"/>
  <c r="A1109" i="30" s="1"/>
  <c r="A1110" i="30" s="1"/>
  <c r="A1111" i="30" s="1"/>
  <c r="A1112" i="30" s="1"/>
  <c r="A1113" i="30" s="1"/>
  <c r="A1114" i="30" s="1"/>
  <c r="A1115" i="30" s="1"/>
  <c r="A1116" i="30" s="1"/>
  <c r="A1117" i="30" s="1"/>
  <c r="A1118" i="30" s="1"/>
  <c r="A1119" i="30" s="1"/>
  <c r="A1120" i="30" s="1"/>
  <c r="F39" i="30" l="1"/>
  <c r="F12" i="30"/>
  <c r="G10" i="28"/>
  <c r="H11" i="28"/>
  <c r="K11" i="28" s="1"/>
  <c r="K34" i="28"/>
  <c r="L3" i="29"/>
  <c r="L5" i="29"/>
  <c r="L7" i="29"/>
  <c r="L2" i="26"/>
  <c r="K6" i="26"/>
  <c r="L3" i="26"/>
  <c r="L6" i="26"/>
  <c r="K10" i="26"/>
  <c r="L7" i="26"/>
  <c r="K11" i="26"/>
  <c r="K12" i="27"/>
  <c r="L8" i="27"/>
  <c r="K13" i="27"/>
  <c r="L9" i="27"/>
  <c r="L7" i="27"/>
  <c r="K11" i="27"/>
  <c r="K7" i="24"/>
  <c r="K6" i="24"/>
  <c r="L3" i="24"/>
  <c r="L6" i="24"/>
  <c r="K10" i="24"/>
  <c r="L7" i="24"/>
  <c r="K11" i="24"/>
  <c r="L26" i="32"/>
  <c r="K38" i="32"/>
  <c r="L23" i="32"/>
  <c r="K35" i="32"/>
  <c r="K37" i="32"/>
  <c r="L25" i="32"/>
  <c r="L32" i="32"/>
  <c r="K44" i="32"/>
  <c r="K39" i="32"/>
  <c r="L27" i="32"/>
  <c r="K31" i="32"/>
  <c r="L31" i="32" s="1"/>
  <c r="L19" i="32"/>
  <c r="L40" i="32"/>
  <c r="K52" i="32"/>
  <c r="L24" i="32"/>
  <c r="K36" i="32"/>
  <c r="K51" i="32"/>
  <c r="K45" i="32"/>
  <c r="L33" i="32"/>
  <c r="L20" i="32"/>
  <c r="K43" i="32"/>
  <c r="H11" i="32"/>
  <c r="G11" i="32"/>
  <c r="F10" i="32"/>
  <c r="K45" i="31"/>
  <c r="L33" i="31"/>
  <c r="L26" i="31"/>
  <c r="K38" i="31"/>
  <c r="K51" i="31"/>
  <c r="K31" i="31"/>
  <c r="L19" i="31"/>
  <c r="L32" i="31"/>
  <c r="K44" i="31"/>
  <c r="L31" i="31"/>
  <c r="K43" i="31"/>
  <c r="K30" i="31"/>
  <c r="L18" i="31"/>
  <c r="K39" i="31"/>
  <c r="L27" i="31"/>
  <c r="K37" i="31"/>
  <c r="L25" i="31"/>
  <c r="L24" i="31"/>
  <c r="K36" i="31"/>
  <c r="L28" i="31"/>
  <c r="L23" i="31"/>
  <c r="K35" i="31"/>
  <c r="H11" i="31"/>
  <c r="G11" i="31"/>
  <c r="F10" i="31"/>
  <c r="F38" i="30" l="1"/>
  <c r="G39" i="30"/>
  <c r="H39" i="30"/>
  <c r="F11" i="30"/>
  <c r="G12" i="30"/>
  <c r="K45" i="28"/>
  <c r="K22" i="28"/>
  <c r="L11" i="28"/>
  <c r="H10" i="28"/>
  <c r="K10" i="28" s="1"/>
  <c r="G9" i="28"/>
  <c r="L8" i="29"/>
  <c r="L6" i="29"/>
  <c r="K14" i="26"/>
  <c r="L10" i="26"/>
  <c r="K13" i="26"/>
  <c r="K9" i="26"/>
  <c r="L9" i="26" s="1"/>
  <c r="L5" i="26"/>
  <c r="K14" i="27"/>
  <c r="L10" i="27"/>
  <c r="K16" i="27"/>
  <c r="L12" i="27"/>
  <c r="K15" i="27"/>
  <c r="L11" i="27"/>
  <c r="K14" i="24"/>
  <c r="L10" i="24"/>
  <c r="K9" i="24"/>
  <c r="L5" i="24"/>
  <c r="K13" i="24"/>
  <c r="L9" i="24"/>
  <c r="K47" i="32"/>
  <c r="L35" i="32"/>
  <c r="L30" i="32"/>
  <c r="K42" i="32"/>
  <c r="K48" i="32"/>
  <c r="L36" i="32"/>
  <c r="L34" i="32"/>
  <c r="K46" i="32"/>
  <c r="K56" i="32"/>
  <c r="L44" i="32"/>
  <c r="K63" i="32"/>
  <c r="L51" i="32"/>
  <c r="L38" i="32"/>
  <c r="K50" i="32"/>
  <c r="K62" i="32"/>
  <c r="L50" i="32"/>
  <c r="K49" i="32"/>
  <c r="L37" i="32"/>
  <c r="K55" i="32"/>
  <c r="L43" i="32"/>
  <c r="K54" i="32"/>
  <c r="L42" i="32"/>
  <c r="L39" i="32"/>
  <c r="H10" i="32"/>
  <c r="G10" i="32"/>
  <c r="F9" i="32"/>
  <c r="L38" i="31"/>
  <c r="K50" i="31"/>
  <c r="K54" i="31"/>
  <c r="K41" i="31"/>
  <c r="L29" i="31"/>
  <c r="L34" i="31"/>
  <c r="K46" i="31"/>
  <c r="L30" i="31"/>
  <c r="K42" i="31"/>
  <c r="K47" i="31"/>
  <c r="L35" i="31"/>
  <c r="K55" i="31"/>
  <c r="L43" i="31"/>
  <c r="K62" i="31"/>
  <c r="L50" i="31"/>
  <c r="L39" i="31"/>
  <c r="L37" i="31"/>
  <c r="K49" i="31"/>
  <c r="K48" i="31"/>
  <c r="L36" i="31"/>
  <c r="K56" i="31"/>
  <c r="L44" i="31"/>
  <c r="H10" i="31"/>
  <c r="G10" i="31"/>
  <c r="F9" i="31"/>
  <c r="D32" i="1"/>
  <c r="F37" i="30" l="1"/>
  <c r="G38" i="30"/>
  <c r="H38" i="30"/>
  <c r="G11" i="30"/>
  <c r="F10" i="30"/>
  <c r="F9" i="30" s="1"/>
  <c r="F8" i="30" s="1"/>
  <c r="F7" i="30" s="1"/>
  <c r="F6" i="30" s="1"/>
  <c r="F5" i="30" s="1"/>
  <c r="H9" i="28"/>
  <c r="K9" i="28" s="1"/>
  <c r="L9" i="28" s="1"/>
  <c r="G8" i="28"/>
  <c r="K21" i="28"/>
  <c r="L21" i="28"/>
  <c r="K33" i="28"/>
  <c r="L22" i="28"/>
  <c r="L10" i="28"/>
  <c r="K56" i="28"/>
  <c r="L9" i="29"/>
  <c r="L10" i="29"/>
  <c r="L11" i="29"/>
  <c r="L13" i="29"/>
  <c r="K16" i="26"/>
  <c r="L8" i="26"/>
  <c r="K12" i="26"/>
  <c r="L13" i="26"/>
  <c r="K17" i="26"/>
  <c r="L14" i="27"/>
  <c r="K18" i="27"/>
  <c r="L15" i="27"/>
  <c r="K19" i="27"/>
  <c r="L13" i="27"/>
  <c r="K17" i="27"/>
  <c r="L8" i="24"/>
  <c r="K12" i="24"/>
  <c r="K16" i="24"/>
  <c r="L12" i="24"/>
  <c r="K17" i="24"/>
  <c r="L13" i="24"/>
  <c r="L62" i="32"/>
  <c r="K74" i="32"/>
  <c r="L45" i="32"/>
  <c r="K57" i="32"/>
  <c r="K65" i="32"/>
  <c r="K61" i="32"/>
  <c r="L49" i="32"/>
  <c r="L41" i="32"/>
  <c r="K53" i="32"/>
  <c r="L53" i="32" s="1"/>
  <c r="L61" i="32"/>
  <c r="K73" i="32"/>
  <c r="L54" i="32"/>
  <c r="K66" i="32"/>
  <c r="L55" i="32"/>
  <c r="K67" i="32"/>
  <c r="L47" i="32"/>
  <c r="K59" i="32"/>
  <c r="L48" i="32"/>
  <c r="K60" i="32"/>
  <c r="L46" i="32"/>
  <c r="K58" i="32"/>
  <c r="H9" i="32"/>
  <c r="G9" i="32"/>
  <c r="F8" i="32"/>
  <c r="L54" i="31"/>
  <c r="K66" i="31"/>
  <c r="L46" i="31"/>
  <c r="K58" i="31"/>
  <c r="K53" i="31"/>
  <c r="L41" i="31"/>
  <c r="L45" i="31"/>
  <c r="K57" i="31"/>
  <c r="L55" i="31"/>
  <c r="K67" i="31"/>
  <c r="L47" i="31"/>
  <c r="K59" i="31"/>
  <c r="K61" i="31"/>
  <c r="L49" i="31"/>
  <c r="K73" i="31"/>
  <c r="L61" i="31"/>
  <c r="L40" i="31"/>
  <c r="K52" i="31"/>
  <c r="K65" i="31"/>
  <c r="L48" i="31"/>
  <c r="K60" i="31"/>
  <c r="L42" i="31"/>
  <c r="H9" i="31"/>
  <c r="G9" i="31"/>
  <c r="F8" i="31"/>
  <c r="G37" i="30" l="1"/>
  <c r="H37" i="30"/>
  <c r="F36" i="30"/>
  <c r="F4" i="30"/>
  <c r="F3" i="30" s="1"/>
  <c r="H5" i="30"/>
  <c r="K5" i="30" s="1"/>
  <c r="K44" i="28"/>
  <c r="L33" i="28"/>
  <c r="K32" i="28"/>
  <c r="H8" i="28"/>
  <c r="K8" i="28" s="1"/>
  <c r="L8" i="28" s="1"/>
  <c r="G7" i="28"/>
  <c r="K67" i="28"/>
  <c r="K20" i="28"/>
  <c r="L14" i="29"/>
  <c r="L12" i="29"/>
  <c r="K15" i="26"/>
  <c r="L11" i="26"/>
  <c r="L16" i="26"/>
  <c r="K20" i="26"/>
  <c r="L12" i="26"/>
  <c r="L15" i="26"/>
  <c r="K19" i="26"/>
  <c r="K22" i="27"/>
  <c r="L18" i="27"/>
  <c r="L16" i="27"/>
  <c r="K20" i="27"/>
  <c r="K21" i="27"/>
  <c r="L17" i="27"/>
  <c r="L16" i="24"/>
  <c r="K20" i="24"/>
  <c r="K19" i="24"/>
  <c r="K15" i="24"/>
  <c r="L15" i="24" s="1"/>
  <c r="L11" i="24"/>
  <c r="L65" i="32"/>
  <c r="K77" i="32"/>
  <c r="K78" i="32"/>
  <c r="L66" i="32"/>
  <c r="K76" i="32"/>
  <c r="K71" i="32"/>
  <c r="L59" i="32"/>
  <c r="L56" i="32"/>
  <c r="K68" i="32"/>
  <c r="K64" i="32"/>
  <c r="L64" i="32" s="1"/>
  <c r="L52" i="32"/>
  <c r="K72" i="32"/>
  <c r="L60" i="32"/>
  <c r="L57" i="32"/>
  <c r="K69" i="32"/>
  <c r="L58" i="32"/>
  <c r="K70" i="32"/>
  <c r="L73" i="32"/>
  <c r="K85" i="32"/>
  <c r="K84" i="32"/>
  <c r="F7" i="32"/>
  <c r="H8" i="32"/>
  <c r="G8" i="32"/>
  <c r="K72" i="31"/>
  <c r="L60" i="31"/>
  <c r="K70" i="31"/>
  <c r="L58" i="31"/>
  <c r="L56" i="31"/>
  <c r="K68" i="31"/>
  <c r="L72" i="31"/>
  <c r="K84" i="31"/>
  <c r="K78" i="31"/>
  <c r="L66" i="31"/>
  <c r="K64" i="31"/>
  <c r="L52" i="31"/>
  <c r="L64" i="31"/>
  <c r="K76" i="31"/>
  <c r="L53" i="31"/>
  <c r="K63" i="31"/>
  <c r="L51" i="31"/>
  <c r="K77" i="31"/>
  <c r="L65" i="31"/>
  <c r="K71" i="31"/>
  <c r="L59" i="31"/>
  <c r="K69" i="31"/>
  <c r="L57" i="31"/>
  <c r="F7" i="31"/>
  <c r="H8" i="31"/>
  <c r="G8" i="31"/>
  <c r="F35" i="30" l="1"/>
  <c r="H36" i="30"/>
  <c r="G36" i="30"/>
  <c r="K16" i="30"/>
  <c r="F2" i="30"/>
  <c r="H3" i="30"/>
  <c r="K3" i="30" s="1"/>
  <c r="K78" i="28"/>
  <c r="K43" i="28"/>
  <c r="K31" i="28"/>
  <c r="K19" i="28"/>
  <c r="L19" i="28" s="1"/>
  <c r="L20" i="28"/>
  <c r="K55" i="28"/>
  <c r="L43" i="28"/>
  <c r="L44" i="28"/>
  <c r="G6" i="28"/>
  <c r="H7" i="28"/>
  <c r="K7" i="28" s="1"/>
  <c r="L32" i="28"/>
  <c r="L15" i="29"/>
  <c r="L17" i="29"/>
  <c r="L16" i="29"/>
  <c r="K22" i="26"/>
  <c r="K23" i="26"/>
  <c r="L19" i="26"/>
  <c r="L14" i="26"/>
  <c r="K18" i="26"/>
  <c r="K24" i="27"/>
  <c r="L20" i="27"/>
  <c r="K23" i="27"/>
  <c r="L19" i="27"/>
  <c r="K25" i="27"/>
  <c r="L21" i="27"/>
  <c r="K22" i="24"/>
  <c r="K23" i="24"/>
  <c r="L19" i="24"/>
  <c r="L14" i="24"/>
  <c r="K18" i="24"/>
  <c r="L71" i="32"/>
  <c r="K83" i="32"/>
  <c r="L63" i="32"/>
  <c r="K75" i="32"/>
  <c r="K96" i="32"/>
  <c r="L84" i="32"/>
  <c r="L70" i="32"/>
  <c r="K82" i="32"/>
  <c r="K89" i="32"/>
  <c r="L77" i="32"/>
  <c r="K80" i="32"/>
  <c r="L68" i="32"/>
  <c r="K95" i="32"/>
  <c r="L83" i="32"/>
  <c r="L72" i="32"/>
  <c r="L69" i="32"/>
  <c r="K81" i="32"/>
  <c r="K88" i="32"/>
  <c r="L76" i="32"/>
  <c r="K79" i="32"/>
  <c r="L67" i="32"/>
  <c r="K87" i="32"/>
  <c r="L75" i="32"/>
  <c r="G7" i="32"/>
  <c r="F6" i="32"/>
  <c r="H7" i="32"/>
  <c r="L62" i="31"/>
  <c r="K74" i="31"/>
  <c r="K87" i="31"/>
  <c r="K95" i="31"/>
  <c r="L83" i="31"/>
  <c r="K89" i="31"/>
  <c r="L77" i="31"/>
  <c r="L63" i="31"/>
  <c r="K75" i="31"/>
  <c r="K80" i="31"/>
  <c r="L68" i="31"/>
  <c r="K79" i="31"/>
  <c r="L67" i="31"/>
  <c r="L70" i="31"/>
  <c r="K82" i="31"/>
  <c r="K81" i="31"/>
  <c r="L69" i="31"/>
  <c r="K88" i="31"/>
  <c r="L76" i="31"/>
  <c r="L71" i="31"/>
  <c r="K83" i="31"/>
  <c r="G7" i="31"/>
  <c r="F6" i="31"/>
  <c r="H7" i="31"/>
  <c r="C2" i="14"/>
  <c r="M3" i="14" l="1" a="1"/>
  <c r="M3" i="14" s="1"/>
  <c r="L3" i="14" a="1"/>
  <c r="L3" i="14" s="1"/>
  <c r="K3" i="14" a="1"/>
  <c r="K3" i="14" s="1"/>
  <c r="G35" i="30"/>
  <c r="F34" i="30"/>
  <c r="H35" i="30"/>
  <c r="K27" i="30"/>
  <c r="K14" i="30"/>
  <c r="G2" i="30"/>
  <c r="H2" i="30"/>
  <c r="K2" i="30" s="1"/>
  <c r="K13" i="30" s="1"/>
  <c r="M63" i="14" a="1"/>
  <c r="M63" i="14" s="1"/>
  <c r="L66" i="14" a="1"/>
  <c r="L66" i="14" s="1"/>
  <c r="K69" i="14" a="1"/>
  <c r="K69" i="14" s="1"/>
  <c r="M80" i="14" a="1"/>
  <c r="M80" i="14" s="1"/>
  <c r="L83" i="14" a="1"/>
  <c r="L83" i="14" s="1"/>
  <c r="L86" i="14" a="1"/>
  <c r="L86" i="14" s="1"/>
  <c r="K89" i="14" a="1"/>
  <c r="K89" i="14" s="1"/>
  <c r="M100" i="14" a="1"/>
  <c r="M100" i="14" s="1"/>
  <c r="L103" i="14" a="1"/>
  <c r="L103" i="14" s="1"/>
  <c r="M18" i="14" a="1"/>
  <c r="M18" i="14" s="1"/>
  <c r="M34" i="14" a="1"/>
  <c r="M34" i="14" s="1"/>
  <c r="M50" i="14" a="1"/>
  <c r="M50" i="14" s="1"/>
  <c r="L13" i="14" a="1"/>
  <c r="L13" i="14" s="1"/>
  <c r="L29" i="14" a="1"/>
  <c r="L29" i="14" s="1"/>
  <c r="K6" i="14" a="1"/>
  <c r="K6" i="14" s="1"/>
  <c r="K21" i="14" a="1"/>
  <c r="K21" i="14" s="1"/>
  <c r="K36" i="14" a="1"/>
  <c r="K36" i="14" s="1"/>
  <c r="K52" i="14" a="1"/>
  <c r="K52" i="14" s="1"/>
  <c r="M17" i="14" a="1"/>
  <c r="M17" i="14" s="1"/>
  <c r="M66" i="14" a="1"/>
  <c r="M66" i="14" s="1"/>
  <c r="L69" i="14" a="1"/>
  <c r="L69" i="14" s="1"/>
  <c r="K72" i="14" a="1"/>
  <c r="K72" i="14" s="1"/>
  <c r="K75" i="14" a="1"/>
  <c r="K75" i="14" s="1"/>
  <c r="M83" i="14" a="1"/>
  <c r="M83" i="14" s="1"/>
  <c r="L89" i="14" a="1"/>
  <c r="L89" i="14" s="1"/>
  <c r="M103" i="14" a="1"/>
  <c r="M103" i="14" s="1"/>
  <c r="M19" i="14" a="1"/>
  <c r="M19" i="14" s="1"/>
  <c r="M35" i="14" a="1"/>
  <c r="M35" i="14" s="1"/>
  <c r="M51" i="14" a="1"/>
  <c r="M51" i="14" s="1"/>
  <c r="L14" i="14" a="1"/>
  <c r="L14" i="14" s="1"/>
  <c r="L30" i="14" a="1"/>
  <c r="L30" i="14" s="1"/>
  <c r="L44" i="14" a="1"/>
  <c r="L44" i="14" s="1"/>
  <c r="K7" i="14" a="1"/>
  <c r="K7" i="14" s="1"/>
  <c r="K22" i="14" a="1"/>
  <c r="K22" i="14" s="1"/>
  <c r="K37" i="14" a="1"/>
  <c r="K37" i="14" s="1"/>
  <c r="K53" i="14" a="1"/>
  <c r="K53" i="14" s="1"/>
  <c r="L26" i="14" a="1"/>
  <c r="L26" i="14" s="1"/>
  <c r="M60" i="14" a="1"/>
  <c r="M60" i="14" s="1"/>
  <c r="K58" i="14" a="1"/>
  <c r="K58" i="14" s="1"/>
  <c r="M69" i="14" a="1"/>
  <c r="M69" i="14" s="1"/>
  <c r="L72" i="14" a="1"/>
  <c r="L72" i="14" s="1"/>
  <c r="K78" i="14" a="1"/>
  <c r="K78" i="14" s="1"/>
  <c r="M86" i="14" a="1"/>
  <c r="M86" i="14" s="1"/>
  <c r="M89" i="14" a="1"/>
  <c r="M89" i="14" s="1"/>
  <c r="L92" i="14" a="1"/>
  <c r="L92" i="14" s="1"/>
  <c r="K95" i="14" a="1"/>
  <c r="K95" i="14" s="1"/>
  <c r="M4" i="14" a="1"/>
  <c r="M4" i="14" s="1"/>
  <c r="M20" i="14" a="1"/>
  <c r="M20" i="14" s="1"/>
  <c r="M36" i="14" a="1"/>
  <c r="M36" i="14" s="1"/>
  <c r="M52" i="14" a="1"/>
  <c r="M52" i="14" s="1"/>
  <c r="L15" i="14" a="1"/>
  <c r="L15" i="14" s="1"/>
  <c r="L31" i="14" a="1"/>
  <c r="L31" i="14" s="1"/>
  <c r="L45" i="14" a="1"/>
  <c r="L45" i="14" s="1"/>
  <c r="K8" i="14" a="1"/>
  <c r="K8" i="14" s="1"/>
  <c r="K23" i="14" a="1"/>
  <c r="K23" i="14" s="1"/>
  <c r="K38" i="14" a="1"/>
  <c r="K38" i="14" s="1"/>
  <c r="K54" i="14" a="1"/>
  <c r="K54" i="14" s="1"/>
  <c r="L41" i="14" a="1"/>
  <c r="L41" i="14" s="1"/>
  <c r="M77" i="14" a="1"/>
  <c r="M77" i="14" s="1"/>
  <c r="K51" i="14" a="1"/>
  <c r="K51" i="14" s="1"/>
  <c r="L58" i="14" a="1"/>
  <c r="L58" i="14" s="1"/>
  <c r="K61" i="14" a="1"/>
  <c r="K61" i="14" s="1"/>
  <c r="M72" i="14" a="1"/>
  <c r="M72" i="14" s="1"/>
  <c r="L75" i="14" a="1"/>
  <c r="L75" i="14" s="1"/>
  <c r="L78" i="14" a="1"/>
  <c r="L78" i="14" s="1"/>
  <c r="M92" i="14" a="1"/>
  <c r="M92" i="14" s="1"/>
  <c r="L95" i="14" a="1"/>
  <c r="L95" i="14" s="1"/>
  <c r="K98" i="14" a="1"/>
  <c r="K98" i="14" s="1"/>
  <c r="M5" i="14" a="1"/>
  <c r="M5" i="14" s="1"/>
  <c r="M21" i="14" a="1"/>
  <c r="M21" i="14" s="1"/>
  <c r="M37" i="14" a="1"/>
  <c r="M37" i="14" s="1"/>
  <c r="M53" i="14" a="1"/>
  <c r="M53" i="14" s="1"/>
  <c r="L16" i="14" a="1"/>
  <c r="L16" i="14" s="1"/>
  <c r="L32" i="14" a="1"/>
  <c r="L32" i="14" s="1"/>
  <c r="L46" i="14" a="1"/>
  <c r="L46" i="14" s="1"/>
  <c r="K9" i="14" a="1"/>
  <c r="K9" i="14" s="1"/>
  <c r="K24" i="14" a="1"/>
  <c r="K24" i="14" s="1"/>
  <c r="K39" i="14" a="1"/>
  <c r="K39" i="14" s="1"/>
  <c r="K55" i="14" a="1"/>
  <c r="K55" i="14" s="1"/>
  <c r="L63" i="14" a="1"/>
  <c r="L63" i="14" s="1"/>
  <c r="L12" i="14" a="1"/>
  <c r="L12" i="14" s="1"/>
  <c r="M58" i="14" a="1"/>
  <c r="M58" i="14" s="1"/>
  <c r="L61" i="14" a="1"/>
  <c r="L61" i="14" s="1"/>
  <c r="K64" i="14" a="1"/>
  <c r="K64" i="14" s="1"/>
  <c r="K67" i="14" a="1"/>
  <c r="K67" i="14" s="1"/>
  <c r="M75" i="14" a="1"/>
  <c r="M75" i="14" s="1"/>
  <c r="L81" i="14" a="1"/>
  <c r="L81" i="14" s="1"/>
  <c r="K84" i="14" a="1"/>
  <c r="K84" i="14" s="1"/>
  <c r="M95" i="14" a="1"/>
  <c r="M95" i="14" s="1"/>
  <c r="L98" i="14" a="1"/>
  <c r="L98" i="14" s="1"/>
  <c r="K101" i="14" a="1"/>
  <c r="K101" i="14" s="1"/>
  <c r="M6" i="14" a="1"/>
  <c r="M6" i="14" s="1"/>
  <c r="M22" i="14" a="1"/>
  <c r="M22" i="14" s="1"/>
  <c r="M38" i="14" a="1"/>
  <c r="M38" i="14" s="1"/>
  <c r="M54" i="14" a="1"/>
  <c r="M54" i="14" s="1"/>
  <c r="L17" i="14" a="1"/>
  <c r="L17" i="14" s="1"/>
  <c r="L33" i="14" a="1"/>
  <c r="L33" i="14" s="1"/>
  <c r="L47" i="14" a="1"/>
  <c r="L47" i="14" s="1"/>
  <c r="K10" i="14" a="1"/>
  <c r="K10" i="14" s="1"/>
  <c r="K25" i="14" a="1"/>
  <c r="K25" i="14" s="1"/>
  <c r="K40" i="14" a="1"/>
  <c r="K40" i="14" s="1"/>
  <c r="M33" i="14" a="1"/>
  <c r="M33" i="14" s="1"/>
  <c r="K35" i="14" a="1"/>
  <c r="K35" i="14" s="1"/>
  <c r="M61" i="14" a="1"/>
  <c r="M61" i="14" s="1"/>
  <c r="L64" i="14" a="1"/>
  <c r="L64" i="14" s="1"/>
  <c r="K70" i="14" a="1"/>
  <c r="K70" i="14" s="1"/>
  <c r="M78" i="14" a="1"/>
  <c r="M78" i="14" s="1"/>
  <c r="M81" i="14" a="1"/>
  <c r="M81" i="14" s="1"/>
  <c r="L84" i="14" a="1"/>
  <c r="L84" i="14" s="1"/>
  <c r="K87" i="14" a="1"/>
  <c r="K87" i="14" s="1"/>
  <c r="M98" i="14" a="1"/>
  <c r="M98" i="14" s="1"/>
  <c r="L101" i="14" a="1"/>
  <c r="L101" i="14" s="1"/>
  <c r="M7" i="14" a="1"/>
  <c r="M7" i="14" s="1"/>
  <c r="M23" i="14" a="1"/>
  <c r="M23" i="14" s="1"/>
  <c r="M39" i="14" a="1"/>
  <c r="M39" i="14" s="1"/>
  <c r="M55" i="14" a="1"/>
  <c r="M55" i="14" s="1"/>
  <c r="L18" i="14" a="1"/>
  <c r="L18" i="14" s="1"/>
  <c r="L34" i="14" a="1"/>
  <c r="L34" i="14" s="1"/>
  <c r="L48" i="14" a="1"/>
  <c r="L48" i="14" s="1"/>
  <c r="K11" i="14" a="1"/>
  <c r="K11" i="14" s="1"/>
  <c r="K26" i="14" a="1"/>
  <c r="K26" i="14" s="1"/>
  <c r="K41" i="14" a="1"/>
  <c r="K41" i="14" s="1"/>
  <c r="L88" i="14" a="1"/>
  <c r="L88" i="14" s="1"/>
  <c r="K19" i="14" a="1"/>
  <c r="K19" i="14" s="1"/>
  <c r="K86" i="14" a="1"/>
  <c r="K86" i="14" s="1"/>
  <c r="M64" i="14" a="1"/>
  <c r="M64" i="14" s="1"/>
  <c r="L67" i="14" a="1"/>
  <c r="L67" i="14" s="1"/>
  <c r="L70" i="14" a="1"/>
  <c r="L70" i="14" s="1"/>
  <c r="K73" i="14" a="1"/>
  <c r="K73" i="14" s="1"/>
  <c r="M84" i="14" a="1"/>
  <c r="M84" i="14" s="1"/>
  <c r="L87" i="14" a="1"/>
  <c r="L87" i="14" s="1"/>
  <c r="K90" i="14" a="1"/>
  <c r="K90" i="14" s="1"/>
  <c r="M101" i="14" a="1"/>
  <c r="M101" i="14" s="1"/>
  <c r="L104" i="14" a="1"/>
  <c r="L104" i="14" s="1"/>
  <c r="M8" i="14" a="1"/>
  <c r="M8" i="14" s="1"/>
  <c r="M24" i="14" a="1"/>
  <c r="M24" i="14" s="1"/>
  <c r="M40" i="14" a="1"/>
  <c r="M40" i="14" s="1"/>
  <c r="L4" i="14" a="1"/>
  <c r="L4" i="14" s="1"/>
  <c r="L19" i="14" a="1"/>
  <c r="L19" i="14" s="1"/>
  <c r="L35" i="14" a="1"/>
  <c r="L35" i="14" s="1"/>
  <c r="L49" i="14" a="1"/>
  <c r="L49" i="14" s="1"/>
  <c r="K12" i="14" a="1"/>
  <c r="K12" i="14" s="1"/>
  <c r="K27" i="14" a="1"/>
  <c r="K27" i="14" s="1"/>
  <c r="K42" i="14" a="1"/>
  <c r="K42" i="14" s="1"/>
  <c r="K94" i="14" a="1"/>
  <c r="K94" i="14" s="1"/>
  <c r="L43" i="14" a="1"/>
  <c r="L43" i="14" s="1"/>
  <c r="K56" i="14" a="1"/>
  <c r="K56" i="14" s="1"/>
  <c r="K59" i="14" a="1"/>
  <c r="K59" i="14" s="1"/>
  <c r="M67" i="14" a="1"/>
  <c r="M67" i="14" s="1"/>
  <c r="L73" i="14" a="1"/>
  <c r="L73" i="14" s="1"/>
  <c r="K76" i="14" a="1"/>
  <c r="K76" i="14" s="1"/>
  <c r="M87" i="14" a="1"/>
  <c r="M87" i="14" s="1"/>
  <c r="L90" i="14" a="1"/>
  <c r="L90" i="14" s="1"/>
  <c r="M104" i="14" a="1"/>
  <c r="M104" i="14" s="1"/>
  <c r="M9" i="14" a="1"/>
  <c r="M9" i="14" s="1"/>
  <c r="M25" i="14" a="1"/>
  <c r="M25" i="14" s="1"/>
  <c r="M41" i="14" a="1"/>
  <c r="M41" i="14" s="1"/>
  <c r="L5" i="14" a="1"/>
  <c r="L5" i="14" s="1"/>
  <c r="L20" i="14" a="1"/>
  <c r="L20" i="14" s="1"/>
  <c r="L50" i="14" a="1"/>
  <c r="L50" i="14" s="1"/>
  <c r="K13" i="14" a="1"/>
  <c r="K13" i="14" s="1"/>
  <c r="K43" i="14" a="1"/>
  <c r="K43" i="14" s="1"/>
  <c r="L56" i="14" a="1"/>
  <c r="L56" i="14" s="1"/>
  <c r="K62" i="14" a="1"/>
  <c r="K62" i="14" s="1"/>
  <c r="M70" i="14" a="1"/>
  <c r="M70" i="14" s="1"/>
  <c r="M73" i="14" a="1"/>
  <c r="M73" i="14" s="1"/>
  <c r="L76" i="14" a="1"/>
  <c r="L76" i="14" s="1"/>
  <c r="K79" i="14" a="1"/>
  <c r="K79" i="14" s="1"/>
  <c r="M90" i="14" a="1"/>
  <c r="M90" i="14" s="1"/>
  <c r="L93" i="14" a="1"/>
  <c r="L93" i="14" s="1"/>
  <c r="K96" i="14" a="1"/>
  <c r="K96" i="14" s="1"/>
  <c r="K99" i="14" a="1"/>
  <c r="K99" i="14" s="1"/>
  <c r="M10" i="14" a="1"/>
  <c r="M10" i="14" s="1"/>
  <c r="M26" i="14" a="1"/>
  <c r="M26" i="14" s="1"/>
  <c r="M42" i="14" a="1"/>
  <c r="M42" i="14" s="1"/>
  <c r="L6" i="14" a="1"/>
  <c r="L6" i="14" s="1"/>
  <c r="L21" i="14" a="1"/>
  <c r="L21" i="14" s="1"/>
  <c r="L36" i="14" a="1"/>
  <c r="L36" i="14" s="1"/>
  <c r="L51" i="14" a="1"/>
  <c r="L51" i="14" s="1"/>
  <c r="K14" i="14" a="1"/>
  <c r="K14" i="14" s="1"/>
  <c r="K28" i="14" a="1"/>
  <c r="K28" i="14" s="1"/>
  <c r="K44" i="14" a="1"/>
  <c r="K44" i="14" s="1"/>
  <c r="M102" i="14" a="1"/>
  <c r="M102" i="14" s="1"/>
  <c r="L10" i="14" a="1"/>
  <c r="L10" i="14" s="1"/>
  <c r="K18" i="14" a="1"/>
  <c r="K18" i="14" s="1"/>
  <c r="L11" i="14" a="1"/>
  <c r="L11" i="14" s="1"/>
  <c r="M56" i="14" a="1"/>
  <c r="M56" i="14" s="1"/>
  <c r="L59" i="14" a="1"/>
  <c r="L59" i="14" s="1"/>
  <c r="L62" i="14" a="1"/>
  <c r="L62" i="14" s="1"/>
  <c r="K65" i="14" a="1"/>
  <c r="K65" i="14" s="1"/>
  <c r="M76" i="14" a="1"/>
  <c r="M76" i="14" s="1"/>
  <c r="L79" i="14" a="1"/>
  <c r="L79" i="14" s="1"/>
  <c r="M93" i="14" a="1"/>
  <c r="M93" i="14" s="1"/>
  <c r="L96" i="14" a="1"/>
  <c r="L96" i="14" s="1"/>
  <c r="K102" i="14" a="1"/>
  <c r="K102" i="14" s="1"/>
  <c r="M11" i="14" a="1"/>
  <c r="M11" i="14" s="1"/>
  <c r="M27" i="14" a="1"/>
  <c r="M27" i="14" s="1"/>
  <c r="M43" i="14" a="1"/>
  <c r="M43" i="14" s="1"/>
  <c r="L7" i="14" a="1"/>
  <c r="L7" i="14" s="1"/>
  <c r="L22" i="14" a="1"/>
  <c r="L22" i="14" s="1"/>
  <c r="L37" i="14" a="1"/>
  <c r="L37" i="14" s="1"/>
  <c r="L52" i="14" a="1"/>
  <c r="L52" i="14" s="1"/>
  <c r="K15" i="14" a="1"/>
  <c r="K15" i="14" s="1"/>
  <c r="K29" i="14" a="1"/>
  <c r="K29" i="14" s="1"/>
  <c r="K45" i="14" a="1"/>
  <c r="K45" i="14" s="1"/>
  <c r="K57" i="14" a="1"/>
  <c r="K57" i="14" s="1"/>
  <c r="L71" i="14" a="1"/>
  <c r="L71" i="14" s="1"/>
  <c r="M14" i="14" a="1"/>
  <c r="M14" i="14" s="1"/>
  <c r="L40" i="14" a="1"/>
  <c r="L40" i="14" s="1"/>
  <c r="K48" i="14" a="1"/>
  <c r="K48" i="14" s="1"/>
  <c r="M47" i="14" a="1"/>
  <c r="M47" i="14" s="1"/>
  <c r="K33" i="14" a="1"/>
  <c r="K33" i="14" s="1"/>
  <c r="M49" i="14" a="1"/>
  <c r="M49" i="14" s="1"/>
  <c r="M59" i="14" a="1"/>
  <c r="M59" i="14" s="1"/>
  <c r="L65" i="14" a="1"/>
  <c r="L65" i="14" s="1"/>
  <c r="K68" i="14" a="1"/>
  <c r="K68" i="14" s="1"/>
  <c r="M79" i="14" a="1"/>
  <c r="M79" i="14" s="1"/>
  <c r="L82" i="14" a="1"/>
  <c r="L82" i="14" s="1"/>
  <c r="K85" i="14" a="1"/>
  <c r="K85" i="14" s="1"/>
  <c r="M96" i="14" a="1"/>
  <c r="M96" i="14" s="1"/>
  <c r="L99" i="14" a="1"/>
  <c r="L99" i="14" s="1"/>
  <c r="L102" i="14" a="1"/>
  <c r="L102" i="14" s="1"/>
  <c r="M12" i="14" a="1"/>
  <c r="M12" i="14" s="1"/>
  <c r="M28" i="14" a="1"/>
  <c r="M28" i="14" s="1"/>
  <c r="M44" i="14" a="1"/>
  <c r="M44" i="14" s="1"/>
  <c r="L8" i="14" a="1"/>
  <c r="L8" i="14" s="1"/>
  <c r="L23" i="14" a="1"/>
  <c r="L23" i="14" s="1"/>
  <c r="L38" i="14" a="1"/>
  <c r="L38" i="14" s="1"/>
  <c r="L53" i="14" a="1"/>
  <c r="L53" i="14" s="1"/>
  <c r="K16" i="14" a="1"/>
  <c r="K16" i="14" s="1"/>
  <c r="K30" i="14" a="1"/>
  <c r="K30" i="14" s="1"/>
  <c r="K46" i="14" a="1"/>
  <c r="K46" i="14" s="1"/>
  <c r="K74" i="14" a="1"/>
  <c r="K74" i="14" s="1"/>
  <c r="M46" i="14" a="1"/>
  <c r="M46" i="14" s="1"/>
  <c r="L55" i="14" a="1"/>
  <c r="L55" i="14" s="1"/>
  <c r="M31" i="14" a="1"/>
  <c r="M31" i="14" s="1"/>
  <c r="K66" i="14" a="1"/>
  <c r="K66" i="14" s="1"/>
  <c r="M62" i="14" a="1"/>
  <c r="M62" i="14" s="1"/>
  <c r="M65" i="14" a="1"/>
  <c r="M65" i="14" s="1"/>
  <c r="L68" i="14" a="1"/>
  <c r="L68" i="14" s="1"/>
  <c r="K71" i="14" a="1"/>
  <c r="K71" i="14" s="1"/>
  <c r="M82" i="14" a="1"/>
  <c r="M82" i="14" s="1"/>
  <c r="L85" i="14" a="1"/>
  <c r="L85" i="14" s="1"/>
  <c r="K88" i="14" a="1"/>
  <c r="K88" i="14" s="1"/>
  <c r="K91" i="14" a="1"/>
  <c r="K91" i="14" s="1"/>
  <c r="M99" i="14" a="1"/>
  <c r="M99" i="14" s="1"/>
  <c r="M13" i="14" a="1"/>
  <c r="M13" i="14" s="1"/>
  <c r="M29" i="14" a="1"/>
  <c r="M29" i="14" s="1"/>
  <c r="M45" i="14" a="1"/>
  <c r="M45" i="14" s="1"/>
  <c r="L9" i="14" a="1"/>
  <c r="L9" i="14" s="1"/>
  <c r="L24" i="14" a="1"/>
  <c r="L24" i="14" s="1"/>
  <c r="L39" i="14" a="1"/>
  <c r="L39" i="14" s="1"/>
  <c r="L54" i="14" a="1"/>
  <c r="L54" i="14" s="1"/>
  <c r="K17" i="14" a="1"/>
  <c r="K17" i="14" s="1"/>
  <c r="K31" i="14" a="1"/>
  <c r="K31" i="14" s="1"/>
  <c r="K47" i="14" a="1"/>
  <c r="K47" i="14" s="1"/>
  <c r="M68" i="14" a="1"/>
  <c r="M68" i="14" s="1"/>
  <c r="M85" i="14" a="1"/>
  <c r="M85" i="14" s="1"/>
  <c r="M30" i="14" a="1"/>
  <c r="M30" i="14" s="1"/>
  <c r="L25" i="14" a="1"/>
  <c r="L25" i="14" s="1"/>
  <c r="K32" i="14" a="1"/>
  <c r="K32" i="14" s="1"/>
  <c r="M15" i="14" a="1"/>
  <c r="M15" i="14" s="1"/>
  <c r="K49" i="14" a="1"/>
  <c r="K49" i="14" s="1"/>
  <c r="L80" i="14" a="1"/>
  <c r="L80" i="14" s="1"/>
  <c r="K5" i="14" a="1"/>
  <c r="K5" i="14" s="1"/>
  <c r="L57" i="14" a="1"/>
  <c r="L57" i="14" s="1"/>
  <c r="K60" i="14" a="1"/>
  <c r="K60" i="14" s="1"/>
  <c r="M71" i="14" a="1"/>
  <c r="M71" i="14" s="1"/>
  <c r="L74" i="14" a="1"/>
  <c r="L74" i="14" s="1"/>
  <c r="K77" i="14" a="1"/>
  <c r="K77" i="14" s="1"/>
  <c r="M88" i="14" a="1"/>
  <c r="M88" i="14" s="1"/>
  <c r="L91" i="14" a="1"/>
  <c r="L91" i="14" s="1"/>
  <c r="L94" i="14" a="1"/>
  <c r="L94" i="14" s="1"/>
  <c r="K97" i="14" a="1"/>
  <c r="K97" i="14" s="1"/>
  <c r="M57" i="14" a="1"/>
  <c r="M57" i="14" s="1"/>
  <c r="L60" i="14" a="1"/>
  <c r="L60" i="14" s="1"/>
  <c r="K63" i="14" a="1"/>
  <c r="K63" i="14" s="1"/>
  <c r="M74" i="14" a="1"/>
  <c r="M74" i="14" s="1"/>
  <c r="L77" i="14" a="1"/>
  <c r="L77" i="14" s="1"/>
  <c r="K80" i="14" a="1"/>
  <c r="K80" i="14" s="1"/>
  <c r="K83" i="14" a="1"/>
  <c r="K83" i="14" s="1"/>
  <c r="M91" i="14" a="1"/>
  <c r="M91" i="14" s="1"/>
  <c r="L97" i="14" a="1"/>
  <c r="L97" i="14" s="1"/>
  <c r="K100" i="14" a="1"/>
  <c r="K100" i="14" s="1"/>
  <c r="M16" i="14" a="1"/>
  <c r="M16" i="14" s="1"/>
  <c r="M32" i="14" a="1"/>
  <c r="M32" i="14" s="1"/>
  <c r="M48" i="14" a="1"/>
  <c r="M48" i="14" s="1"/>
  <c r="L27" i="14" a="1"/>
  <c r="L27" i="14" s="1"/>
  <c r="L42" i="14" a="1"/>
  <c r="L42" i="14" s="1"/>
  <c r="K4" i="14" a="1"/>
  <c r="K4" i="14" s="1"/>
  <c r="K34" i="14" a="1"/>
  <c r="K34" i="14" s="1"/>
  <c r="K50" i="14" a="1"/>
  <c r="K50" i="14" s="1"/>
  <c r="M94" i="14" a="1"/>
  <c r="M94" i="14" s="1"/>
  <c r="M97" i="14" a="1"/>
  <c r="M97" i="14" s="1"/>
  <c r="L100" i="14" a="1"/>
  <c r="L100" i="14" s="1"/>
  <c r="L28" i="14" a="1"/>
  <c r="L28" i="14" s="1"/>
  <c r="K20" i="14" a="1"/>
  <c r="K20" i="14" s="1"/>
  <c r="K18" i="28"/>
  <c r="L7" i="28"/>
  <c r="H6" i="28"/>
  <c r="K6" i="28" s="1"/>
  <c r="G5" i="28"/>
  <c r="K66" i="28"/>
  <c r="L55" i="28"/>
  <c r="K42" i="28"/>
  <c r="K30" i="28"/>
  <c r="L18" i="28"/>
  <c r="K54" i="28"/>
  <c r="L54" i="28" s="1"/>
  <c r="L42" i="28"/>
  <c r="L31" i="28"/>
  <c r="K89" i="28"/>
  <c r="L18" i="29"/>
  <c r="L20" i="29"/>
  <c r="L19" i="29"/>
  <c r="K21" i="26"/>
  <c r="L17" i="26"/>
  <c r="L22" i="26"/>
  <c r="K26" i="26"/>
  <c r="L18" i="26"/>
  <c r="K25" i="26"/>
  <c r="L21" i="26"/>
  <c r="L22" i="27"/>
  <c r="K26" i="27"/>
  <c r="L24" i="27"/>
  <c r="K28" i="27"/>
  <c r="L23" i="27"/>
  <c r="K27" i="27"/>
  <c r="K21" i="24"/>
  <c r="L17" i="24"/>
  <c r="L22" i="24"/>
  <c r="K26" i="24"/>
  <c r="L18" i="24"/>
  <c r="L21" i="24"/>
  <c r="K25" i="24"/>
  <c r="L88" i="32"/>
  <c r="K100" i="32"/>
  <c r="K98" i="32"/>
  <c r="L79" i="32"/>
  <c r="K91" i="32"/>
  <c r="L78" i="32"/>
  <c r="K90" i="32"/>
  <c r="K86" i="32"/>
  <c r="L86" i="32" s="1"/>
  <c r="L74" i="32"/>
  <c r="L95" i="32"/>
  <c r="L87" i="32"/>
  <c r="K99" i="32"/>
  <c r="L98" i="32" s="1"/>
  <c r="K94" i="32"/>
  <c r="L93" i="32" s="1"/>
  <c r="L82" i="32"/>
  <c r="K93" i="32"/>
  <c r="L81" i="32"/>
  <c r="L80" i="32"/>
  <c r="K92" i="32"/>
  <c r="H6" i="32"/>
  <c r="G6" i="32"/>
  <c r="F5" i="32"/>
  <c r="K86" i="31"/>
  <c r="L86" i="31" s="1"/>
  <c r="L74" i="31"/>
  <c r="L79" i="31"/>
  <c r="K91" i="31"/>
  <c r="L78" i="31"/>
  <c r="K90" i="31"/>
  <c r="L88" i="31"/>
  <c r="K100" i="31"/>
  <c r="L99" i="31" s="1"/>
  <c r="K94" i="31"/>
  <c r="L82" i="31"/>
  <c r="L94" i="31"/>
  <c r="L75" i="31"/>
  <c r="K85" i="31"/>
  <c r="L73" i="31"/>
  <c r="K93" i="31"/>
  <c r="L81" i="31"/>
  <c r="K82" i="14" s="1" a="1"/>
  <c r="K82" i="14" s="1"/>
  <c r="L87" i="31"/>
  <c r="K99" i="31"/>
  <c r="K98" i="31"/>
  <c r="L80" i="31"/>
  <c r="K81" i="14" s="1" a="1"/>
  <c r="K81" i="14" s="1"/>
  <c r="K92" i="31"/>
  <c r="H6" i="31"/>
  <c r="G6" i="31"/>
  <c r="F5" i="31"/>
  <c r="F4" i="31" s="1"/>
  <c r="F3" i="31" s="1"/>
  <c r="F2" i="31" s="1"/>
  <c r="D34" i="1"/>
  <c r="G34" i="30" l="1"/>
  <c r="H34" i="30"/>
  <c r="F33" i="30"/>
  <c r="K24" i="30"/>
  <c r="K25" i="30"/>
  <c r="L13" i="30"/>
  <c r="J14" i="14" s="1" a="1"/>
  <c r="J14" i="14" s="1"/>
  <c r="L2" i="30"/>
  <c r="S3" i="14" s="1"/>
  <c r="R4" i="3" s="1"/>
  <c r="K38" i="30"/>
  <c r="K41" i="28"/>
  <c r="H5" i="28"/>
  <c r="K5" i="28" s="1"/>
  <c r="L5" i="28" s="1"/>
  <c r="G4" i="28"/>
  <c r="K17" i="28"/>
  <c r="L30" i="28"/>
  <c r="K65" i="28"/>
  <c r="K53" i="28"/>
  <c r="L53" i="28" s="1"/>
  <c r="L41" i="28"/>
  <c r="K77" i="28"/>
  <c r="L65" i="28"/>
  <c r="L66" i="28"/>
  <c r="K29" i="28"/>
  <c r="L17" i="28"/>
  <c r="K100" i="28"/>
  <c r="L6" i="28"/>
  <c r="L21" i="29"/>
  <c r="L25" i="29"/>
  <c r="L23" i="29"/>
  <c r="L22" i="29"/>
  <c r="K29" i="26"/>
  <c r="L25" i="26"/>
  <c r="K28" i="26"/>
  <c r="K24" i="26"/>
  <c r="L20" i="26"/>
  <c r="K31" i="27"/>
  <c r="L27" i="27"/>
  <c r="K30" i="27"/>
  <c r="L26" i="27"/>
  <c r="K29" i="27"/>
  <c r="L25" i="27"/>
  <c r="K28" i="24"/>
  <c r="K29" i="24"/>
  <c r="L25" i="24"/>
  <c r="K24" i="24"/>
  <c r="L20" i="24"/>
  <c r="K101" i="32"/>
  <c r="L100" i="32" s="1"/>
  <c r="L89" i="32"/>
  <c r="K103" i="32"/>
  <c r="L91" i="32"/>
  <c r="L85" i="32"/>
  <c r="K97" i="32"/>
  <c r="L96" i="32" s="1"/>
  <c r="L99" i="32"/>
  <c r="K102" i="32"/>
  <c r="L101" i="32" s="1"/>
  <c r="L90" i="32"/>
  <c r="K104" i="32"/>
  <c r="L92" i="32"/>
  <c r="L94" i="32"/>
  <c r="H5" i="32"/>
  <c r="G5" i="32"/>
  <c r="F4" i="32"/>
  <c r="K96" i="31"/>
  <c r="L95" i="31" s="1"/>
  <c r="L84" i="31"/>
  <c r="L93" i="31"/>
  <c r="K101" i="31"/>
  <c r="L100" i="31" s="1"/>
  <c r="L89" i="31"/>
  <c r="K102" i="31"/>
  <c r="L101" i="31" s="1"/>
  <c r="L90" i="31"/>
  <c r="K103" i="31"/>
  <c r="L102" i="31" s="1"/>
  <c r="K103" i="14" s="1" a="1"/>
  <c r="K103" i="14" s="1"/>
  <c r="L91" i="31"/>
  <c r="K92" i="14" s="1" a="1"/>
  <c r="K92" i="14" s="1"/>
  <c r="K104" i="31"/>
  <c r="L92" i="31"/>
  <c r="K93" i="14" s="1" a="1"/>
  <c r="K93" i="14" s="1"/>
  <c r="L98" i="31"/>
  <c r="K97" i="31"/>
  <c r="L96" i="31" s="1"/>
  <c r="L85" i="31"/>
  <c r="H5" i="31"/>
  <c r="G5" i="31"/>
  <c r="G33" i="30" l="1"/>
  <c r="F32" i="30"/>
  <c r="H33" i="30"/>
  <c r="K49" i="30"/>
  <c r="K36" i="30"/>
  <c r="L24" i="30"/>
  <c r="J25" i="14" s="1" a="1"/>
  <c r="J25" i="14" s="1"/>
  <c r="K35" i="30"/>
  <c r="F4" i="3"/>
  <c r="G4" i="3" s="1"/>
  <c r="H4" i="3" s="1"/>
  <c r="K76" i="28"/>
  <c r="K28" i="28"/>
  <c r="H4" i="28"/>
  <c r="K4" i="28" s="1"/>
  <c r="G3" i="28"/>
  <c r="K16" i="28"/>
  <c r="L4" i="28"/>
  <c r="K52" i="28"/>
  <c r="K40" i="28"/>
  <c r="L28" i="28"/>
  <c r="K88" i="28"/>
  <c r="L76" i="28"/>
  <c r="L77" i="28"/>
  <c r="K64" i="28"/>
  <c r="L29" i="28"/>
  <c r="L26" i="29"/>
  <c r="L24" i="29"/>
  <c r="L23" i="26"/>
  <c r="K27" i="26"/>
  <c r="K31" i="26"/>
  <c r="L27" i="26"/>
  <c r="L24" i="26"/>
  <c r="K32" i="26"/>
  <c r="L28" i="26"/>
  <c r="L29" i="27"/>
  <c r="K33" i="27"/>
  <c r="K32" i="27"/>
  <c r="L28" i="27"/>
  <c r="L30" i="27"/>
  <c r="K34" i="27"/>
  <c r="K32" i="24"/>
  <c r="L28" i="24"/>
  <c r="K31" i="24"/>
  <c r="L23" i="24"/>
  <c r="K27" i="24"/>
  <c r="L24" i="24"/>
  <c r="L102" i="32"/>
  <c r="L97" i="32"/>
  <c r="L104" i="32"/>
  <c r="L103" i="32"/>
  <c r="H4" i="32"/>
  <c r="G4" i="32"/>
  <c r="F3" i="32"/>
  <c r="L97" i="31"/>
  <c r="L104" i="31"/>
  <c r="L103" i="31"/>
  <c r="K104" i="14" s="1" a="1"/>
  <c r="K104" i="14" s="1"/>
  <c r="G4" i="31"/>
  <c r="K4" i="3" l="1"/>
  <c r="P4" i="3"/>
  <c r="L4" i="3" s="1"/>
  <c r="G32" i="30"/>
  <c r="H32" i="30"/>
  <c r="F31" i="30"/>
  <c r="K46" i="30"/>
  <c r="K47" i="30"/>
  <c r="L35" i="30"/>
  <c r="J36" i="14" s="1" a="1"/>
  <c r="J36" i="14" s="1"/>
  <c r="K60" i="30"/>
  <c r="K27" i="28"/>
  <c r="G2" i="28"/>
  <c r="H2" i="28" s="1"/>
  <c r="K2" i="28" s="1"/>
  <c r="K13" i="28" s="1"/>
  <c r="H3" i="28"/>
  <c r="K3" i="28" s="1"/>
  <c r="K15" i="28"/>
  <c r="L87" i="28"/>
  <c r="K99" i="28"/>
  <c r="L88" i="28"/>
  <c r="K39" i="28"/>
  <c r="L27" i="28"/>
  <c r="K63" i="28"/>
  <c r="L63" i="28" s="1"/>
  <c r="L16" i="28"/>
  <c r="L39" i="28"/>
  <c r="K51" i="28"/>
  <c r="L40" i="28"/>
  <c r="L52" i="28"/>
  <c r="K87" i="28"/>
  <c r="K75" i="28"/>
  <c r="L64" i="28"/>
  <c r="L27" i="29"/>
  <c r="L29" i="29"/>
  <c r="L28" i="29"/>
  <c r="L31" i="29"/>
  <c r="K34" i="26"/>
  <c r="L31" i="26"/>
  <c r="K35" i="26"/>
  <c r="K30" i="26"/>
  <c r="L26" i="26"/>
  <c r="K37" i="27"/>
  <c r="L33" i="27"/>
  <c r="L32" i="27"/>
  <c r="K36" i="27"/>
  <c r="L31" i="27"/>
  <c r="K35" i="27"/>
  <c r="K30" i="24"/>
  <c r="L26" i="24"/>
  <c r="L27" i="24"/>
  <c r="L30" i="24"/>
  <c r="K34" i="24"/>
  <c r="L31" i="24"/>
  <c r="K35" i="24"/>
  <c r="F2" i="32"/>
  <c r="H3" i="32"/>
  <c r="G3" i="32"/>
  <c r="H3" i="31"/>
  <c r="G3" i="31"/>
  <c r="H31" i="30" l="1"/>
  <c r="F30" i="30"/>
  <c r="G31" i="30"/>
  <c r="K71" i="30"/>
  <c r="K58" i="30"/>
  <c r="L46" i="30"/>
  <c r="J47" i="14" s="1" a="1"/>
  <c r="J47" i="14" s="1"/>
  <c r="K57" i="30"/>
  <c r="L99" i="28"/>
  <c r="K86" i="28"/>
  <c r="L38" i="28"/>
  <c r="K50" i="28"/>
  <c r="L2" i="28"/>
  <c r="K14" i="28"/>
  <c r="K24" i="28"/>
  <c r="L12" i="28"/>
  <c r="K62" i="28"/>
  <c r="L50" i="28"/>
  <c r="L62" i="28"/>
  <c r="K74" i="28"/>
  <c r="L14" i="28"/>
  <c r="K26" i="28"/>
  <c r="K38" i="28"/>
  <c r="L51" i="28"/>
  <c r="L3" i="28"/>
  <c r="L75" i="28"/>
  <c r="L86" i="28"/>
  <c r="K98" i="28"/>
  <c r="L15" i="28"/>
  <c r="L32" i="29"/>
  <c r="L30" i="29"/>
  <c r="K33" i="26"/>
  <c r="L29" i="26"/>
  <c r="K38" i="26"/>
  <c r="L34" i="26"/>
  <c r="K37" i="26"/>
  <c r="L33" i="26"/>
  <c r="L30" i="26"/>
  <c r="L34" i="27"/>
  <c r="K38" i="27"/>
  <c r="K39" i="27"/>
  <c r="L35" i="27"/>
  <c r="K40" i="27"/>
  <c r="L36" i="27"/>
  <c r="K38" i="24"/>
  <c r="L34" i="24"/>
  <c r="K37" i="24"/>
  <c r="L29" i="24"/>
  <c r="K33" i="24"/>
  <c r="H2" i="32"/>
  <c r="G2" i="32"/>
  <c r="G2" i="31"/>
  <c r="H2" i="31"/>
  <c r="F29" i="30" l="1"/>
  <c r="H30" i="30"/>
  <c r="G30" i="30"/>
  <c r="K68" i="30"/>
  <c r="K69" i="30"/>
  <c r="L57" i="30"/>
  <c r="J58" i="14" s="1" a="1"/>
  <c r="J58" i="14" s="1"/>
  <c r="K82" i="30"/>
  <c r="K73" i="28"/>
  <c r="K85" i="28"/>
  <c r="L73" i="28"/>
  <c r="K61" i="28"/>
  <c r="L49" i="28"/>
  <c r="L23" i="28"/>
  <c r="K35" i="28"/>
  <c r="L85" i="28"/>
  <c r="K97" i="28"/>
  <c r="L97" i="28" s="1"/>
  <c r="K37" i="28"/>
  <c r="L37" i="28" s="1"/>
  <c r="L25" i="28"/>
  <c r="L74" i="28"/>
  <c r="L26" i="28"/>
  <c r="L13" i="28"/>
  <c r="K25" i="28"/>
  <c r="K49" i="28"/>
  <c r="L98" i="28"/>
  <c r="L33" i="29"/>
  <c r="L35" i="29"/>
  <c r="L34" i="29"/>
  <c r="L37" i="29"/>
  <c r="K40" i="26"/>
  <c r="L37" i="26"/>
  <c r="K41" i="26"/>
  <c r="L32" i="26"/>
  <c r="K36" i="26"/>
  <c r="L39" i="27"/>
  <c r="K43" i="27"/>
  <c r="L38" i="27"/>
  <c r="K42" i="27"/>
  <c r="L37" i="27"/>
  <c r="K41" i="27"/>
  <c r="L32" i="24"/>
  <c r="K36" i="24"/>
  <c r="L33" i="24"/>
  <c r="K40" i="24"/>
  <c r="L36" i="24"/>
  <c r="K41" i="24"/>
  <c r="L37" i="24"/>
  <c r="G29" i="30" l="1"/>
  <c r="F28" i="30"/>
  <c r="H29" i="30"/>
  <c r="K93" i="30"/>
  <c r="K80" i="30"/>
  <c r="L68" i="30"/>
  <c r="J69" i="14" s="1" a="1"/>
  <c r="J69" i="14" s="1"/>
  <c r="K79" i="30"/>
  <c r="K72" i="28"/>
  <c r="K60" i="28"/>
  <c r="K96" i="28"/>
  <c r="L96" i="28"/>
  <c r="L72" i="28"/>
  <c r="K84" i="28"/>
  <c r="K48" i="28"/>
  <c r="K46" i="28"/>
  <c r="L34" i="28"/>
  <c r="L24" i="28"/>
  <c r="K36" i="28"/>
  <c r="L61" i="28"/>
  <c r="L36" i="29"/>
  <c r="L40" i="29"/>
  <c r="L38" i="29"/>
  <c r="K39" i="26"/>
  <c r="L35" i="26"/>
  <c r="L40" i="26"/>
  <c r="K44" i="26"/>
  <c r="L36" i="26"/>
  <c r="L39" i="26"/>
  <c r="K43" i="26"/>
  <c r="L40" i="27"/>
  <c r="K44" i="27"/>
  <c r="K45" i="27"/>
  <c r="L41" i="27"/>
  <c r="L42" i="27"/>
  <c r="K46" i="27"/>
  <c r="L40" i="24"/>
  <c r="K44" i="24"/>
  <c r="K39" i="24"/>
  <c r="L35" i="24"/>
  <c r="L39" i="24"/>
  <c r="K43" i="24"/>
  <c r="F27" i="30" l="1"/>
  <c r="K90" i="30"/>
  <c r="K91" i="30"/>
  <c r="L79" i="30"/>
  <c r="J80" i="14" s="1" a="1"/>
  <c r="J80" i="14" s="1"/>
  <c r="K104" i="30"/>
  <c r="K47" i="28"/>
  <c r="L35" i="28"/>
  <c r="L36" i="28"/>
  <c r="K95" i="28"/>
  <c r="L83" i="28"/>
  <c r="L45" i="28"/>
  <c r="K57" i="28"/>
  <c r="L47" i="28"/>
  <c r="K59" i="28"/>
  <c r="L84" i="28"/>
  <c r="L48" i="28"/>
  <c r="L95" i="28"/>
  <c r="K71" i="28"/>
  <c r="L59" i="28"/>
  <c r="L60" i="28"/>
  <c r="L71" i="28"/>
  <c r="K83" i="28"/>
  <c r="L41" i="29"/>
  <c r="L39" i="29"/>
  <c r="L43" i="29"/>
  <c r="K46" i="26"/>
  <c r="K47" i="26"/>
  <c r="L43" i="26"/>
  <c r="L38" i="26"/>
  <c r="K42" i="26"/>
  <c r="L45" i="27"/>
  <c r="K49" i="27"/>
  <c r="K48" i="27"/>
  <c r="L44" i="27"/>
  <c r="K47" i="27"/>
  <c r="L43" i="27"/>
  <c r="K46" i="24"/>
  <c r="K47" i="24"/>
  <c r="L43" i="24"/>
  <c r="L38" i="24"/>
  <c r="K42" i="24"/>
  <c r="S14" i="14"/>
  <c r="R15" i="3" s="1"/>
  <c r="F26" i="30" l="1"/>
  <c r="L104" i="30"/>
  <c r="K102" i="30"/>
  <c r="L90" i="30"/>
  <c r="J91" i="14" s="1" a="1"/>
  <c r="J91" i="14" s="1"/>
  <c r="K101" i="30"/>
  <c r="F15" i="3"/>
  <c r="K82" i="28"/>
  <c r="K70" i="28"/>
  <c r="L56" i="28"/>
  <c r="K68" i="28"/>
  <c r="K94" i="28"/>
  <c r="L94" i="28" s="1"/>
  <c r="L82" i="28"/>
  <c r="L46" i="28"/>
  <c r="K58" i="28"/>
  <c r="L42" i="29"/>
  <c r="L46" i="29"/>
  <c r="L44" i="29"/>
  <c r="K45" i="26"/>
  <c r="L41" i="26"/>
  <c r="L46" i="26"/>
  <c r="K50" i="26"/>
  <c r="L42" i="26"/>
  <c r="L45" i="26"/>
  <c r="K49" i="26"/>
  <c r="L47" i="27"/>
  <c r="K51" i="27"/>
  <c r="L46" i="27"/>
  <c r="K50" i="27"/>
  <c r="K52" i="27"/>
  <c r="L48" i="27"/>
  <c r="K45" i="24"/>
  <c r="L41" i="24"/>
  <c r="L42" i="24"/>
  <c r="L46" i="24"/>
  <c r="K50" i="24"/>
  <c r="L45" i="24"/>
  <c r="K49" i="24"/>
  <c r="F25" i="30" l="1"/>
  <c r="L101" i="30"/>
  <c r="J102" i="14" s="1" a="1"/>
  <c r="J102" i="14" s="1"/>
  <c r="K69" i="28"/>
  <c r="L57" i="28"/>
  <c r="L69" i="28"/>
  <c r="K81" i="28"/>
  <c r="L58" i="28"/>
  <c r="K79" i="28"/>
  <c r="L67" i="28"/>
  <c r="K93" i="28"/>
  <c r="L93" i="28" s="1"/>
  <c r="L81" i="28"/>
  <c r="L70" i="28"/>
  <c r="L47" i="29"/>
  <c r="L45" i="29"/>
  <c r="K53" i="26"/>
  <c r="L49" i="26"/>
  <c r="K52" i="26"/>
  <c r="K48" i="26"/>
  <c r="L44" i="26"/>
  <c r="K55" i="27"/>
  <c r="L51" i="27"/>
  <c r="K53" i="27"/>
  <c r="L49" i="27"/>
  <c r="K54" i="27"/>
  <c r="L50" i="27"/>
  <c r="K52" i="24"/>
  <c r="K53" i="24"/>
  <c r="L49" i="24"/>
  <c r="K48" i="24"/>
  <c r="L44" i="24"/>
  <c r="F24" i="30" l="1"/>
  <c r="K92" i="28"/>
  <c r="L78" i="28"/>
  <c r="K90" i="28"/>
  <c r="K104" i="28"/>
  <c r="L92" i="28"/>
  <c r="K80" i="28"/>
  <c r="L68" i="28"/>
  <c r="L50" i="29"/>
  <c r="L48" i="29"/>
  <c r="L49" i="29"/>
  <c r="L52" i="29"/>
  <c r="K55" i="26"/>
  <c r="L47" i="26"/>
  <c r="K51" i="26"/>
  <c r="L48" i="26"/>
  <c r="K56" i="26"/>
  <c r="L52" i="26"/>
  <c r="K56" i="27"/>
  <c r="L52" i="27"/>
  <c r="L53" i="27"/>
  <c r="K57" i="27"/>
  <c r="L54" i="27"/>
  <c r="K58" i="27"/>
  <c r="L47" i="24"/>
  <c r="K51" i="24"/>
  <c r="K55" i="24"/>
  <c r="L51" i="24"/>
  <c r="K56" i="24"/>
  <c r="L52" i="24"/>
  <c r="L48" i="24"/>
  <c r="F23" i="30" l="1"/>
  <c r="L79" i="28"/>
  <c r="K91" i="28"/>
  <c r="L104" i="28"/>
  <c r="K103" i="28"/>
  <c r="L91" i="28"/>
  <c r="K101" i="28"/>
  <c r="L100" i="28" s="1"/>
  <c r="L89" i="28"/>
  <c r="L80" i="28"/>
  <c r="L51" i="29"/>
  <c r="L55" i="29"/>
  <c r="L53" i="29"/>
  <c r="K54" i="26"/>
  <c r="L50" i="26"/>
  <c r="L55" i="26"/>
  <c r="K59" i="26"/>
  <c r="L51" i="26"/>
  <c r="L54" i="26"/>
  <c r="K58" i="26"/>
  <c r="K61" i="27"/>
  <c r="L57" i="27"/>
  <c r="K60" i="27"/>
  <c r="L56" i="27"/>
  <c r="L55" i="27"/>
  <c r="K59" i="27"/>
  <c r="K54" i="24"/>
  <c r="L50" i="24"/>
  <c r="L55" i="24"/>
  <c r="K59" i="24"/>
  <c r="L54" i="24"/>
  <c r="K58" i="24"/>
  <c r="F22" i="30" l="1"/>
  <c r="L90" i="28"/>
  <c r="K102" i="28"/>
  <c r="L101" i="28" s="1"/>
  <c r="L102" i="28"/>
  <c r="L103" i="28"/>
  <c r="L56" i="29"/>
  <c r="L54" i="29"/>
  <c r="K61" i="26"/>
  <c r="K62" i="26"/>
  <c r="L58" i="26"/>
  <c r="L53" i="26"/>
  <c r="K57" i="26"/>
  <c r="K62" i="27"/>
  <c r="L58" i="27"/>
  <c r="K63" i="27"/>
  <c r="L59" i="27"/>
  <c r="K64" i="27"/>
  <c r="L60" i="27"/>
  <c r="K61" i="24"/>
  <c r="K62" i="24"/>
  <c r="L58" i="24"/>
  <c r="L53" i="24"/>
  <c r="K57" i="24"/>
  <c r="F21" i="30" l="1"/>
  <c r="L59" i="29"/>
  <c r="L57" i="29"/>
  <c r="L58" i="29"/>
  <c r="L56" i="26"/>
  <c r="K60" i="26"/>
  <c r="L61" i="26"/>
  <c r="K65" i="26"/>
  <c r="L57" i="26"/>
  <c r="K64" i="26"/>
  <c r="L60" i="26"/>
  <c r="L63" i="27"/>
  <c r="K67" i="27"/>
  <c r="L62" i="27"/>
  <c r="K66" i="27"/>
  <c r="L61" i="27"/>
  <c r="K65" i="27"/>
  <c r="L56" i="24"/>
  <c r="K60" i="24"/>
  <c r="L57" i="24"/>
  <c r="L61" i="24"/>
  <c r="K65" i="24"/>
  <c r="K64" i="24"/>
  <c r="L60" i="24"/>
  <c r="L62" i="29" l="1"/>
  <c r="L64" i="29"/>
  <c r="L60" i="29"/>
  <c r="L61" i="29"/>
  <c r="K67" i="26"/>
  <c r="L64" i="26"/>
  <c r="K68" i="26"/>
  <c r="K63" i="26"/>
  <c r="L59" i="26"/>
  <c r="L64" i="27"/>
  <c r="K68" i="27"/>
  <c r="K69" i="27"/>
  <c r="L65" i="27"/>
  <c r="K70" i="27"/>
  <c r="L66" i="27"/>
  <c r="L64" i="24"/>
  <c r="K68" i="24"/>
  <c r="K63" i="24"/>
  <c r="L59" i="24"/>
  <c r="L63" i="24"/>
  <c r="K67" i="24"/>
  <c r="L63" i="29" l="1"/>
  <c r="L65" i="29"/>
  <c r="L67" i="29"/>
  <c r="L62" i="26"/>
  <c r="K66" i="26"/>
  <c r="K71" i="26"/>
  <c r="L67" i="26"/>
  <c r="K70" i="26"/>
  <c r="L66" i="26"/>
  <c r="L63" i="26"/>
  <c r="L69" i="27"/>
  <c r="K73" i="27"/>
  <c r="K72" i="27"/>
  <c r="L68" i="27"/>
  <c r="K71" i="27"/>
  <c r="L67" i="27"/>
  <c r="K70" i="24"/>
  <c r="K71" i="24"/>
  <c r="L67" i="24"/>
  <c r="L62" i="24"/>
  <c r="K66" i="24"/>
  <c r="L68" i="29" l="1"/>
  <c r="L70" i="29"/>
  <c r="L66" i="29"/>
  <c r="K73" i="26"/>
  <c r="L70" i="26"/>
  <c r="K74" i="26"/>
  <c r="K69" i="26"/>
  <c r="L65" i="26"/>
  <c r="L70" i="27"/>
  <c r="K74" i="27"/>
  <c r="K76" i="27"/>
  <c r="L72" i="27"/>
  <c r="L71" i="27"/>
  <c r="K75" i="27"/>
  <c r="K69" i="24"/>
  <c r="L65" i="24"/>
  <c r="L70" i="24"/>
  <c r="K74" i="24"/>
  <c r="L66" i="24"/>
  <c r="L69" i="24"/>
  <c r="K73" i="24"/>
  <c r="L69" i="29" l="1"/>
  <c r="L71" i="29"/>
  <c r="K72" i="26"/>
  <c r="L68" i="26"/>
  <c r="K77" i="26"/>
  <c r="L73" i="26"/>
  <c r="L72" i="26"/>
  <c r="K76" i="26"/>
  <c r="L69" i="26"/>
  <c r="K78" i="27"/>
  <c r="L74" i="27"/>
  <c r="K77" i="27"/>
  <c r="L73" i="27"/>
  <c r="K79" i="27"/>
  <c r="L75" i="27"/>
  <c r="K77" i="24"/>
  <c r="L73" i="24"/>
  <c r="K76" i="24"/>
  <c r="K72" i="24"/>
  <c r="L68" i="24"/>
  <c r="S25" i="14"/>
  <c r="R26" i="3" s="1"/>
  <c r="F26" i="3" l="1"/>
  <c r="L72" i="29"/>
  <c r="L73" i="29"/>
  <c r="L74" i="29"/>
  <c r="L76" i="29"/>
  <c r="K79" i="26"/>
  <c r="K80" i="26"/>
  <c r="L76" i="26"/>
  <c r="L71" i="26"/>
  <c r="K75" i="26"/>
  <c r="L78" i="27"/>
  <c r="K82" i="27"/>
  <c r="K80" i="27"/>
  <c r="L76" i="27"/>
  <c r="L77" i="27"/>
  <c r="K81" i="27"/>
  <c r="L71" i="24"/>
  <c r="K75" i="24"/>
  <c r="K79" i="24"/>
  <c r="L75" i="24"/>
  <c r="L72" i="24"/>
  <c r="K80" i="24"/>
  <c r="L76" i="24"/>
  <c r="L77" i="29" l="1"/>
  <c r="L75" i="29"/>
  <c r="K78" i="26"/>
  <c r="L74" i="26"/>
  <c r="L79" i="26"/>
  <c r="K83" i="26"/>
  <c r="L75" i="26"/>
  <c r="L78" i="26"/>
  <c r="K82" i="26"/>
  <c r="K84" i="27"/>
  <c r="L80" i="27"/>
  <c r="K85" i="27"/>
  <c r="L81" i="27"/>
  <c r="L79" i="27"/>
  <c r="K83" i="27"/>
  <c r="L79" i="24"/>
  <c r="K83" i="24"/>
  <c r="K78" i="24"/>
  <c r="L74" i="24"/>
  <c r="L78" i="24"/>
  <c r="K82" i="24"/>
  <c r="L80" i="29" l="1"/>
  <c r="L78" i="29"/>
  <c r="L82" i="29"/>
  <c r="L79" i="29"/>
  <c r="K85" i="26"/>
  <c r="K86" i="26"/>
  <c r="L82" i="26"/>
  <c r="L77" i="26"/>
  <c r="K81" i="26"/>
  <c r="L82" i="27"/>
  <c r="K86" i="27"/>
  <c r="K88" i="27"/>
  <c r="L84" i="27"/>
  <c r="K87" i="27"/>
  <c r="L83" i="27"/>
  <c r="L77" i="24"/>
  <c r="K81" i="24"/>
  <c r="K86" i="24"/>
  <c r="L82" i="24"/>
  <c r="K85" i="24"/>
  <c r="L81" i="24"/>
  <c r="L81" i="29" l="1"/>
  <c r="L83" i="29"/>
  <c r="L85" i="29"/>
  <c r="L80" i="26"/>
  <c r="K84" i="26"/>
  <c r="L85" i="26"/>
  <c r="K89" i="26"/>
  <c r="L81" i="26"/>
  <c r="K88" i="26"/>
  <c r="L84" i="26"/>
  <c r="L86" i="27"/>
  <c r="K90" i="27"/>
  <c r="L85" i="27"/>
  <c r="K89" i="27"/>
  <c r="L87" i="27"/>
  <c r="K91" i="27"/>
  <c r="K88" i="24"/>
  <c r="L85" i="24"/>
  <c r="K89" i="24"/>
  <c r="L80" i="24"/>
  <c r="K84" i="24"/>
  <c r="L84" i="24" s="1"/>
  <c r="L86" i="29" l="1"/>
  <c r="L84" i="29"/>
  <c r="K91" i="26"/>
  <c r="L88" i="26"/>
  <c r="K92" i="26"/>
  <c r="K87" i="26"/>
  <c r="L83" i="26"/>
  <c r="K94" i="27"/>
  <c r="L90" i="27"/>
  <c r="L88" i="27"/>
  <c r="K92" i="27"/>
  <c r="K93" i="27"/>
  <c r="L89" i="27"/>
  <c r="L88" i="24"/>
  <c r="K92" i="24"/>
  <c r="K87" i="24"/>
  <c r="L83" i="24"/>
  <c r="L87" i="24"/>
  <c r="K91" i="24"/>
  <c r="L89" i="29" l="1"/>
  <c r="L87" i="29"/>
  <c r="L91" i="29"/>
  <c r="L88" i="29"/>
  <c r="L86" i="26"/>
  <c r="K90" i="26"/>
  <c r="K95" i="26"/>
  <c r="L91" i="26"/>
  <c r="K94" i="26"/>
  <c r="L90" i="26"/>
  <c r="L87" i="26"/>
  <c r="K95" i="27"/>
  <c r="L91" i="27"/>
  <c r="K96" i="27"/>
  <c r="L92" i="27"/>
  <c r="L93" i="27"/>
  <c r="K97" i="27"/>
  <c r="K94" i="24"/>
  <c r="L86" i="24"/>
  <c r="K90" i="24"/>
  <c r="L90" i="24" s="1"/>
  <c r="K95" i="24"/>
  <c r="L91" i="24"/>
  <c r="L92" i="29" l="1"/>
  <c r="L90" i="29"/>
  <c r="K97" i="26"/>
  <c r="L94" i="26"/>
  <c r="K98" i="26"/>
  <c r="K93" i="26"/>
  <c r="L89" i="26"/>
  <c r="L96" i="27"/>
  <c r="K100" i="27"/>
  <c r="L95" i="27"/>
  <c r="K99" i="27"/>
  <c r="L94" i="27"/>
  <c r="K98" i="27"/>
  <c r="L94" i="24"/>
  <c r="K98" i="24"/>
  <c r="K93" i="24"/>
  <c r="L89" i="24"/>
  <c r="L93" i="24"/>
  <c r="K97" i="24"/>
  <c r="L93" i="29" l="1"/>
  <c r="L97" i="29"/>
  <c r="L95" i="29"/>
  <c r="L94" i="29"/>
  <c r="K96" i="26"/>
  <c r="L92" i="26"/>
  <c r="K101" i="26"/>
  <c r="L97" i="26"/>
  <c r="L96" i="26"/>
  <c r="K100" i="26"/>
  <c r="L93" i="26"/>
  <c r="K102" i="27"/>
  <c r="L98" i="27"/>
  <c r="K101" i="27"/>
  <c r="L97" i="27"/>
  <c r="K103" i="27"/>
  <c r="L102" i="27" s="1"/>
  <c r="L99" i="27"/>
  <c r="K100" i="24"/>
  <c r="K101" i="24"/>
  <c r="L97" i="24"/>
  <c r="K96" i="24"/>
  <c r="L92" i="24"/>
  <c r="L101" i="29" l="1"/>
  <c r="L98" i="29"/>
  <c r="L96" i="29"/>
  <c r="L100" i="29"/>
  <c r="K103" i="26"/>
  <c r="K104" i="26"/>
  <c r="L100" i="26"/>
  <c r="L95" i="26"/>
  <c r="K99" i="26"/>
  <c r="K104" i="27"/>
  <c r="L100" i="27"/>
  <c r="L101" i="27"/>
  <c r="L95" i="24"/>
  <c r="K99" i="24"/>
  <c r="K103" i="24"/>
  <c r="L99" i="24"/>
  <c r="K104" i="24"/>
  <c r="L100" i="24"/>
  <c r="L96" i="24"/>
  <c r="L104" i="29" l="1"/>
  <c r="L102" i="29"/>
  <c r="L99" i="29"/>
  <c r="K102" i="26"/>
  <c r="L101" i="26" s="1"/>
  <c r="L98" i="26"/>
  <c r="L104" i="26"/>
  <c r="L103" i="26"/>
  <c r="L99" i="26"/>
  <c r="L102" i="26"/>
  <c r="L104" i="27"/>
  <c r="L103" i="27"/>
  <c r="K102" i="24"/>
  <c r="L101" i="24" s="1"/>
  <c r="L98" i="24"/>
  <c r="L104" i="24"/>
  <c r="L103" i="24"/>
  <c r="L102" i="24"/>
  <c r="L103" i="29" l="1"/>
  <c r="S36" i="14"/>
  <c r="R37" i="3" s="1"/>
  <c r="F37" i="3" l="1"/>
  <c r="S47" i="14" l="1"/>
  <c r="F48" i="3" l="1"/>
  <c r="S80" i="14" l="1"/>
  <c r="S69" i="14"/>
  <c r="S102" i="14"/>
  <c r="S58" i="14"/>
  <c r="S91" i="14"/>
  <c r="F59" i="3" l="1"/>
  <c r="G4" i="30" l="1"/>
  <c r="H4" i="30"/>
  <c r="K4" i="30" s="1"/>
  <c r="G3" i="30"/>
  <c r="L3" i="30" l="1"/>
  <c r="J4" i="14" s="1" a="1"/>
  <c r="J4" i="14" s="1"/>
  <c r="S4" i="14" s="1"/>
  <c r="K15" i="30"/>
  <c r="L4" i="30"/>
  <c r="J5" i="14" s="1" a="1"/>
  <c r="J5" i="14" s="1"/>
  <c r="S5" i="14" s="1"/>
  <c r="G5" i="30"/>
  <c r="R6" i="3" l="1"/>
  <c r="F6" i="3" s="1"/>
  <c r="R5" i="3"/>
  <c r="F5" i="3" s="1"/>
  <c r="K26" i="30"/>
  <c r="L14" i="30"/>
  <c r="J15" i="14" s="1" a="1"/>
  <c r="J15" i="14" s="1"/>
  <c r="S15" i="14" s="1"/>
  <c r="L15" i="30"/>
  <c r="J16" i="14" s="1" a="1"/>
  <c r="J16" i="14" s="1"/>
  <c r="S16" i="14" s="1"/>
  <c r="H6" i="30"/>
  <c r="K6" i="30" s="1"/>
  <c r="G6" i="30"/>
  <c r="R17" i="3" l="1"/>
  <c r="F17" i="3" s="1"/>
  <c r="R16" i="3"/>
  <c r="F16" i="3" s="1"/>
  <c r="L5" i="30"/>
  <c r="J6" i="14" s="1" a="1"/>
  <c r="J6" i="14" s="1"/>
  <c r="S6" i="14" s="1"/>
  <c r="K17" i="30"/>
  <c r="K37" i="30"/>
  <c r="L25" i="30"/>
  <c r="J26" i="14" s="1" a="1"/>
  <c r="J26" i="14" s="1"/>
  <c r="S26" i="14" s="1"/>
  <c r="L26" i="30"/>
  <c r="J27" i="14" s="1" a="1"/>
  <c r="J27" i="14" s="1"/>
  <c r="S27" i="14" s="1"/>
  <c r="H7" i="30"/>
  <c r="K7" i="30" s="1"/>
  <c r="G7" i="30"/>
  <c r="R28" i="3" l="1"/>
  <c r="F28" i="3" s="1"/>
  <c r="R27" i="3"/>
  <c r="F27" i="3" s="1"/>
  <c r="R7" i="3"/>
  <c r="F7" i="3" s="1"/>
  <c r="L6" i="30"/>
  <c r="J7" i="14" s="1" a="1"/>
  <c r="J7" i="14" s="1"/>
  <c r="S7" i="14" s="1"/>
  <c r="K18" i="30"/>
  <c r="K48" i="30"/>
  <c r="L36" i="30"/>
  <c r="J37" i="14" s="1" a="1"/>
  <c r="J37" i="14" s="1"/>
  <c r="S37" i="14" s="1"/>
  <c r="L37" i="30"/>
  <c r="J38" i="14" s="1" a="1"/>
  <c r="J38" i="14" s="1"/>
  <c r="S38" i="14" s="1"/>
  <c r="K28" i="30"/>
  <c r="L16" i="30"/>
  <c r="J17" i="14" s="1" a="1"/>
  <c r="J17" i="14" s="1"/>
  <c r="S17" i="14" s="1"/>
  <c r="H8" i="30"/>
  <c r="K8" i="30" s="1"/>
  <c r="G8" i="30"/>
  <c r="R18" i="3" l="1"/>
  <c r="F18" i="3" s="1"/>
  <c r="R39" i="3"/>
  <c r="F39" i="3" s="1"/>
  <c r="R38" i="3"/>
  <c r="F38" i="3" s="1"/>
  <c r="R8" i="3"/>
  <c r="F8" i="3" s="1"/>
  <c r="L7" i="30"/>
  <c r="J8" i="14" s="1" a="1"/>
  <c r="J8" i="14" s="1"/>
  <c r="S8" i="14" s="1"/>
  <c r="K19" i="30"/>
  <c r="K39" i="30"/>
  <c r="L27" i="30"/>
  <c r="J28" i="14" s="1" a="1"/>
  <c r="J28" i="14" s="1"/>
  <c r="S28" i="14" s="1"/>
  <c r="K59" i="30"/>
  <c r="L47" i="30"/>
  <c r="J48" i="14" s="1" a="1"/>
  <c r="J48" i="14" s="1"/>
  <c r="S48" i="14" s="1"/>
  <c r="F49" i="3" s="1"/>
  <c r="L48" i="30"/>
  <c r="J49" i="14" s="1" a="1"/>
  <c r="J49" i="14" s="1"/>
  <c r="S49" i="14" s="1"/>
  <c r="F50" i="3" s="1"/>
  <c r="K29" i="30"/>
  <c r="L17" i="30"/>
  <c r="J18" i="14" s="1" a="1"/>
  <c r="J18" i="14" s="1"/>
  <c r="S18" i="14" s="1"/>
  <c r="H9" i="30"/>
  <c r="K9" i="30" s="1"/>
  <c r="G9" i="30"/>
  <c r="R29" i="3" l="1"/>
  <c r="F29" i="3" s="1"/>
  <c r="R9" i="3"/>
  <c r="F9" i="3" s="1"/>
  <c r="R19" i="3"/>
  <c r="F19" i="3" s="1"/>
  <c r="K20" i="30"/>
  <c r="L8" i="30"/>
  <c r="J9" i="14" s="1" a="1"/>
  <c r="J9" i="14" s="1"/>
  <c r="S9" i="14" s="1"/>
  <c r="K40" i="30"/>
  <c r="L28" i="30"/>
  <c r="J29" i="14" s="1" a="1"/>
  <c r="J29" i="14" s="1"/>
  <c r="S29" i="14" s="1"/>
  <c r="K70" i="30"/>
  <c r="L58" i="30"/>
  <c r="J59" i="14" s="1" a="1"/>
  <c r="J59" i="14" s="1"/>
  <c r="S59" i="14" s="1"/>
  <c r="F60" i="3" s="1"/>
  <c r="L59" i="30"/>
  <c r="J60" i="14" s="1" a="1"/>
  <c r="J60" i="14" s="1"/>
  <c r="S60" i="14" s="1"/>
  <c r="F61" i="3" s="1"/>
  <c r="K50" i="30"/>
  <c r="L38" i="30"/>
  <c r="J39" i="14" s="1" a="1"/>
  <c r="J39" i="14" s="1"/>
  <c r="S39" i="14" s="1"/>
  <c r="K30" i="30"/>
  <c r="L18" i="30"/>
  <c r="J19" i="14" s="1" a="1"/>
  <c r="J19" i="14" s="1"/>
  <c r="S19" i="14" s="1"/>
  <c r="G10" i="30"/>
  <c r="H10" i="30"/>
  <c r="K10" i="30" s="1"/>
  <c r="R40" i="3" l="1"/>
  <c r="F40" i="3" s="1"/>
  <c r="R30" i="3"/>
  <c r="F30" i="3" s="1"/>
  <c r="R10" i="3"/>
  <c r="F10" i="3" s="1"/>
  <c r="R20" i="3"/>
  <c r="F20" i="3" s="1"/>
  <c r="K41" i="30"/>
  <c r="L29" i="30"/>
  <c r="J30" i="14" s="1" a="1"/>
  <c r="J30" i="14" s="1"/>
  <c r="S30" i="14" s="1"/>
  <c r="K61" i="30"/>
  <c r="L49" i="30"/>
  <c r="J50" i="14" s="1" a="1"/>
  <c r="J50" i="14" s="1"/>
  <c r="S50" i="14" s="1"/>
  <c r="F51" i="3" s="1"/>
  <c r="K81" i="30"/>
  <c r="L69" i="30"/>
  <c r="J70" i="14" s="1" a="1"/>
  <c r="J70" i="14" s="1"/>
  <c r="S70" i="14" s="1"/>
  <c r="L70" i="30"/>
  <c r="J71" i="14" s="1" a="1"/>
  <c r="J71" i="14" s="1"/>
  <c r="S71" i="14" s="1"/>
  <c r="K51" i="30"/>
  <c r="L39" i="30"/>
  <c r="J40" i="14" s="1" a="1"/>
  <c r="J40" i="14" s="1"/>
  <c r="S40" i="14" s="1"/>
  <c r="K21" i="30"/>
  <c r="L9" i="30"/>
  <c r="J10" i="14" s="1" a="1"/>
  <c r="J10" i="14" s="1"/>
  <c r="S10" i="14" s="1"/>
  <c r="K31" i="30"/>
  <c r="L19" i="30"/>
  <c r="J20" i="14" s="1" a="1"/>
  <c r="J20" i="14" s="1"/>
  <c r="S20" i="14" s="1"/>
  <c r="H11" i="30"/>
  <c r="K11" i="30" s="1"/>
  <c r="R31" i="3" l="1"/>
  <c r="F31" i="3" s="1"/>
  <c r="R21" i="3"/>
  <c r="F21" i="3" s="1"/>
  <c r="R11" i="3"/>
  <c r="F11" i="3" s="1"/>
  <c r="R41" i="3"/>
  <c r="F41" i="3" s="1"/>
  <c r="K42" i="30"/>
  <c r="L30" i="30"/>
  <c r="J31" i="14" s="1" a="1"/>
  <c r="J31" i="14" s="1"/>
  <c r="S31" i="14" s="1"/>
  <c r="K32" i="30"/>
  <c r="L20" i="30"/>
  <c r="J21" i="14" s="1" a="1"/>
  <c r="J21" i="14" s="1"/>
  <c r="S21" i="14" s="1"/>
  <c r="K62" i="30"/>
  <c r="L50" i="30"/>
  <c r="J51" i="14" s="1" a="1"/>
  <c r="J51" i="14" s="1"/>
  <c r="S51" i="14" s="1"/>
  <c r="F52" i="3" s="1"/>
  <c r="K52" i="30"/>
  <c r="L40" i="30"/>
  <c r="J41" i="14" s="1" a="1"/>
  <c r="J41" i="14" s="1"/>
  <c r="S41" i="14" s="1"/>
  <c r="K92" i="30"/>
  <c r="L80" i="30"/>
  <c r="J81" i="14" s="1" a="1"/>
  <c r="J81" i="14" s="1"/>
  <c r="S81" i="14" s="1"/>
  <c r="L81" i="30"/>
  <c r="J82" i="14" s="1" a="1"/>
  <c r="J82" i="14" s="1"/>
  <c r="S82" i="14" s="1"/>
  <c r="K72" i="30"/>
  <c r="L60" i="30"/>
  <c r="J61" i="14" s="1" a="1"/>
  <c r="J61" i="14" s="1"/>
  <c r="S61" i="14" s="1"/>
  <c r="F62" i="3" s="1"/>
  <c r="L10" i="30"/>
  <c r="J11" i="14" s="1" a="1"/>
  <c r="J11" i="14" s="1"/>
  <c r="S11" i="14" s="1"/>
  <c r="K22" i="30"/>
  <c r="H12" i="30"/>
  <c r="K12" i="30" s="1"/>
  <c r="R22" i="3" l="1"/>
  <c r="F22" i="3" s="1"/>
  <c r="R12" i="3"/>
  <c r="F12" i="3" s="1"/>
  <c r="R42" i="3"/>
  <c r="F42" i="3" s="1"/>
  <c r="R32" i="3"/>
  <c r="F32" i="3" s="1"/>
  <c r="K83" i="30"/>
  <c r="L71" i="30"/>
  <c r="J72" i="14" s="1" a="1"/>
  <c r="J72" i="14" s="1"/>
  <c r="S72" i="14" s="1"/>
  <c r="K103" i="30"/>
  <c r="L91" i="30"/>
  <c r="J92" i="14" s="1" a="1"/>
  <c r="J92" i="14" s="1"/>
  <c r="S92" i="14" s="1"/>
  <c r="L92" i="30"/>
  <c r="J93" i="14" s="1" a="1"/>
  <c r="J93" i="14" s="1"/>
  <c r="S93" i="14" s="1"/>
  <c r="K63" i="30"/>
  <c r="L51" i="30"/>
  <c r="J52" i="14" s="1" a="1"/>
  <c r="J52" i="14" s="1"/>
  <c r="S52" i="14" s="1"/>
  <c r="F53" i="3" s="1"/>
  <c r="K53" i="30"/>
  <c r="L41" i="30"/>
  <c r="J42" i="14" s="1" a="1"/>
  <c r="J42" i="14" s="1"/>
  <c r="S42" i="14" s="1"/>
  <c r="K23" i="30"/>
  <c r="L11" i="30"/>
  <c r="J12" i="14" s="1" a="1"/>
  <c r="J12" i="14" s="1"/>
  <c r="S12" i="14" s="1"/>
  <c r="L12" i="30"/>
  <c r="J13" i="14" s="1" a="1"/>
  <c r="J13" i="14" s="1"/>
  <c r="S13" i="14" s="1"/>
  <c r="K73" i="30"/>
  <c r="L61" i="30"/>
  <c r="J62" i="14" s="1" a="1"/>
  <c r="J62" i="14" s="1"/>
  <c r="S62" i="14" s="1"/>
  <c r="F63" i="3" s="1"/>
  <c r="K43" i="30"/>
  <c r="L31" i="30"/>
  <c r="J32" i="14" s="1" a="1"/>
  <c r="J32" i="14" s="1"/>
  <c r="S32" i="14" s="1"/>
  <c r="K33" i="30"/>
  <c r="L21" i="30"/>
  <c r="J22" i="14" s="1" a="1"/>
  <c r="J22" i="14" s="1"/>
  <c r="S22" i="14" s="1"/>
  <c r="R33" i="3" l="1"/>
  <c r="F33" i="3" s="1"/>
  <c r="R23" i="3"/>
  <c r="F23" i="3" s="1"/>
  <c r="R14" i="3"/>
  <c r="F14" i="3" s="1"/>
  <c r="R13" i="3"/>
  <c r="F13" i="3" s="1"/>
  <c r="R43" i="3"/>
  <c r="F43" i="3" s="1"/>
  <c r="K84" i="30"/>
  <c r="L72" i="30"/>
  <c r="J73" i="14" s="1" a="1"/>
  <c r="J73" i="14" s="1"/>
  <c r="S73" i="14" s="1"/>
  <c r="K34" i="30"/>
  <c r="L22" i="30"/>
  <c r="J23" i="14" s="1" a="1"/>
  <c r="J23" i="14" s="1"/>
  <c r="S23" i="14" s="1"/>
  <c r="L23" i="30"/>
  <c r="J24" i="14" s="1" a="1"/>
  <c r="J24" i="14" s="1"/>
  <c r="S24" i="14" s="1"/>
  <c r="K64" i="30"/>
  <c r="L52" i="30"/>
  <c r="J53" i="14" s="1" a="1"/>
  <c r="J53" i="14" s="1"/>
  <c r="S53" i="14" s="1"/>
  <c r="F54" i="3" s="1"/>
  <c r="K74" i="30"/>
  <c r="L62" i="30"/>
  <c r="J63" i="14" s="1" a="1"/>
  <c r="J63" i="14" s="1"/>
  <c r="S63" i="14" s="1"/>
  <c r="F64" i="3" s="1"/>
  <c r="L102" i="30"/>
  <c r="J103" i="14" s="1" a="1"/>
  <c r="J103" i="14" s="1"/>
  <c r="S103" i="14" s="1"/>
  <c r="L103" i="30"/>
  <c r="J104" i="14" s="1" a="1"/>
  <c r="J104" i="14" s="1"/>
  <c r="S104" i="14" s="1"/>
  <c r="K94" i="30"/>
  <c r="L93" i="30" s="1"/>
  <c r="J94" i="14" s="1" a="1"/>
  <c r="J94" i="14" s="1"/>
  <c r="S94" i="14" s="1"/>
  <c r="L82" i="30"/>
  <c r="J83" i="14" s="1" a="1"/>
  <c r="J83" i="14" s="1"/>
  <c r="S83" i="14" s="1"/>
  <c r="K44" i="30"/>
  <c r="L32" i="30"/>
  <c r="J33" i="14" s="1" a="1"/>
  <c r="J33" i="14" s="1"/>
  <c r="S33" i="14" s="1"/>
  <c r="K54" i="30"/>
  <c r="L42" i="30"/>
  <c r="J43" i="14" s="1" a="1"/>
  <c r="J43" i="14" s="1"/>
  <c r="S43" i="14" s="1"/>
  <c r="F44" i="3" s="1"/>
  <c r="R34" i="3" l="1"/>
  <c r="F34" i="3" s="1"/>
  <c r="R25" i="3"/>
  <c r="F25" i="3" s="1"/>
  <c r="R24" i="3"/>
  <c r="F24" i="3" s="1"/>
  <c r="K85" i="30"/>
  <c r="L73" i="30"/>
  <c r="J74" i="14" s="1" a="1"/>
  <c r="J74" i="14" s="1"/>
  <c r="S74" i="14" s="1"/>
  <c r="K75" i="30"/>
  <c r="L63" i="30"/>
  <c r="J64" i="14" s="1" a="1"/>
  <c r="J64" i="14" s="1"/>
  <c r="S64" i="14" s="1"/>
  <c r="F65" i="3" s="1"/>
  <c r="K45" i="30"/>
  <c r="L33" i="30"/>
  <c r="J34" i="14" s="1" a="1"/>
  <c r="J34" i="14" s="1"/>
  <c r="S34" i="14" s="1"/>
  <c r="L34" i="30"/>
  <c r="J35" i="14" s="1" a="1"/>
  <c r="J35" i="14" s="1"/>
  <c r="S35" i="14" s="1"/>
  <c r="K95" i="30"/>
  <c r="L94" i="30" s="1"/>
  <c r="J95" i="14" s="1" a="1"/>
  <c r="J95" i="14" s="1"/>
  <c r="S95" i="14" s="1"/>
  <c r="L83" i="30"/>
  <c r="J84" i="14" s="1" a="1"/>
  <c r="J84" i="14" s="1"/>
  <c r="S84" i="14" s="1"/>
  <c r="K65" i="30"/>
  <c r="L53" i="30"/>
  <c r="J54" i="14" s="1" a="1"/>
  <c r="J54" i="14" s="1"/>
  <c r="S54" i="14" s="1"/>
  <c r="F55" i="3" s="1"/>
  <c r="K55" i="30"/>
  <c r="L43" i="30"/>
  <c r="J44" i="14" s="1" a="1"/>
  <c r="J44" i="14" s="1"/>
  <c r="S44" i="14" s="1"/>
  <c r="F45" i="3" s="1"/>
  <c r="R35" i="3" l="1"/>
  <c r="F35" i="3" s="1"/>
  <c r="R36" i="3"/>
  <c r="F36" i="3" s="1"/>
  <c r="K66" i="30"/>
  <c r="L54" i="30"/>
  <c r="J55" i="14" s="1" a="1"/>
  <c r="J55" i="14" s="1"/>
  <c r="S55" i="14" s="1"/>
  <c r="F56" i="3" s="1"/>
  <c r="K76" i="30"/>
  <c r="L64" i="30"/>
  <c r="J65" i="14" s="1" a="1"/>
  <c r="J65" i="14" s="1"/>
  <c r="S65" i="14" s="1"/>
  <c r="F66" i="3" s="1"/>
  <c r="K56" i="30"/>
  <c r="L44" i="30"/>
  <c r="J45" i="14" s="1" a="1"/>
  <c r="J45" i="14" s="1"/>
  <c r="S45" i="14" s="1"/>
  <c r="F46" i="3" s="1"/>
  <c r="L45" i="30"/>
  <c r="J46" i="14" s="1" a="1"/>
  <c r="J46" i="14" s="1"/>
  <c r="S46" i="14" s="1"/>
  <c r="F47" i="3" s="1"/>
  <c r="K86" i="30"/>
  <c r="L74" i="30"/>
  <c r="J75" i="14" s="1" a="1"/>
  <c r="J75" i="14" s="1"/>
  <c r="S75" i="14" s="1"/>
  <c r="K96" i="30"/>
  <c r="L95" i="30" s="1"/>
  <c r="J96" i="14" s="1" a="1"/>
  <c r="J96" i="14" s="1"/>
  <c r="S96" i="14" s="1"/>
  <c r="L84" i="30"/>
  <c r="J85" i="14" s="1" a="1"/>
  <c r="J85" i="14" s="1"/>
  <c r="S85" i="14" s="1"/>
  <c r="K97" i="30" l="1"/>
  <c r="L96" i="30" s="1"/>
  <c r="J97" i="14" s="1" a="1"/>
  <c r="J97" i="14" s="1"/>
  <c r="S97" i="14" s="1"/>
  <c r="L85" i="30"/>
  <c r="J86" i="14" s="1" a="1"/>
  <c r="J86" i="14" s="1"/>
  <c r="S86" i="14" s="1"/>
  <c r="K67" i="30"/>
  <c r="L55" i="30"/>
  <c r="J56" i="14" s="1" a="1"/>
  <c r="J56" i="14" s="1"/>
  <c r="S56" i="14" s="1"/>
  <c r="F57" i="3" s="1"/>
  <c r="L56" i="30"/>
  <c r="J57" i="14" s="1" a="1"/>
  <c r="J57" i="14" s="1"/>
  <c r="S57" i="14" s="1"/>
  <c r="F58" i="3" s="1"/>
  <c r="K77" i="30"/>
  <c r="L65" i="30"/>
  <c r="J66" i="14" s="1" a="1"/>
  <c r="J66" i="14" s="1"/>
  <c r="S66" i="14" s="1"/>
  <c r="F67" i="3" s="1"/>
  <c r="K87" i="30"/>
  <c r="L75" i="30"/>
  <c r="J76" i="14" s="1" a="1"/>
  <c r="J76" i="14" s="1"/>
  <c r="S76" i="14" s="1"/>
  <c r="K98" i="30" l="1"/>
  <c r="L97" i="30" s="1"/>
  <c r="J98" i="14" s="1" a="1"/>
  <c r="J98" i="14" s="1"/>
  <c r="S98" i="14" s="1"/>
  <c r="L86" i="30"/>
  <c r="J87" i="14" s="1" a="1"/>
  <c r="J87" i="14" s="1"/>
  <c r="S87" i="14" s="1"/>
  <c r="K88" i="30"/>
  <c r="L76" i="30"/>
  <c r="J77" i="14" s="1" a="1"/>
  <c r="J77" i="14" s="1"/>
  <c r="S77" i="14" s="1"/>
  <c r="K78" i="30"/>
  <c r="L66" i="30"/>
  <c r="J67" i="14" s="1" a="1"/>
  <c r="J67" i="14" s="1"/>
  <c r="S67" i="14" s="1"/>
  <c r="F68" i="3" s="1"/>
  <c r="L67" i="30"/>
  <c r="J68" i="14" s="1" a="1"/>
  <c r="J68" i="14" s="1"/>
  <c r="S68" i="14" s="1"/>
  <c r="K89" i="30" l="1"/>
  <c r="L77" i="30"/>
  <c r="J78" i="14" s="1" a="1"/>
  <c r="J78" i="14" s="1"/>
  <c r="S78" i="14" s="1"/>
  <c r="L78" i="30"/>
  <c r="J79" i="14" s="1" a="1"/>
  <c r="J79" i="14" s="1"/>
  <c r="S79" i="14" s="1"/>
  <c r="K99" i="30"/>
  <c r="L98" i="30" s="1"/>
  <c r="J99" i="14" s="1" a="1"/>
  <c r="J99" i="14" s="1"/>
  <c r="S99" i="14" s="1"/>
  <c r="L87" i="30"/>
  <c r="J88" i="14" s="1" a="1"/>
  <c r="J88" i="14" s="1"/>
  <c r="S88" i="14" s="1"/>
  <c r="K100" i="30" l="1"/>
  <c r="L88" i="30"/>
  <c r="J89" i="14" s="1" a="1"/>
  <c r="J89" i="14" s="1"/>
  <c r="S89" i="14" s="1"/>
  <c r="L89" i="30"/>
  <c r="J90" i="14" s="1" a="1"/>
  <c r="J90" i="14" s="1"/>
  <c r="S90" i="14" s="1"/>
  <c r="L99" i="30" l="1"/>
  <c r="J100" i="14" s="1" a="1"/>
  <c r="J100" i="14" s="1"/>
  <c r="S100" i="14" s="1"/>
  <c r="L100" i="30"/>
  <c r="J101" i="14" s="1" a="1"/>
  <c r="J101" i="14" s="1"/>
  <c r="S101" i="14" s="1"/>
  <c r="L74" i="3" l="1"/>
  <c r="L75" i="3" l="1"/>
  <c r="L76" i="3" l="1"/>
  <c r="L77" i="3" l="1"/>
  <c r="L78" i="3" l="1"/>
  <c r="L79" i="3" l="1"/>
  <c r="L80" i="3" l="1"/>
  <c r="L69" i="3" l="1"/>
  <c r="L70" i="3" l="1"/>
  <c r="L71" i="3" l="1"/>
  <c r="L81" i="3"/>
  <c r="L72" i="3" l="1"/>
  <c r="L73" i="3" l="1"/>
  <c r="L82" i="3" l="1"/>
  <c r="L83" i="3" l="1"/>
  <c r="L84" i="3" l="1"/>
  <c r="L85" i="3" l="1"/>
  <c r="L86" i="3" l="1"/>
  <c r="L87" i="3" l="1"/>
  <c r="L88" i="3" l="1"/>
  <c r="L89" i="3" l="1"/>
  <c r="L90" i="3" l="1"/>
  <c r="L91" i="3" l="1"/>
  <c r="L92" i="3" l="1"/>
  <c r="L93" i="3" l="1"/>
  <c r="L94" i="3" l="1"/>
  <c r="L95" i="3" l="1"/>
  <c r="L96" i="3" l="1"/>
  <c r="L97" i="3" l="1"/>
  <c r="L98" i="3" l="1"/>
  <c r="L99" i="3" l="1"/>
  <c r="L100" i="3" l="1"/>
  <c r="L101" i="3" l="1"/>
  <c r="L102" i="3" l="1"/>
  <c r="L103" i="3" l="1"/>
  <c r="K19" i="3" l="1"/>
  <c r="K20" i="3" l="1"/>
  <c r="K21" i="3" l="1"/>
  <c r="K22" i="3" l="1"/>
  <c r="K23" i="3" l="1"/>
  <c r="K24" i="3" l="1"/>
  <c r="K25" i="3" l="1"/>
  <c r="K26" i="3" l="1"/>
  <c r="K27" i="3" l="1"/>
  <c r="I7" i="3" l="1"/>
  <c r="I6" i="3"/>
  <c r="I5" i="3"/>
  <c r="I15" i="3" l="1"/>
  <c r="J57" i="3" l="1"/>
  <c r="J53" i="3"/>
  <c r="J55" i="3"/>
  <c r="J54" i="3"/>
  <c r="J56" i="3"/>
  <c r="J60" i="3"/>
  <c r="J64" i="3"/>
  <c r="J49" i="3"/>
  <c r="J52" i="3"/>
  <c r="J63" i="3"/>
  <c r="J67" i="3"/>
  <c r="J59" i="3"/>
  <c r="J62" i="3"/>
  <c r="J51" i="3"/>
  <c r="J66" i="3"/>
  <c r="J68" i="3"/>
  <c r="J50" i="3"/>
  <c r="J58" i="3"/>
  <c r="J65" i="3"/>
  <c r="J61" i="3"/>
  <c r="P49" i="3" l="1"/>
  <c r="P50" i="3" l="1"/>
  <c r="L49" i="3"/>
  <c r="L50" i="3" l="1"/>
  <c r="P51" i="3"/>
  <c r="P52" i="3" l="1"/>
  <c r="L51" i="3"/>
  <c r="L52" i="3" l="1"/>
  <c r="P53" i="3"/>
  <c r="P54" i="3" l="1"/>
  <c r="L53" i="3"/>
  <c r="P55" i="3" l="1"/>
  <c r="L54" i="3"/>
  <c r="L55" i="3" l="1"/>
  <c r="P56" i="3"/>
  <c r="P57" i="3" l="1"/>
  <c r="L56" i="3"/>
  <c r="L57" i="3" l="1"/>
  <c r="P58" i="3"/>
  <c r="L58" i="3" l="1"/>
  <c r="P59" i="3"/>
  <c r="L59" i="3" l="1"/>
  <c r="P60" i="3"/>
  <c r="P61" i="3" l="1"/>
  <c r="L60" i="3"/>
  <c r="P62" i="3" l="1"/>
  <c r="L61" i="3"/>
  <c r="L62" i="3" l="1"/>
  <c r="P63" i="3"/>
  <c r="P64" i="3" l="1"/>
  <c r="L63" i="3"/>
  <c r="P65" i="3" l="1"/>
  <c r="L64" i="3"/>
  <c r="L65" i="3" l="1"/>
  <c r="P66" i="3"/>
  <c r="L66" i="3" l="1"/>
  <c r="P67" i="3"/>
  <c r="P68" i="3" l="1"/>
  <c r="L68" i="3" s="1"/>
  <c r="L67" i="3"/>
  <c r="E49" i="3" l="1"/>
  <c r="G49" i="3" l="1"/>
  <c r="I49" i="3" s="1"/>
  <c r="H49" i="3" l="1"/>
  <c r="M49" i="3" s="1"/>
  <c r="E50" i="3" l="1"/>
  <c r="N49" i="3"/>
  <c r="O49" i="3" s="1"/>
  <c r="G50" i="3" l="1"/>
  <c r="I50" i="3" s="1"/>
  <c r="H50" i="3" l="1"/>
  <c r="M50" i="3" l="1"/>
  <c r="N50" i="3" l="1"/>
  <c r="O50" i="3" s="1"/>
  <c r="E51" i="3"/>
  <c r="G51" i="3" l="1"/>
  <c r="I51" i="3" s="1"/>
  <c r="H51" i="3" l="1"/>
  <c r="M51" i="3" s="1"/>
  <c r="N51" i="3" l="1"/>
  <c r="O51" i="3" s="1"/>
  <c r="E52" i="3"/>
  <c r="G52" i="3" l="1"/>
  <c r="I52" i="3" s="1"/>
  <c r="H52" i="3" l="1"/>
  <c r="M52" i="3" s="1"/>
  <c r="N52" i="3" l="1"/>
  <c r="O52" i="3" s="1"/>
  <c r="E53" i="3"/>
  <c r="G53" i="3" l="1"/>
  <c r="I53" i="3" s="1"/>
  <c r="H53" i="3" l="1"/>
  <c r="M53" i="3" l="1"/>
  <c r="E54" i="3" l="1"/>
  <c r="N53" i="3"/>
  <c r="O53" i="3" s="1"/>
  <c r="G54" i="3" l="1"/>
  <c r="I54" i="3" s="1"/>
  <c r="H54" i="3" l="1"/>
  <c r="M54" i="3" l="1"/>
  <c r="E55" i="3" l="1"/>
  <c r="N54" i="3"/>
  <c r="O54" i="3" s="1"/>
  <c r="G55" i="3" l="1"/>
  <c r="I55" i="3" s="1"/>
  <c r="H55" i="3" l="1"/>
  <c r="M55" i="3" l="1"/>
  <c r="N55" i="3" l="1"/>
  <c r="O55" i="3" s="1"/>
  <c r="E56" i="3"/>
  <c r="G56" i="3" l="1"/>
  <c r="I56" i="3" s="1"/>
  <c r="H56" i="3" l="1"/>
  <c r="M56" i="3" s="1"/>
  <c r="E57" i="3" l="1"/>
  <c r="N56" i="3"/>
  <c r="O56" i="3" s="1"/>
  <c r="G57" i="3" l="1"/>
  <c r="I57" i="3" s="1"/>
  <c r="H57" i="3" l="1"/>
  <c r="M57" i="3" l="1"/>
  <c r="E58" i="3" l="1"/>
  <c r="N57" i="3"/>
  <c r="O57" i="3" s="1"/>
  <c r="G58" i="3" l="1"/>
  <c r="I58" i="3" s="1"/>
  <c r="H58" i="3" l="1"/>
  <c r="M58" i="3" s="1"/>
  <c r="N58" i="3" l="1"/>
  <c r="O58" i="3" s="1"/>
  <c r="E59" i="3"/>
  <c r="G59" i="3" l="1"/>
  <c r="I59" i="3" s="1"/>
  <c r="H59" i="3" l="1"/>
  <c r="M59" i="3" l="1"/>
  <c r="N59" i="3" l="1"/>
  <c r="O59" i="3" s="1"/>
  <c r="E60" i="3"/>
  <c r="G60" i="3" l="1"/>
  <c r="I60" i="3" s="1"/>
  <c r="H60" i="3" l="1"/>
  <c r="M60" i="3" l="1"/>
  <c r="E61" i="3" l="1"/>
  <c r="N60" i="3"/>
  <c r="O60" i="3" s="1"/>
  <c r="G61" i="3" l="1"/>
  <c r="I61" i="3" s="1"/>
  <c r="H61" i="3" l="1"/>
  <c r="M61" i="3" l="1"/>
  <c r="N61" i="3" l="1"/>
  <c r="O61" i="3" s="1"/>
  <c r="E62" i="3"/>
  <c r="G62" i="3" l="1"/>
  <c r="I62" i="3" s="1"/>
  <c r="H62" i="3" l="1"/>
  <c r="M62" i="3" l="1"/>
  <c r="N62" i="3" l="1"/>
  <c r="O62" i="3" s="1"/>
  <c r="E63" i="3"/>
  <c r="G63" i="3" l="1"/>
  <c r="I63" i="3" s="1"/>
  <c r="H63" i="3" l="1"/>
  <c r="M63" i="3" l="1"/>
  <c r="N63" i="3" l="1"/>
  <c r="O63" i="3" s="1"/>
  <c r="E64" i="3"/>
  <c r="G64" i="3" l="1"/>
  <c r="I64" i="3" s="1"/>
  <c r="H64" i="3" l="1"/>
  <c r="M64" i="3" l="1"/>
  <c r="E65" i="3" l="1"/>
  <c r="N64" i="3"/>
  <c r="O64" i="3" s="1"/>
  <c r="G65" i="3" l="1"/>
  <c r="I65" i="3" s="1"/>
  <c r="H65" i="3" l="1"/>
  <c r="M65" i="3" l="1"/>
  <c r="E66" i="3" l="1"/>
  <c r="N65" i="3"/>
  <c r="O65" i="3" s="1"/>
  <c r="G66" i="3" l="1"/>
  <c r="I66" i="3" s="1"/>
  <c r="H66" i="3" l="1"/>
  <c r="M66" i="3" l="1"/>
  <c r="E67" i="3" l="1"/>
  <c r="N66" i="3"/>
  <c r="O66" i="3" s="1"/>
  <c r="G67" i="3" l="1"/>
  <c r="I67" i="3" s="1"/>
  <c r="H67" i="3" l="1"/>
  <c r="M67" i="3" l="1"/>
  <c r="E68" i="3" l="1"/>
  <c r="N67" i="3"/>
  <c r="O67" i="3" s="1"/>
  <c r="G68" i="3" l="1"/>
  <c r="I68" i="3" s="1"/>
  <c r="H68" i="3" l="1"/>
  <c r="M68" i="3" s="1"/>
  <c r="N68" i="3" s="1"/>
  <c r="O68" i="3" s="1"/>
  <c r="I8" i="3"/>
  <c r="I9" i="3"/>
  <c r="I10" i="3"/>
  <c r="I11" i="3"/>
  <c r="I12" i="3"/>
  <c r="I13" i="3"/>
  <c r="I14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J11" i="3" l="1"/>
  <c r="J7" i="3"/>
  <c r="J12" i="3"/>
  <c r="J8" i="3"/>
  <c r="J5" i="3"/>
  <c r="J9" i="3"/>
  <c r="J6" i="3"/>
  <c r="J10" i="3"/>
  <c r="J4" i="3"/>
  <c r="M4" i="3" s="1"/>
  <c r="N4" i="3" l="1"/>
  <c r="O4" i="3" s="1"/>
  <c r="E5" i="3"/>
  <c r="G5" i="3" l="1"/>
  <c r="H5" i="3" s="1"/>
  <c r="P5" i="3" l="1"/>
  <c r="L5" i="3" s="1"/>
  <c r="K5" i="3"/>
  <c r="M5" i="3" s="1"/>
  <c r="N5" i="3" l="1"/>
  <c r="O5" i="3" s="1"/>
  <c r="E6" i="3"/>
  <c r="G6" i="3" l="1"/>
  <c r="H6" i="3" s="1"/>
  <c r="P6" i="3" l="1"/>
  <c r="L6" i="3" s="1"/>
  <c r="K6" i="3"/>
  <c r="M6" i="3" l="1"/>
  <c r="N6" i="3" s="1"/>
  <c r="O6" i="3" s="1"/>
  <c r="E7" i="3" l="1"/>
  <c r="G7" i="3" s="1"/>
  <c r="H7" i="3" s="1"/>
  <c r="K7" i="3" l="1"/>
  <c r="P7" i="3"/>
  <c r="L7" i="3" s="1"/>
  <c r="M7" i="3" l="1"/>
  <c r="E8" i="3" s="1"/>
  <c r="N7" i="3" l="1"/>
  <c r="O7" i="3" s="1"/>
  <c r="G8" i="3"/>
  <c r="H8" i="3" s="1"/>
  <c r="K8" i="3" l="1"/>
  <c r="P8" i="3"/>
  <c r="L8" i="3" s="1"/>
  <c r="M8" i="3" l="1"/>
  <c r="E9" i="3" s="1"/>
  <c r="H6" i="1"/>
  <c r="N8" i="3" l="1"/>
  <c r="O8" i="3" s="1"/>
  <c r="G9" i="3"/>
  <c r="H9" i="3" s="1"/>
  <c r="P9" i="3" l="1"/>
  <c r="L9" i="3" s="1"/>
  <c r="K9" i="3"/>
  <c r="M9" i="3" l="1"/>
  <c r="N9" i="3" s="1"/>
  <c r="O9" i="3" s="1"/>
  <c r="H7" i="1"/>
  <c r="E10" i="3" l="1"/>
  <c r="G10" i="3" s="1"/>
  <c r="H10" i="3" s="1"/>
  <c r="K10" i="3" l="1"/>
  <c r="P10" i="3"/>
  <c r="L10" i="3" l="1"/>
  <c r="M10" i="3" s="1"/>
  <c r="N10" i="3" s="1"/>
  <c r="O10" i="3" s="1"/>
  <c r="H8" i="1" l="1"/>
  <c r="E11" i="3"/>
  <c r="G11" i="3" s="1"/>
  <c r="H11" i="3" s="1"/>
  <c r="K11" i="3" l="1"/>
  <c r="P11" i="3"/>
  <c r="L11" i="3" s="1"/>
  <c r="M11" i="3" l="1"/>
  <c r="E12" i="3" s="1"/>
  <c r="H9" i="1" l="1"/>
  <c r="N11" i="3"/>
  <c r="O11" i="3" s="1"/>
  <c r="G12" i="3"/>
  <c r="H12" i="3" s="1"/>
  <c r="K12" i="3" l="1"/>
  <c r="P12" i="3"/>
  <c r="L12" i="3" l="1"/>
  <c r="M12" i="3" s="1"/>
  <c r="E13" i="3" l="1"/>
  <c r="G13" i="3" s="1"/>
  <c r="H13" i="3" s="1"/>
  <c r="H10" i="1"/>
  <c r="N12" i="3"/>
  <c r="O12" i="3" s="1"/>
  <c r="K13" i="3" l="1"/>
  <c r="P13" i="3"/>
  <c r="L13" i="3" s="1"/>
  <c r="J15" i="3"/>
  <c r="J17" i="3"/>
  <c r="J14" i="3"/>
  <c r="J16" i="3"/>
  <c r="J13" i="3"/>
  <c r="M13" i="3" l="1"/>
  <c r="H11" i="1" s="1"/>
  <c r="E14" i="3" l="1"/>
  <c r="G14" i="3" s="1"/>
  <c r="H14" i="3" s="1"/>
  <c r="N13" i="3"/>
  <c r="O13" i="3" s="1"/>
  <c r="K14" i="3" l="1"/>
  <c r="P14" i="3"/>
  <c r="L14" i="3" s="1"/>
  <c r="M14" i="3" l="1"/>
  <c r="N14" i="3" s="1"/>
  <c r="O14" i="3" s="1"/>
  <c r="H12" i="1"/>
  <c r="E15" i="3"/>
  <c r="G15" i="3" l="1"/>
  <c r="H15" i="3" s="1"/>
  <c r="K15" i="3" l="1"/>
  <c r="P15" i="3"/>
  <c r="L15" i="3" s="1"/>
  <c r="M15" i="3" s="1"/>
  <c r="E16" i="3" l="1"/>
  <c r="H13" i="1"/>
  <c r="N15" i="3"/>
  <c r="O15" i="3" s="1"/>
  <c r="G16" i="3" l="1"/>
  <c r="H16" i="3" s="1"/>
  <c r="K16" i="3" l="1"/>
  <c r="P16" i="3"/>
  <c r="L16" i="3" s="1"/>
  <c r="M16" i="3" l="1"/>
  <c r="E17" i="3"/>
  <c r="H14" i="1"/>
  <c r="N16" i="3"/>
  <c r="O16" i="3" s="1"/>
  <c r="G17" i="3" l="1"/>
  <c r="H17" i="3" s="1"/>
  <c r="K17" i="3" l="1"/>
  <c r="P17" i="3"/>
  <c r="L17" i="3" l="1"/>
  <c r="M17" i="3" s="1"/>
  <c r="N17" i="3" s="1"/>
  <c r="O17" i="3" s="1"/>
  <c r="P18" i="3"/>
  <c r="H15" i="1"/>
  <c r="E18" i="3"/>
  <c r="L18" i="3" l="1"/>
  <c r="P19" i="3"/>
  <c r="G18" i="3"/>
  <c r="H18" i="3" s="1"/>
  <c r="D63" i="1" s="1"/>
  <c r="F69" i="1" s="1"/>
  <c r="C6" i="42" s="1"/>
  <c r="P20" i="3" l="1"/>
  <c r="L19" i="3"/>
  <c r="J46" i="3"/>
  <c r="J47" i="3"/>
  <c r="J45" i="3"/>
  <c r="J48" i="3"/>
  <c r="J44" i="3"/>
  <c r="J28" i="3"/>
  <c r="J19" i="3"/>
  <c r="J42" i="3"/>
  <c r="J23" i="3"/>
  <c r="J30" i="3"/>
  <c r="J21" i="3"/>
  <c r="J22" i="3"/>
  <c r="J20" i="3"/>
  <c r="J37" i="3"/>
  <c r="J36" i="3"/>
  <c r="J39" i="3"/>
  <c r="J29" i="3"/>
  <c r="J31" i="3"/>
  <c r="J24" i="3"/>
  <c r="J26" i="3"/>
  <c r="J41" i="3"/>
  <c r="J35" i="3"/>
  <c r="J40" i="3"/>
  <c r="J18" i="3"/>
  <c r="J33" i="3"/>
  <c r="J43" i="3"/>
  <c r="J34" i="3"/>
  <c r="J38" i="3"/>
  <c r="J27" i="3"/>
  <c r="J25" i="3"/>
  <c r="J32" i="3"/>
  <c r="D65" i="1" l="1"/>
  <c r="M18" i="3"/>
  <c r="P21" i="3"/>
  <c r="L20" i="3"/>
  <c r="H16" i="1"/>
  <c r="E19" i="3"/>
  <c r="N18" i="3"/>
  <c r="O18" i="3" s="1"/>
  <c r="P22" i="3" l="1"/>
  <c r="L21" i="3"/>
  <c r="G19" i="3"/>
  <c r="H19" i="3" s="1"/>
  <c r="P23" i="3" l="1"/>
  <c r="L22" i="3"/>
  <c r="M19" i="3"/>
  <c r="P24" i="3" l="1"/>
  <c r="L23" i="3"/>
  <c r="E20" i="3"/>
  <c r="H17" i="1"/>
  <c r="N19" i="3"/>
  <c r="O19" i="3" s="1"/>
  <c r="L24" i="3" l="1"/>
  <c r="P25" i="3"/>
  <c r="G20" i="3"/>
  <c r="H20" i="3" s="1"/>
  <c r="L25" i="3" l="1"/>
  <c r="P26" i="3"/>
  <c r="M20" i="3"/>
  <c r="L26" i="3" l="1"/>
  <c r="P27" i="3"/>
  <c r="E21" i="3"/>
  <c r="N20" i="3"/>
  <c r="O20" i="3" s="1"/>
  <c r="H18" i="1"/>
  <c r="P28" i="3" l="1"/>
  <c r="L27" i="3"/>
  <c r="G21" i="3"/>
  <c r="H21" i="3" s="1"/>
  <c r="P29" i="3" l="1"/>
  <c r="L28" i="3"/>
  <c r="M21" i="3"/>
  <c r="L29" i="3" l="1"/>
  <c r="P30" i="3"/>
  <c r="E22" i="3"/>
  <c r="N21" i="3"/>
  <c r="O21" i="3" s="1"/>
  <c r="H19" i="1"/>
  <c r="L30" i="3" l="1"/>
  <c r="P31" i="3"/>
  <c r="G22" i="3"/>
  <c r="H22" i="3" s="1"/>
  <c r="P32" i="3" l="1"/>
  <c r="L31" i="3"/>
  <c r="M22" i="3"/>
  <c r="L32" i="3" l="1"/>
  <c r="P33" i="3"/>
  <c r="H20" i="1"/>
  <c r="E23" i="3"/>
  <c r="N22" i="3"/>
  <c r="O22" i="3" s="1"/>
  <c r="P34" i="3" l="1"/>
  <c r="L33" i="3"/>
  <c r="G23" i="3"/>
  <c r="H23" i="3" s="1"/>
  <c r="L34" i="3" l="1"/>
  <c r="P35" i="3"/>
  <c r="M23" i="3"/>
  <c r="L35" i="3" l="1"/>
  <c r="P36" i="3"/>
  <c r="N23" i="3"/>
  <c r="O23" i="3" s="1"/>
  <c r="H21" i="1"/>
  <c r="E24" i="3"/>
  <c r="L36" i="3" l="1"/>
  <c r="P37" i="3"/>
  <c r="G24" i="3"/>
  <c r="H24" i="3" s="1"/>
  <c r="L37" i="3" l="1"/>
  <c r="P38" i="3"/>
  <c r="M24" i="3"/>
  <c r="L38" i="3" l="1"/>
  <c r="P39" i="3"/>
  <c r="E25" i="3"/>
  <c r="N24" i="3"/>
  <c r="O24" i="3" s="1"/>
  <c r="L39" i="3" l="1"/>
  <c r="P40" i="3"/>
  <c r="G25" i="3"/>
  <c r="H25" i="3" s="1"/>
  <c r="P41" i="3" l="1"/>
  <c r="L40" i="3"/>
  <c r="M25" i="3"/>
  <c r="P42" i="3" l="1"/>
  <c r="L41" i="3"/>
  <c r="E26" i="3"/>
  <c r="N25" i="3"/>
  <c r="O25" i="3" s="1"/>
  <c r="P43" i="3" l="1"/>
  <c r="L42" i="3"/>
  <c r="G26" i="3"/>
  <c r="H26" i="3" s="1"/>
  <c r="L43" i="3" l="1"/>
  <c r="P44" i="3"/>
  <c r="M26" i="3"/>
  <c r="P45" i="3" l="1"/>
  <c r="L44" i="3"/>
  <c r="E27" i="3"/>
  <c r="N26" i="3"/>
  <c r="O26" i="3" s="1"/>
  <c r="L45" i="3" l="1"/>
  <c r="P46" i="3"/>
  <c r="G27" i="3"/>
  <c r="H27" i="3" s="1"/>
  <c r="L46" i="3" l="1"/>
  <c r="P47" i="3"/>
  <c r="M27" i="3"/>
  <c r="L47" i="3" l="1"/>
  <c r="P48" i="3"/>
  <c r="L48" i="3" s="1"/>
  <c r="E28" i="3"/>
  <c r="N27" i="3"/>
  <c r="O27" i="3" s="1"/>
  <c r="G28" i="3" l="1"/>
  <c r="H28" i="3" s="1"/>
  <c r="M28" i="3" l="1"/>
  <c r="E29" i="3" l="1"/>
  <c r="N28" i="3"/>
  <c r="O28" i="3" s="1"/>
  <c r="G29" i="3" l="1"/>
  <c r="H29" i="3" s="1"/>
  <c r="M29" i="3" l="1"/>
  <c r="E30" i="3" l="1"/>
  <c r="N29" i="3"/>
  <c r="O29" i="3" s="1"/>
  <c r="G30" i="3" l="1"/>
  <c r="H30" i="3" s="1"/>
  <c r="M30" i="3" l="1"/>
  <c r="E31" i="3" l="1"/>
  <c r="N30" i="3"/>
  <c r="O30" i="3" s="1"/>
  <c r="G31" i="3" l="1"/>
  <c r="H31" i="3" s="1"/>
  <c r="M31" i="3" l="1"/>
  <c r="E32" i="3" l="1"/>
  <c r="N31" i="3"/>
  <c r="O31" i="3" s="1"/>
  <c r="G32" i="3" l="1"/>
  <c r="H32" i="3" s="1"/>
  <c r="M32" i="3" l="1"/>
  <c r="E33" i="3" l="1"/>
  <c r="N32" i="3"/>
  <c r="O32" i="3" s="1"/>
  <c r="G33" i="3" l="1"/>
  <c r="H33" i="3" s="1"/>
  <c r="M33" i="3" l="1"/>
  <c r="E34" i="3" l="1"/>
  <c r="N33" i="3"/>
  <c r="O33" i="3" s="1"/>
  <c r="G34" i="3" l="1"/>
  <c r="H34" i="3" s="1"/>
  <c r="M34" i="3" l="1"/>
  <c r="E35" i="3" l="1"/>
  <c r="N34" i="3"/>
  <c r="O34" i="3" s="1"/>
  <c r="G35" i="3" l="1"/>
  <c r="H35" i="3" s="1"/>
  <c r="M35" i="3" l="1"/>
  <c r="E36" i="3" l="1"/>
  <c r="N35" i="3"/>
  <c r="O35" i="3" s="1"/>
  <c r="G36" i="3" l="1"/>
  <c r="H36" i="3" s="1"/>
  <c r="M36" i="3" l="1"/>
  <c r="E37" i="3" l="1"/>
  <c r="N36" i="3"/>
  <c r="O36" i="3" s="1"/>
  <c r="G37" i="3" l="1"/>
  <c r="H37" i="3" s="1"/>
  <c r="M37" i="3" l="1"/>
  <c r="E38" i="3" l="1"/>
  <c r="N37" i="3"/>
  <c r="O37" i="3" s="1"/>
  <c r="G38" i="3" l="1"/>
  <c r="H38" i="3" s="1"/>
  <c r="M38" i="3" l="1"/>
  <c r="E39" i="3" l="1"/>
  <c r="N38" i="3"/>
  <c r="O38" i="3" s="1"/>
  <c r="G39" i="3" l="1"/>
  <c r="H39" i="3" s="1"/>
  <c r="M39" i="3" l="1"/>
  <c r="E40" i="3" l="1"/>
  <c r="N39" i="3"/>
  <c r="O39" i="3" s="1"/>
  <c r="G40" i="3" l="1"/>
  <c r="H40" i="3" s="1"/>
  <c r="M40" i="3" l="1"/>
  <c r="E41" i="3" l="1"/>
  <c r="N40" i="3"/>
  <c r="O40" i="3" s="1"/>
  <c r="G41" i="3" l="1"/>
  <c r="H41" i="3" s="1"/>
  <c r="M41" i="3" l="1"/>
  <c r="E42" i="3" l="1"/>
  <c r="N41" i="3"/>
  <c r="O41" i="3" s="1"/>
  <c r="G42" i="3" l="1"/>
  <c r="H42" i="3" s="1"/>
  <c r="M42" i="3" l="1"/>
  <c r="E43" i="3" l="1"/>
  <c r="N42" i="3"/>
  <c r="O42" i="3" s="1"/>
  <c r="G43" i="3" l="1"/>
  <c r="H43" i="3" s="1"/>
  <c r="M43" i="3" l="1"/>
  <c r="E44" i="3" l="1"/>
  <c r="N43" i="3"/>
  <c r="O43" i="3" s="1"/>
  <c r="G44" i="3" l="1"/>
  <c r="H44" i="3" s="1"/>
  <c r="M44" i="3" l="1"/>
  <c r="E45" i="3" l="1"/>
  <c r="N44" i="3"/>
  <c r="O44" i="3" s="1"/>
  <c r="G45" i="3" l="1"/>
  <c r="H45" i="3" s="1"/>
  <c r="M45" i="3" l="1"/>
  <c r="E46" i="3" l="1"/>
  <c r="N45" i="3"/>
  <c r="O45" i="3" s="1"/>
  <c r="G46" i="3" l="1"/>
  <c r="H46" i="3" s="1"/>
  <c r="M46" i="3" l="1"/>
  <c r="E47" i="3" l="1"/>
  <c r="N46" i="3"/>
  <c r="O46" i="3" s="1"/>
  <c r="G47" i="3" l="1"/>
  <c r="H47" i="3" s="1"/>
  <c r="M47" i="3" l="1"/>
  <c r="E48" i="3" l="1"/>
  <c r="N47" i="3"/>
  <c r="O47" i="3" s="1"/>
  <c r="G48" i="3" l="1"/>
  <c r="H48" i="3" s="1"/>
  <c r="M48" i="3" l="1"/>
  <c r="N48" i="3" s="1"/>
  <c r="O4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tc={7866B5AC-CD7E-4CA2-9B18-1ABAD14509F8}</author>
    <author>tc={474D0A3F-9133-41A1-9B86-5909DA6BA950}</author>
    <author>tc={DC58705C-ACD1-40F0-A351-B6E0CB5DB60F}</author>
  </authors>
  <commentList>
    <comment ref="B36" authorId="0" shapeId="0" xr:uid="{7866B5AC-CD7E-4CA2-9B18-1ABAD14509F8}">
      <text>
        <t>[Threaded comment]
Your version of Excel allows you to read this threaded comment; however, any edits to it will get removed if the file is opened in a newer version of Excel. Learn more: https://go.microsoft.com/fwlink/?linkid=870924
Comment:
    Cap is maximum rate of interest that the contract can earn in a py. If the chosen index increase exceeds the cap, the cap is used to calculate your interest.</t>
      </text>
    </comment>
    <comment ref="B38" authorId="1" shapeId="0" xr:uid="{474D0A3F-9133-41A1-9B86-5909DA6BA95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Participation rate determines what percentage of the index increase will be used to calculate your indexed interest.</t>
      </text>
    </comment>
    <comment ref="B40" authorId="2" shapeId="0" xr:uid="{DC58705C-ACD1-40F0-A351-B6E0CB5DB60F}">
      <text>
        <t>[Threaded comment]
Your version of Excel allows you to read this threaded comment; however, any edits to it will get removed if the file is opened in a newer version of Excel. Learn more: https://go.microsoft.com/fwlink/?linkid=870924
Comment:
    Spread is the percentage subtracted by the gain index achieves in a py.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<sst xmlns="http://schemas.openxmlformats.org/spreadsheetml/2006/main" count="1671" uniqueCount="1247">
  <si>
    <t>Fixed Index Annuity</t>
  </si>
  <si>
    <t>Version 1</t>
  </si>
  <si>
    <t>Last Updated: 10 March 2021</t>
  </si>
  <si>
    <t>Created By: Coherent Actuarial</t>
  </si>
  <si>
    <t>Main Information</t>
  </si>
  <si>
    <t>Illustrations</t>
  </si>
  <si>
    <t>Age</t>
  </si>
  <si>
    <t>Year</t>
  </si>
  <si>
    <t>Gender (M/F)</t>
  </si>
  <si>
    <t>M</t>
  </si>
  <si>
    <t>Insurance information</t>
  </si>
  <si>
    <t>Saving Frequency (1 = Annual/ 2 = Semi-Annual)</t>
  </si>
  <si>
    <t>Saving Term (1/5/10)</t>
  </si>
  <si>
    <t>Interest Choice (Fixed Rate/ Index)</t>
  </si>
  <si>
    <t>Index</t>
  </si>
  <si>
    <t>Guaranteed Interest rate (%)</t>
  </si>
  <si>
    <t>Premium ($)</t>
  </si>
  <si>
    <t>Allocation Options</t>
  </si>
  <si>
    <t>Option 1: Monthly sum with a cap</t>
  </si>
  <si>
    <t>Option 2: Annual point-to-point with a cap</t>
  </si>
  <si>
    <t>Option 3: Annual point-to-point with a spread</t>
  </si>
  <si>
    <t>Option 4: Annual point-to-point with a participation rate</t>
  </si>
  <si>
    <t>Option 5: 2-year point-to-point with a participation rate</t>
  </si>
  <si>
    <t>Crediting Method (1 = Annual Reset / 2 = Monthly Sum)</t>
  </si>
  <si>
    <t>Resetting Period (1/2 years)</t>
  </si>
  <si>
    <t>Cap (%)</t>
  </si>
  <si>
    <t>Participation rate (%)</t>
  </si>
  <si>
    <t>Spread (%)</t>
  </si>
  <si>
    <t>Click here to select Indexes</t>
  </si>
  <si>
    <t>Xinput_index_table</t>
  </si>
  <si>
    <t>Benefit Rider</t>
  </si>
  <si>
    <t>Benefit Rider charge (%)</t>
  </si>
  <si>
    <t>Bonus rate (%)</t>
  </si>
  <si>
    <t>Withdrawal Information</t>
  </si>
  <si>
    <t>Income Duration</t>
  </si>
  <si>
    <t>Lifetime</t>
  </si>
  <si>
    <t>Income Options (1 = Level / 2 = Increasing)</t>
  </si>
  <si>
    <t>Income End Age</t>
  </si>
  <si>
    <t>Lifetime Withdrawal %</t>
  </si>
  <si>
    <t>Annual Increase %</t>
  </si>
  <si>
    <t>Initial Lifetime Withdrawal</t>
  </si>
  <si>
    <t>Total Lifetime Withdrawal</t>
  </si>
  <si>
    <t>Retirement Income Solver</t>
  </si>
  <si>
    <t>Run Solver?</t>
  </si>
  <si>
    <t>Solve the premium amount required for a given level of withrawal amount desired</t>
  </si>
  <si>
    <t>Solver</t>
  </si>
  <si>
    <t>Max iterations</t>
  </si>
  <si>
    <t>Initial guess</t>
  </si>
  <si>
    <t>Solve algorithm</t>
  </si>
  <si>
    <t>SECANT</t>
  </si>
  <si>
    <t>Solve result</t>
  </si>
  <si>
    <t>Allocation Option Selected</t>
  </si>
  <si>
    <t>Available Index</t>
  </si>
  <si>
    <t>Choice</t>
  </si>
  <si>
    <t>Portion</t>
  </si>
  <si>
    <t>Duration</t>
  </si>
  <si>
    <t>Return 1</t>
  </si>
  <si>
    <t>Total</t>
  </si>
  <si>
    <t>Please make sure the total is 100%</t>
  </si>
  <si>
    <t>s</t>
  </si>
  <si>
    <t>PY</t>
  </si>
  <si>
    <t>TPP</t>
  </si>
  <si>
    <t>Beginning Cash Value</t>
  </si>
  <si>
    <t>Interest rate %</t>
  </si>
  <si>
    <t xml:space="preserve">Interest Earned </t>
  </si>
  <si>
    <t>Investment Value</t>
  </si>
  <si>
    <t>Rider Bonus</t>
  </si>
  <si>
    <t>Withdrawals</t>
  </si>
  <si>
    <t>Rider Charge</t>
  </si>
  <si>
    <t>COI</t>
  </si>
  <si>
    <t>Insurance Annuity Total Cash Value</t>
  </si>
  <si>
    <t>Surrender Charge</t>
  </si>
  <si>
    <t>Total Surrender Value</t>
  </si>
  <si>
    <t>Total Death Benefit</t>
  </si>
  <si>
    <t>Return %</t>
  </si>
  <si>
    <t>Cap %</t>
  </si>
  <si>
    <t>Participation %</t>
  </si>
  <si>
    <t>Spread %</t>
  </si>
  <si>
    <t>COI rate</t>
  </si>
  <si>
    <t>Surrender Charge %</t>
  </si>
  <si>
    <t>Withdrawal Rate</t>
  </si>
  <si>
    <t>Projected Value</t>
  </si>
  <si>
    <t>With Rider</t>
  </si>
  <si>
    <t>Without Rider</t>
  </si>
  <si>
    <t>Monthly sum with a cap</t>
  </si>
  <si>
    <t>Annual point-to-point with a cap</t>
  </si>
  <si>
    <t>Annual point-to-point with a spread</t>
  </si>
  <si>
    <t>Annual point-to-point with a participation rate</t>
  </si>
  <si>
    <t>2-year point-to-point with a participation rate</t>
  </si>
  <si>
    <t>S&amp;P 500 Index</t>
  </si>
  <si>
    <t>Nasdaq-100 Index</t>
  </si>
  <si>
    <t>Russel 2000 Index</t>
  </si>
  <si>
    <t>BlackRock iBLD Claria Index</t>
  </si>
  <si>
    <t>Bloomberg US Dynamic Balance Index II</t>
  </si>
  <si>
    <t>PIMCO Tactical Balanced Index</t>
  </si>
  <si>
    <t>Bloomberg US Dynamic Balance II ER Index</t>
  </si>
  <si>
    <t>PIMCO Tactical Balanced ER Index</t>
  </si>
  <si>
    <t>BlackRock iBLD Claria® ER Index</t>
  </si>
  <si>
    <t>Level Income</t>
  </si>
  <si>
    <t>Increasing Income</t>
  </si>
  <si>
    <t>Annual increase %</t>
  </si>
  <si>
    <t>F</t>
  </si>
  <si>
    <t>Month</t>
  </si>
  <si>
    <t>Date</t>
  </si>
  <si>
    <t>Close</t>
  </si>
  <si>
    <t>Last 10 Years</t>
  </si>
  <si>
    <t>Prediction</t>
  </si>
  <si>
    <t>Return</t>
  </si>
  <si>
    <t>Count</t>
  </si>
  <si>
    <t>Index Level</t>
  </si>
  <si>
    <t>152.56</t>
  </si>
  <si>
    <t>153.09</t>
  </si>
  <si>
    <t>153.49</t>
  </si>
  <si>
    <t>153.38</t>
  </si>
  <si>
    <t>153.41</t>
  </si>
  <si>
    <t>154.04</t>
  </si>
  <si>
    <t>153.27</t>
  </si>
  <si>
    <t>152.36</t>
  </si>
  <si>
    <t>152.38</t>
  </si>
  <si>
    <t>152.10</t>
  </si>
  <si>
    <t>150.38</t>
  </si>
  <si>
    <t>148.08</t>
  </si>
  <si>
    <t>149.04</t>
  </si>
  <si>
    <t>148.36</t>
  </si>
  <si>
    <t>146.64</t>
  </si>
  <si>
    <t>147.14</t>
  </si>
  <si>
    <t>147.70</t>
  </si>
  <si>
    <t>147.89</t>
  </si>
  <si>
    <t>147.99</t>
  </si>
  <si>
    <t>148.38</t>
  </si>
  <si>
    <t>148.62</t>
  </si>
  <si>
    <t>148.31</t>
  </si>
  <si>
    <t>147.97</t>
  </si>
  <si>
    <t>148.15</t>
  </si>
  <si>
    <t>148.83</t>
  </si>
  <si>
    <t>149.21</t>
  </si>
  <si>
    <t>148.54</t>
  </si>
  <si>
    <t>148.42</t>
  </si>
  <si>
    <t>148.59</t>
  </si>
  <si>
    <t>148.43</t>
  </si>
  <si>
    <t>148.51</t>
  </si>
  <si>
    <t>148.66</t>
  </si>
  <si>
    <t>148.91</t>
  </si>
  <si>
    <t>149.42</t>
  </si>
  <si>
    <t>149.33</t>
  </si>
  <si>
    <t>149.39</t>
  </si>
  <si>
    <t>149.30</t>
  </si>
  <si>
    <t>149.23</t>
  </si>
  <si>
    <t>148.78</t>
  </si>
  <si>
    <t>148.24</t>
  </si>
  <si>
    <t>147.73</t>
  </si>
  <si>
    <t>148.28</t>
  </si>
  <si>
    <t>148.25</t>
  </si>
  <si>
    <t>148.84</t>
  </si>
  <si>
    <t>148.34</t>
  </si>
  <si>
    <t>148.55</t>
  </si>
  <si>
    <t>148.50</t>
  </si>
  <si>
    <t>148.90</t>
  </si>
  <si>
    <t>148.85</t>
  </si>
  <si>
    <t>148.77</t>
  </si>
  <si>
    <t>148.71</t>
  </si>
  <si>
    <t>148.89</t>
  </si>
  <si>
    <t>149.22</t>
  </si>
  <si>
    <t>148.99</t>
  </si>
  <si>
    <t>148.60</t>
  </si>
  <si>
    <t>147.95</t>
  </si>
  <si>
    <t>147.55</t>
  </si>
  <si>
    <t>147.39</t>
  </si>
  <si>
    <t>147.94</t>
  </si>
  <si>
    <t>148.11</t>
  </si>
  <si>
    <t>147.87</t>
  </si>
  <si>
    <t>147.76</t>
  </si>
  <si>
    <t>147.65</t>
  </si>
  <si>
    <t>147.78</t>
  </si>
  <si>
    <t>148.22</t>
  </si>
  <si>
    <t>148.92</t>
  </si>
  <si>
    <t>149.01</t>
  </si>
  <si>
    <t>148.16</t>
  </si>
  <si>
    <t>148.23</t>
  </si>
  <si>
    <t>148.41</t>
  </si>
  <si>
    <t>148.75</t>
  </si>
  <si>
    <t>148.61</t>
  </si>
  <si>
    <t>148.88</t>
  </si>
  <si>
    <t>148.95</t>
  </si>
  <si>
    <t>149.09</t>
  </si>
  <si>
    <t>149.19</t>
  </si>
  <si>
    <t>149.66</t>
  </si>
  <si>
    <t>149.25</t>
  </si>
  <si>
    <t>149.60</t>
  </si>
  <si>
    <t>149.68</t>
  </si>
  <si>
    <t>149.88</t>
  </si>
  <si>
    <t>150.25</t>
  </si>
  <si>
    <t>150.23</t>
  </si>
  <si>
    <t>150.27</t>
  </si>
  <si>
    <t>150.30</t>
  </si>
  <si>
    <t>150.05</t>
  </si>
  <si>
    <t>150.16</t>
  </si>
  <si>
    <t>149.97</t>
  </si>
  <si>
    <t>149.34</t>
  </si>
  <si>
    <t>149.40</t>
  </si>
  <si>
    <t>148.93</t>
  </si>
  <si>
    <t>148.27</t>
  </si>
  <si>
    <t>148.30</t>
  </si>
  <si>
    <t>147.72</t>
  </si>
  <si>
    <t>148.04</t>
  </si>
  <si>
    <t>148.14</t>
  </si>
  <si>
    <t>148.20</t>
  </si>
  <si>
    <t>148.86</t>
  </si>
  <si>
    <t>149.53</t>
  </si>
  <si>
    <t>150.14</t>
  </si>
  <si>
    <t>150.13</t>
  </si>
  <si>
    <t>149.38</t>
  </si>
  <si>
    <t>149.98</t>
  </si>
  <si>
    <t>149.94</t>
  </si>
  <si>
    <t>150.22</t>
  </si>
  <si>
    <t>150.24</t>
  </si>
  <si>
    <t>149.89</t>
  </si>
  <si>
    <t>150.73</t>
  </si>
  <si>
    <t>150.45</t>
  </si>
  <si>
    <t>150.11</t>
  </si>
  <si>
    <t>149.74</t>
  </si>
  <si>
    <t>150.21</t>
  </si>
  <si>
    <t>149.87</t>
  </si>
  <si>
    <t>150.00</t>
  </si>
  <si>
    <t>150.32</t>
  </si>
  <si>
    <t>150.43</t>
  </si>
  <si>
    <t>150.70</t>
  </si>
  <si>
    <t>150.69</t>
  </si>
  <si>
    <t>150.75</t>
  </si>
  <si>
    <t>150.10</t>
  </si>
  <si>
    <t>150.04</t>
  </si>
  <si>
    <t>149.82</t>
  </si>
  <si>
    <t>150.20</t>
  </si>
  <si>
    <t>150.63</t>
  </si>
  <si>
    <t>150.97</t>
  </si>
  <si>
    <t>151.23</t>
  </si>
  <si>
    <t>150.86</t>
  </si>
  <si>
    <t>151.42</t>
  </si>
  <si>
    <t>151.99</t>
  </si>
  <si>
    <t>151.84</t>
  </si>
  <si>
    <t>152.20</t>
  </si>
  <si>
    <t>151.79</t>
  </si>
  <si>
    <t>151.77</t>
  </si>
  <si>
    <t>151.24</t>
  </si>
  <si>
    <t>150.84</t>
  </si>
  <si>
    <t>150.18</t>
  </si>
  <si>
    <t>150.35</t>
  </si>
  <si>
    <t>150.28</t>
  </si>
  <si>
    <t>150.85</t>
  </si>
  <si>
    <t>150.83</t>
  </si>
  <si>
    <t>150.82</t>
  </si>
  <si>
    <t>150.89</t>
  </si>
  <si>
    <t>151.70</t>
  </si>
  <si>
    <t>151.64</t>
  </si>
  <si>
    <t>151.31</t>
  </si>
  <si>
    <t>151.05</t>
  </si>
  <si>
    <t>151.15</t>
  </si>
  <si>
    <t>150.99</t>
  </si>
  <si>
    <t>150.59</t>
  </si>
  <si>
    <t>149.24</t>
  </si>
  <si>
    <t>148.44</t>
  </si>
  <si>
    <t>146.33</t>
  </si>
  <si>
    <t>145.19</t>
  </si>
  <si>
    <t>145.82</t>
  </si>
  <si>
    <t>145.63</t>
  </si>
  <si>
    <t>147.00</t>
  </si>
  <si>
    <t>146.62</t>
  </si>
  <si>
    <t>145.86</t>
  </si>
  <si>
    <t>145.77</t>
  </si>
  <si>
    <t>145.67</t>
  </si>
  <si>
    <t>145.56</t>
  </si>
  <si>
    <t>144.88</t>
  </si>
  <si>
    <t>145.30</t>
  </si>
  <si>
    <t>145.26</t>
  </si>
  <si>
    <t>145.07</t>
  </si>
  <si>
    <t>145.38</t>
  </si>
  <si>
    <t>145.43</t>
  </si>
  <si>
    <t>145.99</t>
  </si>
  <si>
    <t>145.49</t>
  </si>
  <si>
    <t>145.64</t>
  </si>
  <si>
    <t>146.20</t>
  </si>
  <si>
    <t>145.88</t>
  </si>
  <si>
    <t>145.52</t>
  </si>
  <si>
    <t>145.62</t>
  </si>
  <si>
    <t>145.69</t>
  </si>
  <si>
    <t>146.12</t>
  </si>
  <si>
    <t>146.46</t>
  </si>
  <si>
    <t>146.07</t>
  </si>
  <si>
    <t>145.39</t>
  </si>
  <si>
    <t>145.68</t>
  </si>
  <si>
    <t>145.54</t>
  </si>
  <si>
    <t>146.00</t>
  </si>
  <si>
    <t>146.06</t>
  </si>
  <si>
    <t>146.81</t>
  </si>
  <si>
    <t>146.89</t>
  </si>
  <si>
    <t>147.15</t>
  </si>
  <si>
    <t>146.97</t>
  </si>
  <si>
    <t>147.03</t>
  </si>
  <si>
    <t>146.68</t>
  </si>
  <si>
    <t>146.63</t>
  </si>
  <si>
    <t>146.45</t>
  </si>
  <si>
    <t>146.58</t>
  </si>
  <si>
    <t>146.53</t>
  </si>
  <si>
    <t>146.11</t>
  </si>
  <si>
    <t>145.71</t>
  </si>
  <si>
    <t>145.44</t>
  </si>
  <si>
    <t>144.95</t>
  </si>
  <si>
    <t>144.35</t>
  </si>
  <si>
    <t>143.88</t>
  </si>
  <si>
    <t>144.81</t>
  </si>
  <si>
    <t>145.25</t>
  </si>
  <si>
    <t>145.78</t>
  </si>
  <si>
    <t>146.24</t>
  </si>
  <si>
    <t>146.66</t>
  </si>
  <si>
    <t>146.85</t>
  </si>
  <si>
    <t>146.92</t>
  </si>
  <si>
    <t>147.24</t>
  </si>
  <si>
    <t>147.35</t>
  </si>
  <si>
    <t>147.53</t>
  </si>
  <si>
    <t>147.30</t>
  </si>
  <si>
    <t>147.50</t>
  </si>
  <si>
    <t>147.59</t>
  </si>
  <si>
    <t>147.64</t>
  </si>
  <si>
    <t>147.56</t>
  </si>
  <si>
    <t>147.92</t>
  </si>
  <si>
    <t>148.10</t>
  </si>
  <si>
    <t>147.86</t>
  </si>
  <si>
    <t>149.45</t>
  </si>
  <si>
    <t>149.41</t>
  </si>
  <si>
    <t>149.36</t>
  </si>
  <si>
    <t>149.32</t>
  </si>
  <si>
    <t>149.46</t>
  </si>
  <si>
    <t>149.80</t>
  </si>
  <si>
    <t>150.41</t>
  </si>
  <si>
    <t>150.50</t>
  </si>
  <si>
    <t>150.17</t>
  </si>
  <si>
    <t>150.53</t>
  </si>
  <si>
    <t>149.81</t>
  </si>
  <si>
    <t>149.79</t>
  </si>
  <si>
    <t>150.60</t>
  </si>
  <si>
    <t>150.91</t>
  </si>
  <si>
    <t>151.30</t>
  </si>
  <si>
    <t>151.73</t>
  </si>
  <si>
    <t>151.94</t>
  </si>
  <si>
    <t>151.91</t>
  </si>
  <si>
    <t>152.03</t>
  </si>
  <si>
    <t>152.50</t>
  </si>
  <si>
    <t>151.57</t>
  </si>
  <si>
    <t>151.78</t>
  </si>
  <si>
    <t>152.12</t>
  </si>
  <si>
    <t>152.09</t>
  </si>
  <si>
    <t>152.26</t>
  </si>
  <si>
    <t>152.47</t>
  </si>
  <si>
    <t>152.76</t>
  </si>
  <si>
    <t>152.86</t>
  </si>
  <si>
    <t>152.91</t>
  </si>
  <si>
    <t>153.42</t>
  </si>
  <si>
    <t>153.36</t>
  </si>
  <si>
    <t>153.55</t>
  </si>
  <si>
    <t>153.31</t>
  </si>
  <si>
    <t>153.40</t>
  </si>
  <si>
    <t>153.32</t>
  </si>
  <si>
    <t>153.50</t>
  </si>
  <si>
    <t>153.97</t>
  </si>
  <si>
    <t>153.79</t>
  </si>
  <si>
    <t>154.35</t>
  </si>
  <si>
    <t>154.41</t>
  </si>
  <si>
    <t>154.52</t>
  </si>
  <si>
    <t>153.91</t>
  </si>
  <si>
    <t>153.70</t>
  </si>
  <si>
    <t>154.59</t>
  </si>
  <si>
    <t>154.26</t>
  </si>
  <si>
    <t>153.15</t>
  </si>
  <si>
    <t>152.97</t>
  </si>
  <si>
    <t>152.82</t>
  </si>
  <si>
    <t>152.24</t>
  </si>
  <si>
    <t>152.68</t>
  </si>
  <si>
    <t>152.22</t>
  </si>
  <si>
    <t>152.62</t>
  </si>
  <si>
    <t>152.64</t>
  </si>
  <si>
    <t>152.45</t>
  </si>
  <si>
    <t>152.67</t>
  </si>
  <si>
    <t>152.55</t>
  </si>
  <si>
    <t>152.23</t>
  </si>
  <si>
    <t>152.61</t>
  </si>
  <si>
    <t>153.02</t>
  </si>
  <si>
    <t>153.65</t>
  </si>
  <si>
    <t>154.07</t>
  </si>
  <si>
    <t>154.87</t>
  </si>
  <si>
    <t>154.74</t>
  </si>
  <si>
    <t>154.80</t>
  </si>
  <si>
    <t>154.84</t>
  </si>
  <si>
    <t>155.24</t>
  </si>
  <si>
    <t>155.03</t>
  </si>
  <si>
    <t>154.57</t>
  </si>
  <si>
    <t>155.34</t>
  </si>
  <si>
    <t>155.83</t>
  </si>
  <si>
    <t>156.45</t>
  </si>
  <si>
    <t>156.02</t>
  </si>
  <si>
    <t>156.19</t>
  </si>
  <si>
    <t>155.85</t>
  </si>
  <si>
    <t>155.53</t>
  </si>
  <si>
    <t>156.05</t>
  </si>
  <si>
    <t>156.36</t>
  </si>
  <si>
    <t>156.66</t>
  </si>
  <si>
    <t>156.99</t>
  </si>
  <si>
    <t>157.47</t>
  </si>
  <si>
    <t>156.84</t>
  </si>
  <si>
    <t>156.43</t>
  </si>
  <si>
    <t>156.72</t>
  </si>
  <si>
    <t>156.42</t>
  </si>
  <si>
    <t>156.73</t>
  </si>
  <si>
    <t>156.86</t>
  </si>
  <si>
    <t>156.52</t>
  </si>
  <si>
    <t>156.96</t>
  </si>
  <si>
    <t>156.48</t>
  </si>
  <si>
    <t>156.61</t>
  </si>
  <si>
    <t>156.91</t>
  </si>
  <si>
    <t>157.30</t>
  </si>
  <si>
    <t>157.08</t>
  </si>
  <si>
    <t>157.05</t>
  </si>
  <si>
    <t>156.40</t>
  </si>
  <si>
    <t>154.75</t>
  </si>
  <si>
    <t>155.61</t>
  </si>
  <si>
    <t>155.72</t>
  </si>
  <si>
    <t>156.67</t>
  </si>
  <si>
    <t>156.15</t>
  </si>
  <si>
    <t>156.07</t>
  </si>
  <si>
    <t>156.33</t>
  </si>
  <si>
    <t>155.74</t>
  </si>
  <si>
    <t>156.39</t>
  </si>
  <si>
    <t>156.74</t>
  </si>
  <si>
    <t>156.64</t>
  </si>
  <si>
    <t>156.82</t>
  </si>
  <si>
    <t>156.59</t>
  </si>
  <si>
    <t>157.34</t>
  </si>
  <si>
    <t>157.41</t>
  </si>
  <si>
    <t>158.04</t>
  </si>
  <si>
    <t>157.88</t>
  </si>
  <si>
    <t>157.98</t>
  </si>
  <si>
    <t>157.62</t>
  </si>
  <si>
    <t>157.12</t>
  </si>
  <si>
    <t>157.43</t>
  </si>
  <si>
    <t>156.94</t>
  </si>
  <si>
    <t>157.23</t>
  </si>
  <si>
    <t>157.18</t>
  </si>
  <si>
    <t>157.22</t>
  </si>
  <si>
    <t>157.44</t>
  </si>
  <si>
    <t>157.55</t>
  </si>
  <si>
    <t>157.36</t>
  </si>
  <si>
    <t>157.06</t>
  </si>
  <si>
    <t>157.14</t>
  </si>
  <si>
    <t>156.97</t>
  </si>
  <si>
    <t>157.27</t>
  </si>
  <si>
    <t>156.89</t>
  </si>
  <si>
    <t>156.31</t>
  </si>
  <si>
    <t>157.15</t>
  </si>
  <si>
    <t>157.87</t>
  </si>
  <si>
    <t>156.85</t>
  </si>
  <si>
    <t>157.03</t>
  </si>
  <si>
    <t>157.59</t>
  </si>
  <si>
    <t>157.70</t>
  </si>
  <si>
    <t>157.90</t>
  </si>
  <si>
    <t>157.76</t>
  </si>
  <si>
    <t>157.95</t>
  </si>
  <si>
    <t>158.13</t>
  </si>
  <si>
    <t>158.21</t>
  </si>
  <si>
    <t>158.27</t>
  </si>
  <si>
    <t>158.38</t>
  </si>
  <si>
    <t>158.42</t>
  </si>
  <si>
    <t>158.90</t>
  </si>
  <si>
    <t>159.12</t>
  </si>
  <si>
    <t>159.73</t>
  </si>
  <si>
    <t>159.79</t>
  </si>
  <si>
    <t>159.44</t>
  </si>
  <si>
    <t>159.56</t>
  </si>
  <si>
    <t>159.38</t>
  </si>
  <si>
    <t>159.37</t>
  </si>
  <si>
    <t>159.28</t>
  </si>
  <si>
    <t>159.41</t>
  </si>
  <si>
    <t>159.72</t>
  </si>
  <si>
    <t>160.20</t>
  </si>
  <si>
    <t>160.31</t>
  </si>
  <si>
    <t>160.40</t>
  </si>
  <si>
    <t>160.28</t>
  </si>
  <si>
    <t>160.00</t>
  </si>
  <si>
    <t>160.15</t>
  </si>
  <si>
    <t>160.87</t>
  </si>
  <si>
    <t>161.05</t>
  </si>
  <si>
    <t>161.22</t>
  </si>
  <si>
    <t>160.76</t>
  </si>
  <si>
    <t>159.94</t>
  </si>
  <si>
    <t>161.14</t>
  </si>
  <si>
    <t>160.82</t>
  </si>
  <si>
    <t>160.74</t>
  </si>
  <si>
    <t>161.29</t>
  </si>
  <si>
    <t>161.90</t>
  </si>
  <si>
    <t>162.29</t>
  </si>
  <si>
    <t>162.18</t>
  </si>
  <si>
    <t>162.11</t>
  </si>
  <si>
    <t>162.43</t>
  </si>
  <si>
    <t>162.76</t>
  </si>
  <si>
    <t>162.82</t>
  </si>
  <si>
    <t>162.89</t>
  </si>
  <si>
    <t>163.39</t>
  </si>
  <si>
    <t>163.49</t>
  </si>
  <si>
    <t>162.92</t>
  </si>
  <si>
    <t>163.06</t>
  </si>
  <si>
    <t>164.20</t>
  </si>
  <si>
    <t>163.47</t>
  </si>
  <si>
    <t>163.75</t>
  </si>
  <si>
    <t>163.44</t>
  </si>
  <si>
    <t>164.28</t>
  </si>
  <si>
    <t>164.12</t>
  </si>
  <si>
    <t>164.77</t>
  </si>
  <si>
    <t>164.78</t>
  </si>
  <si>
    <t>165.01</t>
  </si>
  <si>
    <t>165.67</t>
  </si>
  <si>
    <t>165.93</t>
  </si>
  <si>
    <t>165.55</t>
  </si>
  <si>
    <t>165.72</t>
  </si>
  <si>
    <t>165.09</t>
  </si>
  <si>
    <t>163.66</t>
  </si>
  <si>
    <t>164.43</t>
  </si>
  <si>
    <t>164.63</t>
  </si>
  <si>
    <t>164.73</t>
  </si>
  <si>
    <t>163.62</t>
  </si>
  <si>
    <t>164.08</t>
  </si>
  <si>
    <t>164.91</t>
  </si>
  <si>
    <t>165.41</t>
  </si>
  <si>
    <t>165.63</t>
  </si>
  <si>
    <t>165.46</t>
  </si>
  <si>
    <t>165.98</t>
  </si>
  <si>
    <t>166.09</t>
  </si>
  <si>
    <t>166.33</t>
  </si>
  <si>
    <t>166.19</t>
  </si>
  <si>
    <t>166.35</t>
  </si>
  <si>
    <t>166.24</t>
  </si>
  <si>
    <t>166.54</t>
  </si>
  <si>
    <t>166.42</t>
  </si>
  <si>
    <t>166.12</t>
  </si>
  <si>
    <t>164.36</t>
  </si>
  <si>
    <t>162.73</t>
  </si>
  <si>
    <t>160.97</t>
  </si>
  <si>
    <t>161.48</t>
  </si>
  <si>
    <t>163.04</t>
  </si>
  <si>
    <t>163.26</t>
  </si>
  <si>
    <t>164.44</t>
  </si>
  <si>
    <t>164.09</t>
  </si>
  <si>
    <t>164.42</t>
  </si>
  <si>
    <t>162.75</t>
  </si>
  <si>
    <t>160.68</t>
  </si>
  <si>
    <t>158.77</t>
  </si>
  <si>
    <t>159.39</t>
  </si>
  <si>
    <t>160.30</t>
  </si>
  <si>
    <t>158.79</t>
  </si>
  <si>
    <t>157.26</t>
  </si>
  <si>
    <t>157.63</t>
  </si>
  <si>
    <t>159.16</t>
  </si>
  <si>
    <t>159.84</t>
  </si>
  <si>
    <t>160.10</t>
  </si>
  <si>
    <t>160.61</t>
  </si>
  <si>
    <t>160.78</t>
  </si>
  <si>
    <t>161.09</t>
  </si>
  <si>
    <t>160.98</t>
  </si>
  <si>
    <t>161.11</t>
  </si>
  <si>
    <t>161.04</t>
  </si>
  <si>
    <t>161.21</t>
  </si>
  <si>
    <t>161.18</t>
  </si>
  <si>
    <t>161.41</t>
  </si>
  <si>
    <t>161.27</t>
  </si>
  <si>
    <t>161.51</t>
  </si>
  <si>
    <t>161.72</t>
  </si>
  <si>
    <t>161.79</t>
  </si>
  <si>
    <t>161.85</t>
  </si>
  <si>
    <t>161.87</t>
  </si>
  <si>
    <t>161.81</t>
  </si>
  <si>
    <t>161.80</t>
  </si>
  <si>
    <t>161.82</t>
  </si>
  <si>
    <t>161.93</t>
  </si>
  <si>
    <t>162.02</t>
  </si>
  <si>
    <t>162.21</t>
  </si>
  <si>
    <t>161.86</t>
  </si>
  <si>
    <t>161.91</t>
  </si>
  <si>
    <t>161.70</t>
  </si>
  <si>
    <t>162.14</t>
  </si>
  <si>
    <t>162.09</t>
  </si>
  <si>
    <t>161.94</t>
  </si>
  <si>
    <t>161.92</t>
  </si>
  <si>
    <t>162.05</t>
  </si>
  <si>
    <t>161.97</t>
  </si>
  <si>
    <t>162.07</t>
  </si>
  <si>
    <t>162.36</t>
  </si>
  <si>
    <t>162.26</t>
  </si>
  <si>
    <t>162.38</t>
  </si>
  <si>
    <t>162.56</t>
  </si>
  <si>
    <t>162.96</t>
  </si>
  <si>
    <t>162.86</t>
  </si>
  <si>
    <t>163.20</t>
  </si>
  <si>
    <t>163.41</t>
  </si>
  <si>
    <t>163.52</t>
  </si>
  <si>
    <t>163.01</t>
  </si>
  <si>
    <t>163.31</t>
  </si>
  <si>
    <t>163.79</t>
  </si>
  <si>
    <t>164.25</t>
  </si>
  <si>
    <t>162.67</t>
  </si>
  <si>
    <t>162.98</t>
  </si>
  <si>
    <t>163.32</t>
  </si>
  <si>
    <t>163.46</t>
  </si>
  <si>
    <t>163.36</t>
  </si>
  <si>
    <t>163.10</t>
  </si>
  <si>
    <t>163.09</t>
  </si>
  <si>
    <t>163.59</t>
  </si>
  <si>
    <t>163.69</t>
  </si>
  <si>
    <t>163.67</t>
  </si>
  <si>
    <t>164.01</t>
  </si>
  <si>
    <t>164.35</t>
  </si>
  <si>
    <t>164.26</t>
  </si>
  <si>
    <t>164.41</t>
  </si>
  <si>
    <t>164.45</t>
  </si>
  <si>
    <t>164.56</t>
  </si>
  <si>
    <t>164.40</t>
  </si>
  <si>
    <t>164.82</t>
  </si>
  <si>
    <t>165.21</t>
  </si>
  <si>
    <t>165.10</t>
  </si>
  <si>
    <t>165.22</t>
  </si>
  <si>
    <t>165.48</t>
  </si>
  <si>
    <t>165.71</t>
  </si>
  <si>
    <t>165.86</t>
  </si>
  <si>
    <t>165.59</t>
  </si>
  <si>
    <t>165.33</t>
  </si>
  <si>
    <t>165.53</t>
  </si>
  <si>
    <t>165.49</t>
  </si>
  <si>
    <t>166.08</t>
  </si>
  <si>
    <t>165.96</t>
  </si>
  <si>
    <t>165.95</t>
  </si>
  <si>
    <t>166.29</t>
  </si>
  <si>
    <t>166.75</t>
  </si>
  <si>
    <t>166.99</t>
  </si>
  <si>
    <t>166.81</t>
  </si>
  <si>
    <t>166.87</t>
  </si>
  <si>
    <t>166.38</t>
  </si>
  <si>
    <t>166.85</t>
  </si>
  <si>
    <t>166.58</t>
  </si>
  <si>
    <t>166.55</t>
  </si>
  <si>
    <t>166.93</t>
  </si>
  <si>
    <t>167.06</t>
  </si>
  <si>
    <t>166.74</t>
  </si>
  <si>
    <t>166.96</t>
  </si>
  <si>
    <t>167.03</t>
  </si>
  <si>
    <t>167.53</t>
  </si>
  <si>
    <t>167.54</t>
  </si>
  <si>
    <t>167.93</t>
  </si>
  <si>
    <t>167.63</t>
  </si>
  <si>
    <t>168.21</t>
  </si>
  <si>
    <t>167.88</t>
  </si>
  <si>
    <t>168.58</t>
  </si>
  <si>
    <t>169.46</t>
  </si>
  <si>
    <t>167.61</t>
  </si>
  <si>
    <t>166.92</t>
  </si>
  <si>
    <t>165.83</t>
  </si>
  <si>
    <t>166.10</t>
  </si>
  <si>
    <t>166.76</t>
  </si>
  <si>
    <t>166.94</t>
  </si>
  <si>
    <t>166.84</t>
  </si>
  <si>
    <t>166.63</t>
  </si>
  <si>
    <t>166.21</t>
  </si>
  <si>
    <t>165.15</t>
  </si>
  <si>
    <t>165.70</t>
  </si>
  <si>
    <t>166.25</t>
  </si>
  <si>
    <t>166.17</t>
  </si>
  <si>
    <t>166.39</t>
  </si>
  <si>
    <t>166.16</t>
  </si>
  <si>
    <t>165.92</t>
  </si>
  <si>
    <t>166.26</t>
  </si>
  <si>
    <t>167.04</t>
  </si>
  <si>
    <t>167.64</t>
  </si>
  <si>
    <t>167.51</t>
  </si>
  <si>
    <t>167.30</t>
  </si>
  <si>
    <t>167.11</t>
  </si>
  <si>
    <t>167.09</t>
  </si>
  <si>
    <t>166.51</t>
  </si>
  <si>
    <t>166.53</t>
  </si>
  <si>
    <t>166.31</t>
  </si>
  <si>
    <t>166.01</t>
  </si>
  <si>
    <t>164.72</t>
  </si>
  <si>
    <t>164.18</t>
  </si>
  <si>
    <t>164.76</t>
  </si>
  <si>
    <t>165.36</t>
  </si>
  <si>
    <t>166.72</t>
  </si>
  <si>
    <t>167.26</t>
  </si>
  <si>
    <t>167.22</t>
  </si>
  <si>
    <t>167.38</t>
  </si>
  <si>
    <t>167.50</t>
  </si>
  <si>
    <t>167.86</t>
  </si>
  <si>
    <t>168.22</t>
  </si>
  <si>
    <t>168.34</t>
  </si>
  <si>
    <t>168.00</t>
  </si>
  <si>
    <t>168.25</t>
  </si>
  <si>
    <t>168.31</t>
  </si>
  <si>
    <t>168.68</t>
  </si>
  <si>
    <t>168.65</t>
  </si>
  <si>
    <t>169.03</t>
  </si>
  <si>
    <t>168.70</t>
  </si>
  <si>
    <t>168.64</t>
  </si>
  <si>
    <t>168.93</t>
  </si>
  <si>
    <t>169.02</t>
  </si>
  <si>
    <t>169.16</t>
  </si>
  <si>
    <t>169.38</t>
  </si>
  <si>
    <t>169.01</t>
  </si>
  <si>
    <t>169.28</t>
  </si>
  <si>
    <t>169.36</t>
  </si>
  <si>
    <t>168.98</t>
  </si>
  <si>
    <t>169.45</t>
  </si>
  <si>
    <t>169.67</t>
  </si>
  <si>
    <t>169.44</t>
  </si>
  <si>
    <t>169.25</t>
  </si>
  <si>
    <t>169.33</t>
  </si>
  <si>
    <t>169.37</t>
  </si>
  <si>
    <t>169.55</t>
  </si>
  <si>
    <t>169.85</t>
  </si>
  <si>
    <t>169.81</t>
  </si>
  <si>
    <t>170.01</t>
  </si>
  <si>
    <t>170.13</t>
  </si>
  <si>
    <t>169.76</t>
  </si>
  <si>
    <t>170.11</t>
  </si>
  <si>
    <t>170.25</t>
  </si>
  <si>
    <t>170.77</t>
  </si>
  <si>
    <t>171.08</t>
  </si>
  <si>
    <t>170.41</t>
  </si>
  <si>
    <t>170.64</t>
  </si>
  <si>
    <t>170.90</t>
  </si>
  <si>
    <t>170.94</t>
  </si>
  <si>
    <t>170.38</t>
  </si>
  <si>
    <t>171.94</t>
  </si>
  <si>
    <t>100.10</t>
  </si>
  <si>
    <t>100.05</t>
  </si>
  <si>
    <t>100.13</t>
  </si>
  <si>
    <t>100.41</t>
  </si>
  <si>
    <t>100.38</t>
  </si>
  <si>
    <t>100.12</t>
  </si>
  <si>
    <t>100.36</t>
  </si>
  <si>
    <t>100.40</t>
  </si>
  <si>
    <t>100.93</t>
  </si>
  <si>
    <t>100.87</t>
  </si>
  <si>
    <t>100.60</t>
  </si>
  <si>
    <t>100.64</t>
  </si>
  <si>
    <t>100.59</t>
  </si>
  <si>
    <t>100.53</t>
  </si>
  <si>
    <t>100.43</t>
  </si>
  <si>
    <t>100.24</t>
  </si>
  <si>
    <t>100.04</t>
  </si>
  <si>
    <t>99.33</t>
  </si>
  <si>
    <t>98.90</t>
  </si>
  <si>
    <t>98.82</t>
  </si>
  <si>
    <t>98.77</t>
  </si>
  <si>
    <t>97.35</t>
  </si>
  <si>
    <t>96.58</t>
  </si>
  <si>
    <t>96.99</t>
  </si>
  <si>
    <t>96.86</t>
  </si>
  <si>
    <t>97.76</t>
  </si>
  <si>
    <t>97.49</t>
  </si>
  <si>
    <t>96.98</t>
  </si>
  <si>
    <t>96.91</t>
  </si>
  <si>
    <t>96.84</t>
  </si>
  <si>
    <t>96.76</t>
  </si>
  <si>
    <t>96.29</t>
  </si>
  <si>
    <t>96.56</t>
  </si>
  <si>
    <t>96.52</t>
  </si>
  <si>
    <t>96.39</t>
  </si>
  <si>
    <t>96.59</t>
  </si>
  <si>
    <t>96.61</t>
  </si>
  <si>
    <t>96.63</t>
  </si>
  <si>
    <t>96.72</t>
  </si>
  <si>
    <t>96.73</t>
  </si>
  <si>
    <t>97.08</t>
  </si>
  <si>
    <t>96.85</t>
  </si>
  <si>
    <t>96.83</t>
  </si>
  <si>
    <t>96.65</t>
  </si>
  <si>
    <t>96.69</t>
  </si>
  <si>
    <t>96.96</t>
  </si>
  <si>
    <t>97.17</t>
  </si>
  <si>
    <t>96.90</t>
  </si>
  <si>
    <t>96.44</t>
  </si>
  <si>
    <t>96.82</t>
  </si>
  <si>
    <t>97.34</t>
  </si>
  <si>
    <t>97.38</t>
  </si>
  <si>
    <t>97.54</t>
  </si>
  <si>
    <t>97.90</t>
  </si>
  <si>
    <t>97.40</t>
  </si>
  <si>
    <t>97.43</t>
  </si>
  <si>
    <t>97.18</t>
  </si>
  <si>
    <t>97.14</t>
  </si>
  <si>
    <t>97.01</t>
  </si>
  <si>
    <t>97.09</t>
  </si>
  <si>
    <t>97.04</t>
  </si>
  <si>
    <t>96.75</t>
  </si>
  <si>
    <t>96.51</t>
  </si>
  <si>
    <t>96.45</t>
  </si>
  <si>
    <t>96.11</t>
  </si>
  <si>
    <t>95.71</t>
  </si>
  <si>
    <t>95.39</t>
  </si>
  <si>
    <t>95.99</t>
  </si>
  <si>
    <t>96.28</t>
  </si>
  <si>
    <t>96.92</t>
  </si>
  <si>
    <t>97.05</t>
  </si>
  <si>
    <t>97.32</t>
  </si>
  <si>
    <t>97.28</t>
  </si>
  <si>
    <t>97.31</t>
  </si>
  <si>
    <t>97.52</t>
  </si>
  <si>
    <t>97.58</t>
  </si>
  <si>
    <t>97.69</t>
  </si>
  <si>
    <t>97.65</t>
  </si>
  <si>
    <t>97.72</t>
  </si>
  <si>
    <t>97.77</t>
  </si>
  <si>
    <t>97.63</t>
  </si>
  <si>
    <t>97.64</t>
  </si>
  <si>
    <t>97.86</t>
  </si>
  <si>
    <t>97.97</t>
  </si>
  <si>
    <t>97.80</t>
  </si>
  <si>
    <t>97.93</t>
  </si>
  <si>
    <t>98.43</t>
  </si>
  <si>
    <t>98.52</t>
  </si>
  <si>
    <t>98.56</t>
  </si>
  <si>
    <t>98.76</t>
  </si>
  <si>
    <t>98.72</t>
  </si>
  <si>
    <t>98.62</t>
  </si>
  <si>
    <t>98.67</t>
  </si>
  <si>
    <t>98.60</t>
  </si>
  <si>
    <t>98.83</t>
  </si>
  <si>
    <t>98.73</t>
  </si>
  <si>
    <t>98.94</t>
  </si>
  <si>
    <t>99.17</t>
  </si>
  <si>
    <t>99.37</t>
  </si>
  <si>
    <t>99.15</t>
  </si>
  <si>
    <t>99.44</t>
  </si>
  <si>
    <t>99.43</t>
  </si>
  <si>
    <t>99.56</t>
  </si>
  <si>
    <t>99.34</t>
  </si>
  <si>
    <t>99.12</t>
  </si>
  <si>
    <t>99.18</t>
  </si>
  <si>
    <t>99.16</t>
  </si>
  <si>
    <t>99.05</t>
  </si>
  <si>
    <t>98.81</t>
  </si>
  <si>
    <t>98.78</t>
  </si>
  <si>
    <t>99.30</t>
  </si>
  <si>
    <t>99.50</t>
  </si>
  <si>
    <t>99.75</t>
  </si>
  <si>
    <t>99.64</t>
  </si>
  <si>
    <t>100.01</t>
  </si>
  <si>
    <t>100.14</t>
  </si>
  <si>
    <t>100.11</t>
  </si>
  <si>
    <t>100.29</t>
  </si>
  <si>
    <t>100.58</t>
  </si>
  <si>
    <t>99.96</t>
  </si>
  <si>
    <t>100.08</t>
  </si>
  <si>
    <t>100.30</t>
  </si>
  <si>
    <t>100.27</t>
  </si>
  <si>
    <t>100.37</t>
  </si>
  <si>
    <t>100.51</t>
  </si>
  <si>
    <t>100.68</t>
  </si>
  <si>
    <t>100.74</t>
  </si>
  <si>
    <t>100.76</t>
  </si>
  <si>
    <t>101.07</t>
  </si>
  <si>
    <t>101.03</t>
  </si>
  <si>
    <t>100.84</t>
  </si>
  <si>
    <t>101.13</t>
  </si>
  <si>
    <t>100.96</t>
  </si>
  <si>
    <t>101.06</t>
  </si>
  <si>
    <t>100.99</t>
  </si>
  <si>
    <t>100.92</t>
  </si>
  <si>
    <t>101.04</t>
  </si>
  <si>
    <t>101.31</t>
  </si>
  <si>
    <t>101.19</t>
  </si>
  <si>
    <t>101.54</t>
  </si>
  <si>
    <t>101.57</t>
  </si>
  <si>
    <t>101.64</t>
  </si>
  <si>
    <t>101.23</t>
  </si>
  <si>
    <t>101.08</t>
  </si>
  <si>
    <t>101.65</t>
  </si>
  <si>
    <t>101.42</t>
  </si>
  <si>
    <t>100.55</t>
  </si>
  <si>
    <t>100.45</t>
  </si>
  <si>
    <t>100.65</t>
  </si>
  <si>
    <t>99.61</t>
  </si>
  <si>
    <t>100.03</t>
  </si>
  <si>
    <t>99.98</t>
  </si>
  <si>
    <t>100.23</t>
  </si>
  <si>
    <t>99.93</t>
  </si>
  <si>
    <t>100.17</t>
  </si>
  <si>
    <t>100.16</t>
  </si>
  <si>
    <t>100.42</t>
  </si>
  <si>
    <t>100.82</t>
  </si>
  <si>
    <t>100.98</t>
  </si>
  <si>
    <t>101.59</t>
  </si>
  <si>
    <t>101.50</t>
  </si>
  <si>
    <t>101.53</t>
  </si>
  <si>
    <t>101.80</t>
  </si>
  <si>
    <t>101.69</t>
  </si>
  <si>
    <t>102.18</t>
  </si>
  <si>
    <t>102.49</t>
  </si>
  <si>
    <t>102.89</t>
  </si>
  <si>
    <t>102.60</t>
  </si>
  <si>
    <t>102.70</t>
  </si>
  <si>
    <t>102.47</t>
  </si>
  <si>
    <t>102.25</t>
  </si>
  <si>
    <t>102.58</t>
  </si>
  <si>
    <t>102.78</t>
  </si>
  <si>
    <t>102.96</t>
  </si>
  <si>
    <t>103.17</t>
  </si>
  <si>
    <t>103.48</t>
  </si>
  <si>
    <t>103.05</t>
  </si>
  <si>
    <t>102.72</t>
  </si>
  <si>
    <t>102.95</t>
  </si>
  <si>
    <t>102.74</t>
  </si>
  <si>
    <t>102.94</t>
  </si>
  <si>
    <t>103.01</t>
  </si>
  <si>
    <t>102.77</t>
  </si>
  <si>
    <t>102.80</t>
  </si>
  <si>
    <t>102.98</t>
  </si>
  <si>
    <t>103.23</t>
  </si>
  <si>
    <t>102.85</t>
  </si>
  <si>
    <t>103.07</t>
  </si>
  <si>
    <t>103.04</t>
  </si>
  <si>
    <t>102.91</t>
  </si>
  <si>
    <t>102.73</t>
  </si>
  <si>
    <t>102.44</t>
  </si>
  <si>
    <t>101.49</t>
  </si>
  <si>
    <t>102.04</t>
  </si>
  <si>
    <t>102.11</t>
  </si>
  <si>
    <t>102.37</t>
  </si>
  <si>
    <t>102.31</t>
  </si>
  <si>
    <t>102.08</t>
  </si>
  <si>
    <t>102.50</t>
  </si>
  <si>
    <t>102.71</t>
  </si>
  <si>
    <t>102.64</t>
  </si>
  <si>
    <t>102.75</t>
  </si>
  <si>
    <t>102.46</t>
  </si>
  <si>
    <t>102.61</t>
  </si>
  <si>
    <t>102.87</t>
  </si>
  <si>
    <t>103.03</t>
  </si>
  <si>
    <t>103.46</t>
  </si>
  <si>
    <t>103.35</t>
  </si>
  <si>
    <t>103.40</t>
  </si>
  <si>
    <t>103.16</t>
  </si>
  <si>
    <t>102.83</t>
  </si>
  <si>
    <t>103.02</t>
  </si>
  <si>
    <t>102.67</t>
  </si>
  <si>
    <t>102.81</t>
  </si>
  <si>
    <t>103.00</t>
  </si>
  <si>
    <t>102.84</t>
  </si>
  <si>
    <t>102.65</t>
  </si>
  <si>
    <t>102.27</t>
  </si>
  <si>
    <t>103.27</t>
  </si>
  <si>
    <t>102.59</t>
  </si>
  <si>
    <t>102.69</t>
  </si>
  <si>
    <t>103.09</t>
  </si>
  <si>
    <t>103.22</t>
  </si>
  <si>
    <t>103.11</t>
  </si>
  <si>
    <t>103.34</t>
  </si>
  <si>
    <t>103.38</t>
  </si>
  <si>
    <t>103.41</t>
  </si>
  <si>
    <t>103.49</t>
  </si>
  <si>
    <t>103.80</t>
  </si>
  <si>
    <t>103.93</t>
  </si>
  <si>
    <t>104.32</t>
  </si>
  <si>
    <t>104.36</t>
  </si>
  <si>
    <t>104.12</t>
  </si>
  <si>
    <t>104.19</t>
  </si>
  <si>
    <t>104.06</t>
  </si>
  <si>
    <t>104.05</t>
  </si>
  <si>
    <t>103.98</t>
  </si>
  <si>
    <t>104.03</t>
  </si>
  <si>
    <t>104.25</t>
  </si>
  <si>
    <t>104.55</t>
  </si>
  <si>
    <t>104.62</t>
  </si>
  <si>
    <t>104.67</t>
  </si>
  <si>
    <t>104.58</t>
  </si>
  <si>
    <t>104.39</t>
  </si>
  <si>
    <t>104.48</t>
  </si>
  <si>
    <t>104.94</t>
  </si>
  <si>
    <t>105.05</t>
  </si>
  <si>
    <t>105.15</t>
  </si>
  <si>
    <t>104.84</t>
  </si>
  <si>
    <t>104.34</t>
  </si>
  <si>
    <t>104.30</t>
  </si>
  <si>
    <t>104.59</t>
  </si>
  <si>
    <t>105.06</t>
  </si>
  <si>
    <t>104.78</t>
  </si>
  <si>
    <t>105.13</t>
  </si>
  <si>
    <t>105.52</t>
  </si>
  <si>
    <t>105.76</t>
  </si>
  <si>
    <t>106.12</t>
  </si>
  <si>
    <t>106.11</t>
  </si>
  <si>
    <t>106.05</t>
  </si>
  <si>
    <t>106.26</t>
  </si>
  <si>
    <t>106.47</t>
  </si>
  <si>
    <t>106.50</t>
  </si>
  <si>
    <t>106.53</t>
  </si>
  <si>
    <t>106.85</t>
  </si>
  <si>
    <t>106.91</t>
  </si>
  <si>
    <t>106.61</t>
  </si>
  <si>
    <t>107.35</t>
  </si>
  <si>
    <t>106.87</t>
  </si>
  <si>
    <t>107.04</t>
  </si>
  <si>
    <t>106.83</t>
  </si>
  <si>
    <t>107.02</t>
  </si>
  <si>
    <t>107.37</t>
  </si>
  <si>
    <t>107.25</t>
  </si>
  <si>
    <t>107.67</t>
  </si>
  <si>
    <t>107.81</t>
  </si>
  <si>
    <t>108.23</t>
  </si>
  <si>
    <t>108.39</t>
  </si>
  <si>
    <t>108.14</t>
  </si>
  <si>
    <t>108.21</t>
  </si>
  <si>
    <t>107.49</t>
  </si>
  <si>
    <t>107.55</t>
  </si>
  <si>
    <t>106.82</t>
  </si>
  <si>
    <t>107.11</t>
  </si>
  <si>
    <t>107.65</t>
  </si>
  <si>
    <t>107.96</t>
  </si>
  <si>
    <t>108.10</t>
  </si>
  <si>
    <t>107.98</t>
  </si>
  <si>
    <t>108.32</t>
  </si>
  <si>
    <t>108.38</t>
  </si>
  <si>
    <t>108.52</t>
  </si>
  <si>
    <t>108.43</t>
  </si>
  <si>
    <t>108.53</t>
  </si>
  <si>
    <t>108.45</t>
  </si>
  <si>
    <t>108.63</t>
  </si>
  <si>
    <t>108.55</t>
  </si>
  <si>
    <t>108.35</t>
  </si>
  <si>
    <t>107.19</t>
  </si>
  <si>
    <t>106.22</t>
  </si>
  <si>
    <t>104.96</t>
  </si>
  <si>
    <t>105.29</t>
  </si>
  <si>
    <t>106.30</t>
  </si>
  <si>
    <t>106.44</t>
  </si>
  <si>
    <t>107.20</t>
  </si>
  <si>
    <t>106.97</t>
  </si>
  <si>
    <t>107.18</t>
  </si>
  <si>
    <t>106.18</t>
  </si>
  <si>
    <t>106.09</t>
  </si>
  <si>
    <t>104.74</t>
  </si>
  <si>
    <t>103.89</t>
  </si>
  <si>
    <t>104.47</t>
  </si>
  <si>
    <t>102.48</t>
  </si>
  <si>
    <t>103.72</t>
  </si>
  <si>
    <t>104.15</t>
  </si>
  <si>
    <t>104.21</t>
  </si>
  <si>
    <t>104.33</t>
  </si>
  <si>
    <t>104.66</t>
  </si>
  <si>
    <t>104.89</t>
  </si>
  <si>
    <t>104.97</t>
  </si>
  <si>
    <t>104.91</t>
  </si>
  <si>
    <t>105.02</t>
  </si>
  <si>
    <t>104.99</t>
  </si>
  <si>
    <t>105.14</t>
  </si>
  <si>
    <t>105.03</t>
  </si>
  <si>
    <t>105.19</t>
  </si>
  <si>
    <t>105.32</t>
  </si>
  <si>
    <t>105.36</t>
  </si>
  <si>
    <t>105.40</t>
  </si>
  <si>
    <t>105.35</t>
  </si>
  <si>
    <t>105.43</t>
  </si>
  <si>
    <t>105.33</t>
  </si>
  <si>
    <t>105.48</t>
  </si>
  <si>
    <t>105.60</t>
  </si>
  <si>
    <t>105.47</t>
  </si>
  <si>
    <t>105.37</t>
  </si>
  <si>
    <t>105.39</t>
  </si>
  <si>
    <t>105.25</t>
  </si>
  <si>
    <t>105.54</t>
  </si>
  <si>
    <t>105.51</t>
  </si>
  <si>
    <t>105.41</t>
  </si>
  <si>
    <t>105.42</t>
  </si>
  <si>
    <t>105.67</t>
  </si>
  <si>
    <t>105.68</t>
  </si>
  <si>
    <t>105.80</t>
  </si>
  <si>
    <t>105.99</t>
  </si>
  <si>
    <t>106.21</t>
  </si>
  <si>
    <t>106.35</t>
  </si>
  <si>
    <t>106.41</t>
  </si>
  <si>
    <t>106.36</t>
  </si>
  <si>
    <t>106.08</t>
  </si>
  <si>
    <t>106.27</t>
  </si>
  <si>
    <t>106.56</t>
  </si>
  <si>
    <t>106.58</t>
  </si>
  <si>
    <t>106.88</t>
  </si>
  <si>
    <t>105.85</t>
  </si>
  <si>
    <t>106.07</t>
  </si>
  <si>
    <t>106.16</t>
  </si>
  <si>
    <t>106.38</t>
  </si>
  <si>
    <t>106.40</t>
  </si>
  <si>
    <t>106.51</t>
  </si>
  <si>
    <t>106.60</t>
  </si>
  <si>
    <t>106.23</t>
  </si>
  <si>
    <t>106.45</t>
  </si>
  <si>
    <t>106.55</t>
  </si>
  <si>
    <t>106.98</t>
  </si>
  <si>
    <t>107.08</t>
  </si>
  <si>
    <t>107.10</t>
  </si>
  <si>
    <t>107.17</t>
  </si>
  <si>
    <t>107.06</t>
  </si>
  <si>
    <t>107.34</t>
  </si>
  <si>
    <t>107.59</t>
  </si>
  <si>
    <t>107.52</t>
  </si>
  <si>
    <t>107.76</t>
  </si>
  <si>
    <t>107.91</t>
  </si>
  <si>
    <t>108.01</t>
  </si>
  <si>
    <t>107.83</t>
  </si>
  <si>
    <t>107.66</t>
  </si>
  <si>
    <t>107.79</t>
  </si>
  <si>
    <t>107.77</t>
  </si>
  <si>
    <t>108.07</t>
  </si>
  <si>
    <t>108.06</t>
  </si>
  <si>
    <t>108.28</t>
  </si>
  <si>
    <t>108.58</t>
  </si>
  <si>
    <t>108.74</t>
  </si>
  <si>
    <t>108.61</t>
  </si>
  <si>
    <t>108.65</t>
  </si>
  <si>
    <t>108.33</t>
  </si>
  <si>
    <t>108.64</t>
  </si>
  <si>
    <t>108.46</t>
  </si>
  <si>
    <t>108.44</t>
  </si>
  <si>
    <t>108.68</t>
  </si>
  <si>
    <t>108.77</t>
  </si>
  <si>
    <t>108.56</t>
  </si>
  <si>
    <t>108.70</t>
  </si>
  <si>
    <t>108.75</t>
  </si>
  <si>
    <t>109.07</t>
  </si>
  <si>
    <t>109.08</t>
  </si>
  <si>
    <t>109.33</t>
  </si>
  <si>
    <t>109.13</t>
  </si>
  <si>
    <t>109.51</t>
  </si>
  <si>
    <t>109.29</t>
  </si>
  <si>
    <t>109.75</t>
  </si>
  <si>
    <t>110.32</t>
  </si>
  <si>
    <t>109.11</t>
  </si>
  <si>
    <t>108.66</t>
  </si>
  <si>
    <t>107.95</t>
  </si>
  <si>
    <t>108.54</t>
  </si>
  <si>
    <t>108.13</t>
  </si>
  <si>
    <t>108.67</t>
  </si>
  <si>
    <t>108.60</t>
  </si>
  <si>
    <t>108.47</t>
  </si>
  <si>
    <t>108.19</t>
  </si>
  <si>
    <t>107.87</t>
  </si>
  <si>
    <t>108.03</t>
  </si>
  <si>
    <t>107.57</t>
  </si>
  <si>
    <t>107.61</t>
  </si>
  <si>
    <t>107.92</t>
  </si>
  <si>
    <t>108.37</t>
  </si>
  <si>
    <t>108.18</t>
  </si>
  <si>
    <t>108.22</t>
  </si>
  <si>
    <t>108.29</t>
  </si>
  <si>
    <t>108.79</t>
  </si>
  <si>
    <t>109.18</t>
  </si>
  <si>
    <t>109.09</t>
  </si>
  <si>
    <t>108.96</t>
  </si>
  <si>
    <t>108.83</t>
  </si>
  <si>
    <t>108.82</t>
  </si>
  <si>
    <t>108.31</t>
  </si>
  <si>
    <t>108.27</t>
  </si>
  <si>
    <t>108.11</t>
  </si>
  <si>
    <t>107.27</t>
  </si>
  <si>
    <t>107.30</t>
  </si>
  <si>
    <t>107.29</t>
  </si>
  <si>
    <t>107.68</t>
  </si>
  <si>
    <t>108.57</t>
  </si>
  <si>
    <t>108.92</t>
  </si>
  <si>
    <t>108.89</t>
  </si>
  <si>
    <t>108.78</t>
  </si>
  <si>
    <t>108.99</t>
  </si>
  <si>
    <t>109.30</t>
  </si>
  <si>
    <t>109.53</t>
  </si>
  <si>
    <t>109.61</t>
  </si>
  <si>
    <t>109.39</t>
  </si>
  <si>
    <t>109.55</t>
  </si>
  <si>
    <t>109.58</t>
  </si>
  <si>
    <t>109.59</t>
  </si>
  <si>
    <t>109.83</t>
  </si>
  <si>
    <t>109.81</t>
  </si>
  <si>
    <t>110.05</t>
  </si>
  <si>
    <t>109.76</t>
  </si>
  <si>
    <t>109.80</t>
  </si>
  <si>
    <t>109.98</t>
  </si>
  <si>
    <t>110.04</t>
  </si>
  <si>
    <t>110.13</t>
  </si>
  <si>
    <t>110.27</t>
  </si>
  <si>
    <t>110.03</t>
  </si>
  <si>
    <t>110.21</t>
  </si>
  <si>
    <t>110.26</t>
  </si>
  <si>
    <t>110.16</t>
  </si>
  <si>
    <t>110.47</t>
  </si>
  <si>
    <t>110.61</t>
  </si>
  <si>
    <t>110.46</t>
  </si>
  <si>
    <t>110.33</t>
  </si>
  <si>
    <t>110.38</t>
  </si>
  <si>
    <t>110.41</t>
  </si>
  <si>
    <t>110.53</t>
  </si>
  <si>
    <t>110.72</t>
  </si>
  <si>
    <t>110.69</t>
  </si>
  <si>
    <t>110.82</t>
  </si>
  <si>
    <t>110.90</t>
  </si>
  <si>
    <t>110.65</t>
  </si>
  <si>
    <t>110.88</t>
  </si>
  <si>
    <t>110.98</t>
  </si>
  <si>
    <t>111.31</t>
  </si>
  <si>
    <t>111.51</t>
  </si>
  <si>
    <t>111.08</t>
  </si>
  <si>
    <t>111.23</t>
  </si>
  <si>
    <t>111.39</t>
  </si>
  <si>
    <t>111.42</t>
  </si>
  <si>
    <t>111.05</t>
  </si>
  <si>
    <t>112.06</t>
  </si>
  <si>
    <t>Datae</t>
  </si>
  <si>
    <t>As</t>
  </si>
  <si>
    <t>Value</t>
  </si>
  <si>
    <t>old</t>
  </si>
  <si>
    <t>new</t>
  </si>
  <si>
    <t>New</t>
  </si>
  <si>
    <t>Old</t>
  </si>
  <si>
    <t>Income Start Age (Minimum 62)</t>
  </si>
  <si>
    <t>RUN IF</t>
  </si>
  <si>
    <t>Target cell</t>
  </si>
  <si>
    <t>Target value</t>
  </si>
  <si>
    <t>By changing</t>
  </si>
  <si>
    <t>Max change</t>
  </si>
  <si>
    <t>Skip PreCalc</t>
  </si>
  <si>
    <t>Do PostCalc</t>
  </si>
  <si>
    <t>Calc Mode</t>
  </si>
  <si>
    <t>Enable Log</t>
  </si>
  <si>
    <t>Post Solve Outputs</t>
  </si>
  <si>
    <t>Post Solve Output Step</t>
  </si>
  <si>
    <t>Desired Withdrawal</t>
  </si>
  <si>
    <t>Whether to run the solver</t>
  </si>
  <si>
    <r>
      <t>Goal Seek: Set cell.</t>
    </r>
    <r>
      <rPr>
        <sz val="11"/>
        <color rgb="FFFF0000"/>
        <rFont val="Calibri"/>
        <family val="2"/>
        <scheme val="minor"/>
      </rPr>
      <t xml:space="preserve"> If this variable and Xsolve block are not in the same tab, please name the "Target cell" first with name manger.</t>
    </r>
  </si>
  <si>
    <t>Goal Seek: Target to value, keep at 0, and solve for difference. Please do not change this figure.</t>
  </si>
  <si>
    <r>
      <t xml:space="preserve">Goal Seek: By changing cell. </t>
    </r>
    <r>
      <rPr>
        <sz val="11"/>
        <color rgb="FFFF0000"/>
        <rFont val="Calibri"/>
        <family val="2"/>
        <scheme val="minor"/>
      </rPr>
      <t>If this variable and Xsolve block are not in the same tab, please name the "By changing" cell first with name manager.</t>
    </r>
  </si>
  <si>
    <t>Maximum acceptable value of |Solve result - Target value| within max iterations , default 1</t>
  </si>
  <si>
    <t>Maximum iterations, default 25</t>
  </si>
  <si>
    <t>Recalculate spreadsheet before solve, default FALSE</t>
  </si>
  <si>
    <t>Recalculate spreadsheet after solve, default TRUE</t>
  </si>
  <si>
    <t>Initial guess value</t>
  </si>
  <si>
    <t>Solve algorithm, default SECANT</t>
  </si>
  <si>
    <t>can leave these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</si>
</sst>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* #,##0.00_-;\-* #,##0.00_-;_-* &quot;-&quot;??_-;_-@_-"/>
    <numFmt numFmtId="165" formatCode="_-* #,##0_-;\-* #,##0_-;_-* &quot;-&quot;??_-;_-@_-"/>
    <numFmt numFmtId="166" formatCode="[$-F800]dddd\,\ mmmm\ dd\,\ yyyy"/>
    <numFmt numFmtId="167" formatCode="dd/mm/yyyy;@"/>
    <numFmt numFmtId="168" formatCode="0.0%"/>
    <numFmt numFmtId="169" formatCode="_-* #,##0.00000_-;\-* #,##0.00000_-;_-* &quot;-&quot;??_-;_-@_-"/>
    <numFmt numFmtId="170" formatCode="0.000%"/>
    <numFmt numFmtId="171" formatCode="_(* #,##0.00000_);_(* \(#,##0.00000\);_(* &quot;-&quot;??_);_(@_)"/>
  </numFmts>
  <fonts count="2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Helv"/>
      <family val="2"/>
    </font>
    <font>
      <sz val="11"/>
      <color theme="1"/>
      <name val="GT Walsheim"/>
      <family val="3"/>
    </font>
    <font>
      <sz val="26"/>
      <color theme="1"/>
      <name val="GT Walsheim"/>
      <family val="3"/>
    </font>
    <font>
      <sz val="16"/>
      <color theme="1"/>
      <name val="GT Walsheim"/>
      <family val="3"/>
    </font>
    <font>
      <b/>
      <sz val="26"/>
      <color theme="1"/>
      <name val="GT Walsheim"/>
      <family val="3"/>
    </font>
    <font>
      <sz val="8"/>
      <color theme="1"/>
      <name val="GT Walsheim"/>
      <family val="3"/>
    </font>
    <font>
      <b/>
      <sz val="11"/>
      <color theme="1"/>
      <name val="GT Walsheim"/>
      <family val="3"/>
    </font>
    <font>
      <b/>
      <sz val="12"/>
      <color theme="1"/>
      <name val="GT Walsheim"/>
      <family val="3"/>
    </font>
    <font>
      <b/>
      <sz val="11"/>
      <color theme="8"/>
      <name val="GT Walsheim"/>
      <family val="3"/>
    </font>
    <font>
      <sz val="8"/>
      <name val="Calibri"/>
      <family val="3"/>
      <charset val="129"/>
      <scheme val="minor"/>
    </font>
    <font>
      <sz val="26"/>
      <color theme="4"/>
      <name val="GT Walsheim Medium"/>
      <family val="3"/>
    </font>
    <font>
      <u/>
      <sz val="11"/>
      <color theme="10"/>
      <name val="Calibri"/>
      <family val="2"/>
      <scheme val="minor"/>
    </font>
    <font>
      <b/>
      <sz val="11"/>
      <color theme="4"/>
      <name val="GT Walsheim"/>
      <family val="3"/>
    </font>
    <font>
      <b/>
      <u/>
      <sz val="11"/>
      <color theme="10"/>
      <name val="GT Walsheim"/>
      <family val="3"/>
    </font>
    <font>
      <b/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GT Walsheim"/>
      <family val="3"/>
    </font>
    <font>
      <b/>
      <sz val="11"/>
      <color theme="8" tint="-0.34998626667073579"/>
      <name val="GT Walsheim"/>
      <family val="3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8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CC99"/>
      </patternFill>
    </fill>
  </fills>
  <borders count="31">
    <border>
      <left/>
      <right/>
      <top/>
      <bottom/>
      <diagonal/>
    </border>
    <border>
      <left/>
      <right style="thin">
        <color rgb="FFD4E2F3"/>
      </right>
      <top style="thin">
        <color rgb="FFD4E2F3"/>
      </top>
      <bottom/>
      <diagonal/>
    </border>
    <border>
      <left style="thick">
        <color theme="8"/>
      </left>
      <right style="thick">
        <color theme="8"/>
      </right>
      <top style="thick">
        <color theme="8"/>
      </top>
      <bottom style="thick">
        <color theme="8"/>
      </bottom>
      <diagonal/>
    </border>
    <border>
      <left style="thick">
        <color theme="8"/>
      </left>
      <right/>
      <top style="thick">
        <color theme="8"/>
      </top>
      <bottom style="thick">
        <color theme="8"/>
      </bottom>
      <diagonal/>
    </border>
    <border>
      <left style="thick">
        <color theme="8"/>
      </left>
      <right style="thick">
        <color theme="8"/>
      </right>
      <top style="thick">
        <color theme="8"/>
      </top>
      <bottom/>
      <diagonal/>
    </border>
    <border>
      <left style="medium">
        <color theme="8"/>
      </left>
      <right/>
      <top style="medium">
        <color theme="8"/>
      </top>
      <bottom style="medium">
        <color theme="8"/>
      </bottom>
      <diagonal/>
    </border>
    <border>
      <left/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/>
      <right/>
      <top style="thin">
        <color theme="4" tint="0.59999389629810485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ck">
        <color theme="4" tint="0.59999389629810485"/>
      </left>
      <right style="thick">
        <color theme="4" tint="0.59999389629810485"/>
      </right>
      <top/>
      <bottom/>
      <diagonal/>
    </border>
    <border>
      <left style="thick">
        <color theme="4" tint="0.59999389629810485"/>
      </left>
      <right style="thick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8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14996795556505021"/>
      </left>
      <right style="thin">
        <color theme="8" tint="-0.14996795556505021"/>
      </right>
      <top style="thin">
        <color theme="8" tint="-0.14996795556505021"/>
      </top>
      <bottom style="thin">
        <color theme="8" tint="-0.14996795556505021"/>
      </bottom>
      <diagonal/>
    </border>
    <border>
      <left/>
      <right/>
      <top style="thin">
        <color theme="8" tint="-0.14996795556505021"/>
      </top>
      <bottom style="thin">
        <color theme="8" tint="-0.149967955565050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rgb="FFFF800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22" fillId="7" borderId="21" applyNumberFormat="0" applyAlignment="0" applyProtection="0"/>
    <xf numFmtId="0" fontId="23" fillId="0" borderId="22" applyNumberFormat="0" applyFill="0" applyAlignment="0" applyProtection="0"/>
  </cellStyleXfs>
  <cellXfs count="10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center" wrapText="1"/>
    </xf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3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right" vertical="center"/>
    </xf>
    <xf numFmtId="0" fontId="8" fillId="2" borderId="0" xfId="0" applyFont="1" applyFill="1" applyAlignment="1">
      <alignment vertical="center"/>
    </xf>
    <xf numFmtId="0" fontId="3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4" borderId="6" xfId="0" applyFont="1" applyFill="1" applyBorder="1" applyAlignment="1">
      <alignment vertical="center"/>
    </xf>
    <xf numFmtId="0" fontId="3" fillId="5" borderId="2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164" fontId="3" fillId="0" borderId="8" xfId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166" fontId="3" fillId="0" borderId="0" xfId="0" applyNumberFormat="1" applyFont="1"/>
    <xf numFmtId="1" fontId="3" fillId="2" borderId="7" xfId="0" applyNumberFormat="1" applyFont="1" applyFill="1" applyBorder="1" applyAlignment="1">
      <alignment horizontal="right" vertical="center"/>
    </xf>
    <xf numFmtId="0" fontId="3" fillId="0" borderId="7" xfId="0" applyFont="1" applyBorder="1" applyAlignment="1">
      <alignment horizontal="left" vertical="center"/>
    </xf>
    <xf numFmtId="0" fontId="3" fillId="3" borderId="7" xfId="0" applyFont="1" applyFill="1" applyBorder="1" applyAlignment="1">
      <alignment horizontal="right" vertical="center"/>
    </xf>
    <xf numFmtId="0" fontId="15" fillId="0" borderId="7" xfId="4" applyFont="1" applyBorder="1" applyAlignment="1">
      <alignment horizontal="center" vertical="center"/>
    </xf>
    <xf numFmtId="1" fontId="14" fillId="2" borderId="7" xfId="1" applyNumberFormat="1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6" fillId="0" borderId="0" xfId="0" applyFont="1" applyAlignment="1">
      <alignment horizontal="left"/>
    </xf>
    <xf numFmtId="0" fontId="0" fillId="0" borderId="0" xfId="0" applyAlignment="1">
      <alignment horizontal="left"/>
    </xf>
    <xf numFmtId="4" fontId="0" fillId="0" borderId="0" xfId="0" applyNumberFormat="1" applyAlignment="1">
      <alignment horizontal="right"/>
    </xf>
    <xf numFmtId="0" fontId="17" fillId="0" borderId="10" xfId="0" applyFont="1" applyBorder="1" applyAlignment="1">
      <alignment horizontal="center" vertical="center" wrapText="1"/>
    </xf>
    <xf numFmtId="0" fontId="18" fillId="0" borderId="11" xfId="0" applyFont="1" applyBorder="1" applyAlignment="1">
      <alignment wrapText="1"/>
    </xf>
    <xf numFmtId="0" fontId="18" fillId="0" borderId="12" xfId="0" applyFont="1" applyBorder="1" applyAlignment="1">
      <alignment wrapText="1"/>
    </xf>
    <xf numFmtId="14" fontId="0" fillId="0" borderId="0" xfId="0" applyNumberFormat="1" applyAlignment="1">
      <alignment horizontal="left"/>
    </xf>
    <xf numFmtId="14" fontId="16" fillId="0" borderId="0" xfId="0" applyNumberFormat="1" applyFont="1" applyAlignment="1">
      <alignment horizontal="left"/>
    </xf>
    <xf numFmtId="0" fontId="8" fillId="4" borderId="4" xfId="0" applyFont="1" applyFill="1" applyBorder="1" applyAlignment="1">
      <alignment horizontal="center" vertical="center" wrapText="1"/>
    </xf>
    <xf numFmtId="14" fontId="8" fillId="4" borderId="5" xfId="0" applyNumberFormat="1" applyFont="1" applyFill="1" applyBorder="1" applyAlignment="1">
      <alignment horizontal="left" vertical="center"/>
    </xf>
    <xf numFmtId="167" fontId="0" fillId="0" borderId="0" xfId="0" applyNumberFormat="1" applyAlignment="1">
      <alignment horizontal="left"/>
    </xf>
    <xf numFmtId="1" fontId="0" fillId="0" borderId="0" xfId="0" applyNumberFormat="1"/>
    <xf numFmtId="165" fontId="0" fillId="0" borderId="0" xfId="1" applyNumberFormat="1" applyFont="1"/>
    <xf numFmtId="10" fontId="3" fillId="0" borderId="8" xfId="3" applyNumberFormat="1" applyFont="1" applyBorder="1" applyAlignment="1">
      <alignment horizontal="center" vertical="center"/>
    </xf>
    <xf numFmtId="9" fontId="3" fillId="0" borderId="7" xfId="3" applyFont="1" applyBorder="1" applyAlignment="1">
      <alignment horizontal="center" vertical="center"/>
    </xf>
    <xf numFmtId="0" fontId="10" fillId="5" borderId="6" xfId="0" applyFont="1" applyFill="1" applyBorder="1" applyAlignment="1">
      <alignment horizontal="right" vertical="center"/>
    </xf>
    <xf numFmtId="0" fontId="3" fillId="0" borderId="9" xfId="0" applyFont="1" applyBorder="1" applyAlignment="1">
      <alignment horizontal="left" vertical="center"/>
    </xf>
    <xf numFmtId="0" fontId="10" fillId="5" borderId="0" xfId="0" applyFont="1" applyFill="1" applyAlignment="1">
      <alignment horizontal="center" vertical="center"/>
    </xf>
    <xf numFmtId="10" fontId="3" fillId="0" borderId="7" xfId="3" applyNumberFormat="1" applyFont="1" applyBorder="1" applyAlignment="1">
      <alignment horizontal="center" vertical="center"/>
    </xf>
    <xf numFmtId="0" fontId="10" fillId="5" borderId="13" xfId="0" applyFont="1" applyFill="1" applyBorder="1" applyAlignment="1">
      <alignment horizontal="center" vertical="center"/>
    </xf>
    <xf numFmtId="10" fontId="3" fillId="0" borderId="14" xfId="3" applyNumberFormat="1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 wrapText="1"/>
    </xf>
    <xf numFmtId="10" fontId="3" fillId="0" borderId="8" xfId="3" applyNumberFormat="1" applyFont="1" applyBorder="1" applyAlignment="1">
      <alignment horizontal="right" vertical="center"/>
    </xf>
    <xf numFmtId="9" fontId="3" fillId="0" borderId="8" xfId="3" applyFont="1" applyBorder="1" applyAlignment="1">
      <alignment horizontal="center" vertical="center"/>
    </xf>
    <xf numFmtId="2" fontId="3" fillId="0" borderId="8" xfId="1" applyNumberFormat="1" applyFont="1" applyBorder="1" applyAlignment="1">
      <alignment horizontal="center" vertical="center"/>
    </xf>
    <xf numFmtId="164" fontId="3" fillId="0" borderId="8" xfId="3" applyNumberFormat="1" applyFont="1" applyBorder="1" applyAlignment="1">
      <alignment horizontal="right" vertical="center"/>
    </xf>
    <xf numFmtId="168" fontId="0" fillId="0" borderId="0" xfId="3" applyNumberFormat="1" applyFont="1" applyAlignment="1">
      <alignment horizontal="left"/>
    </xf>
    <xf numFmtId="9" fontId="0" fillId="0" borderId="0" xfId="3" applyFont="1"/>
    <xf numFmtId="169" fontId="3" fillId="0" borderId="8" xfId="1" applyNumberFormat="1" applyFont="1" applyBorder="1" applyAlignment="1">
      <alignment horizontal="center" vertical="center"/>
    </xf>
    <xf numFmtId="0" fontId="8" fillId="4" borderId="15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1" fontId="3" fillId="2" borderId="7" xfId="1" applyNumberFormat="1" applyFont="1" applyFill="1" applyBorder="1" applyAlignment="1">
      <alignment horizontal="right" vertical="center"/>
    </xf>
    <xf numFmtId="10" fontId="0" fillId="0" borderId="0" xfId="0" applyNumberFormat="1"/>
    <xf numFmtId="10" fontId="3" fillId="0" borderId="0" xfId="0" applyNumberFormat="1" applyFont="1"/>
    <xf numFmtId="9" fontId="13" fillId="2" borderId="7" xfId="4" applyNumberFormat="1" applyFill="1" applyBorder="1" applyAlignment="1">
      <alignment horizontal="right" vertical="center"/>
    </xf>
    <xf numFmtId="9" fontId="3" fillId="2" borderId="0" xfId="0" applyNumberFormat="1" applyFont="1" applyFill="1"/>
    <xf numFmtId="0" fontId="3" fillId="0" borderId="0" xfId="0" quotePrefix="1" applyFont="1" applyAlignment="1">
      <alignment horizontal="center" vertical="center"/>
    </xf>
    <xf numFmtId="10" fontId="3" fillId="0" borderId="8" xfId="3" quotePrefix="1" applyNumberFormat="1" applyFont="1" applyBorder="1" applyAlignment="1">
      <alignment horizontal="center" vertical="center"/>
    </xf>
    <xf numFmtId="1" fontId="3" fillId="2" borderId="0" xfId="1" applyNumberFormat="1" applyFont="1" applyFill="1" applyBorder="1" applyAlignment="1">
      <alignment vertical="center"/>
    </xf>
    <xf numFmtId="1" fontId="3" fillId="2" borderId="0" xfId="0" applyNumberFormat="1" applyFont="1" applyFill="1"/>
    <xf numFmtId="165" fontId="8" fillId="4" borderId="5" xfId="1" applyNumberFormat="1" applyFont="1" applyFill="1" applyBorder="1" applyAlignment="1">
      <alignment horizontal="left" vertical="center"/>
    </xf>
    <xf numFmtId="14" fontId="8" fillId="4" borderId="5" xfId="0" applyNumberFormat="1" applyFont="1" applyFill="1" applyBorder="1" applyAlignment="1">
      <alignment horizontal="center" vertical="center"/>
    </xf>
    <xf numFmtId="0" fontId="20" fillId="5" borderId="2" xfId="0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right" vertical="center"/>
    </xf>
    <xf numFmtId="165" fontId="14" fillId="2" borderId="7" xfId="1" applyNumberFormat="1" applyFont="1" applyFill="1" applyBorder="1" applyAlignment="1">
      <alignment horizontal="right" vertical="center"/>
    </xf>
    <xf numFmtId="0" fontId="8" fillId="3" borderId="20" xfId="0" applyFont="1" applyFill="1" applyBorder="1" applyAlignment="1">
      <alignment vertical="center"/>
    </xf>
    <xf numFmtId="1" fontId="21" fillId="2" borderId="19" xfId="1" applyNumberFormat="1" applyFont="1" applyFill="1" applyBorder="1" applyAlignment="1">
      <alignment horizontal="right" vertical="center"/>
    </xf>
    <xf numFmtId="0" fontId="21" fillId="2" borderId="0" xfId="0" applyFont="1" applyFill="1" applyAlignment="1">
      <alignment horizontal="right" vertical="center"/>
    </xf>
    <xf numFmtId="0" fontId="3" fillId="3" borderId="18" xfId="0" applyFont="1" applyFill="1" applyBorder="1" applyAlignment="1">
      <alignment horizontal="right" vertical="center"/>
    </xf>
    <xf numFmtId="10" fontId="21" fillId="2" borderId="19" xfId="3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65" fontId="3" fillId="2" borderId="7" xfId="1" applyNumberFormat="1" applyFont="1" applyFill="1" applyBorder="1" applyAlignment="1">
      <alignment horizontal="right" vertical="center"/>
    </xf>
    <xf numFmtId="170" fontId="21" fillId="2" borderId="19" xfId="3" applyNumberFormat="1" applyFont="1" applyFill="1" applyBorder="1" applyAlignment="1">
      <alignment horizontal="right" vertical="center"/>
    </xf>
    <xf numFmtId="0" fontId="8" fillId="6" borderId="15" xfId="0" applyFont="1" applyFill="1" applyBorder="1" applyAlignment="1">
      <alignment horizontal="center" vertical="center"/>
    </xf>
    <xf numFmtId="0" fontId="0" fillId="6" borderId="0" xfId="0" applyFill="1"/>
    <xf numFmtId="10" fontId="0" fillId="6" borderId="0" xfId="0" applyNumberFormat="1" applyFill="1"/>
    <xf numFmtId="171" fontId="0" fillId="0" borderId="0" xfId="0" applyNumberFormat="1"/>
    <xf numFmtId="0" fontId="0" fillId="0" borderId="23" xfId="0" applyBorder="1"/>
    <xf numFmtId="0" fontId="22" fillId="7" borderId="24" xfId="5" applyBorder="1"/>
    <xf numFmtId="0" fontId="0" fillId="0" borderId="25" xfId="0" applyBorder="1"/>
    <xf numFmtId="0" fontId="22" fillId="7" borderId="26" xfId="5" applyBorder="1"/>
    <xf numFmtId="0" fontId="0" fillId="0" borderId="27" xfId="0" applyBorder="1"/>
    <xf numFmtId="0" fontId="23" fillId="0" borderId="28" xfId="6" applyBorder="1"/>
    <xf numFmtId="0" fontId="0" fillId="0" borderId="29" xfId="0" applyBorder="1"/>
    <xf numFmtId="0" fontId="0" fillId="0" borderId="30" xfId="0" applyBorder="1"/>
    <xf numFmtId="0" fontId="5" fillId="0" borderId="0" xfId="0" applyFont="1" applyAlignment="1">
      <alignment horizontal="center"/>
    </xf>
    <xf numFmtId="0" fontId="1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9" fillId="2" borderId="16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</cellXfs>
  <cellStyles count="7">
    <cellStyle name="Comma" xfId="1" builtinId="3"/>
    <cellStyle name="Hyperlink" xfId="4" builtinId="8"/>
    <cellStyle name="Input" xfId="5" builtinId="20"/>
    <cellStyle name="Linked Cell" xfId="6" builtinId="24"/>
    <cellStyle name="Normal" xfId="0" builtinId="0"/>
    <cellStyle name="Percent" xfId="3" builtinId="5"/>
    <cellStyle name="Style 1" xfId="2" xr:uid="{DD14D528-914B-4262-9342-9B6326009E79}"/>
  </cellStyles>
  <dxfs count="8">
    <dxf>
      <font>
        <color rgb="FF9C0006"/>
      </font>
      <fill>
        <patternFill>
          <bgColor rgb="FFFFC7CE"/>
        </patternFill>
      </fill>
    </dxf>
    <dxf>
      <font>
        <strike/>
      </font>
      <border>
        <vertical/>
        <horizontal/>
      </border>
    </dxf>
    <dxf>
      <font>
        <strike/>
      </font>
      <border>
        <vertical/>
        <horizontal/>
      </border>
    </dxf>
    <dxf>
      <font>
        <strike/>
      </font>
    </dxf>
    <dxf>
      <font>
        <strike/>
      </font>
    </dxf>
    <dxf>
      <font>
        <strike/>
      </font>
    </dxf>
    <dxf>
      <font>
        <strike/>
      </font>
      <border>
        <vertical/>
        <horizontal/>
      </border>
    </dxf>
    <dxf>
      <font>
        <strike/>
      </font>
      <border>
        <vertical/>
        <horizontal/>
      </border>
    </dxf>
  </dxfs>
  <tableStyles count="1" defaultTableStyle="TableStyleMedium2" defaultPivotStyle="PivotStyleLight16">
    <tableStyle name="Invisible" pivot="0" table="0" count="0" xr9:uid="{FB70940E-3727-46B7-9B67-4D41F6C3084F}"/>
  </tableStyles>
  <colors>
    <mruColors>
      <color rgb="FF003366"/>
      <color rgb="FF03A9F4"/>
      <color rgb="FFF0FAFF"/>
      <color rgb="FFD4E2F3"/>
      <color rgb="FFF0FA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HK"/>
              <a:t>Projected</a:t>
            </a:r>
            <a:r>
              <a:rPr lang="en-HK" baseline="0"/>
              <a:t> Value with and without rider</a:t>
            </a:r>
            <a:endParaRPr lang="en-H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49858494408842E-2"/>
          <c:y val="0.12583545377438507"/>
          <c:w val="0.90425706908093983"/>
          <c:h val="0.6817601998223504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Results!$C$2</c:f>
              <c:strCache>
                <c:ptCount val="1"/>
                <c:pt idx="0">
                  <c:v>With Rider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Summary!$J$6:$J$21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Summary!$G$6:$G$21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01BD-4D44-B144-BC3FC0FB8B33}"/>
            </c:ext>
          </c:extLst>
        </c:ser>
        <c:ser>
          <c:idx val="0"/>
          <c:order val="1"/>
          <c:tx>
            <c:strRef>
              <c:f>Results!$D$2</c:f>
              <c:strCache>
                <c:ptCount val="1"/>
                <c:pt idx="0">
                  <c:v>Without Rider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Summary!$I$6:$I$21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Summary!$G$6:$G$21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01BD-4D44-B144-BC3FC0FB8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79983"/>
        <c:axId val="8682063"/>
      </c:barChart>
      <c:catAx>
        <c:axId val="867998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HK" sz="1100"/>
                  <a:t>Policy</a:t>
                </a:r>
                <a:r>
                  <a:rPr lang="en-HK" sz="1100" baseline="0"/>
                  <a:t> Year</a:t>
                </a:r>
                <a:endParaRPr lang="en-HK" sz="11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2063"/>
        <c:crosses val="autoZero"/>
        <c:auto val="1"/>
        <c:lblAlgn val="ctr"/>
        <c:lblOffset val="100"/>
        <c:noMultiLvlLbl val="0"/>
      </c:catAx>
      <c:valAx>
        <c:axId val="86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9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868351982318001"/>
          <c:y val="0.93256957384143779"/>
          <c:w val="0.73682085285897969"/>
          <c:h val="5.72523091102161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Annuity_CashFlow!$J$3</c:f>
          <c:strCache>
            <c:ptCount val="1"/>
            <c:pt idx="0">
              <c:v>Withdrawals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Annuity_CashFlow!$B$18:$B$68</c:f>
              <c:strCache>
                <c:ptCount val="31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73</c:v>
                </c:pt>
                <c:pt idx="4">
                  <c:v>74</c:v>
                </c:pt>
                <c:pt idx="5">
                  <c:v>75</c:v>
                </c:pt>
                <c:pt idx="6">
                  <c:v>76</c:v>
                </c:pt>
                <c:pt idx="7">
                  <c:v>77</c:v>
                </c:pt>
                <c:pt idx="8">
                  <c:v>78</c:v>
                </c:pt>
                <c:pt idx="9">
                  <c:v>79</c:v>
                </c:pt>
                <c:pt idx="10">
                  <c:v>80</c:v>
                </c:pt>
                <c:pt idx="11">
                  <c:v>81</c:v>
                </c:pt>
                <c:pt idx="12">
                  <c:v>82</c:v>
                </c:pt>
                <c:pt idx="13">
                  <c:v>83</c:v>
                </c:pt>
                <c:pt idx="14">
                  <c:v>84</c:v>
                </c:pt>
                <c:pt idx="15">
                  <c:v>85</c:v>
                </c:pt>
                <c:pt idx="16">
                  <c:v>86</c:v>
                </c:pt>
                <c:pt idx="17">
                  <c:v>87</c:v>
                </c:pt>
                <c:pt idx="18">
                  <c:v>88</c:v>
                </c:pt>
                <c:pt idx="19">
                  <c:v>89</c:v>
                </c:pt>
                <c:pt idx="20">
                  <c:v>90</c:v>
                </c:pt>
                <c:pt idx="21">
                  <c:v>91</c:v>
                </c:pt>
                <c:pt idx="22">
                  <c:v>92</c:v>
                </c:pt>
                <c:pt idx="23">
                  <c:v>93</c:v>
                </c:pt>
                <c:pt idx="24">
                  <c:v>94</c:v>
                </c:pt>
                <c:pt idx="25">
                  <c:v>95</c:v>
                </c:pt>
                <c:pt idx="26">
                  <c:v>96</c:v>
                </c:pt>
                <c:pt idx="27">
                  <c:v>97</c:v>
                </c:pt>
                <c:pt idx="28">
                  <c:v>98</c:v>
                </c:pt>
                <c:pt idx="29">
                  <c:v>99</c:v>
                </c:pt>
                <c:pt idx="30">
                  <c:v>100</c:v>
                </c:pt>
              </c:strCache>
            </c:strRef>
          </c:cat>
          <c:val>
            <c:numRef>
              <c:f>Annuity_CashFlow!$J$18:$J$68</c:f>
              <c:numCache>
                <c:formatCode>_-* #,##0.00_-;\-* #,##0.00_-;_-* "-"??_-;_-@_-</c:formatCode>
                <c:ptCount val="51"/>
                <c:pt idx="0">
                  <c:v>88555.327877788644</c:v>
                </c:pt>
                <c:pt idx="1">
                  <c:v>88555.327877788644</c:v>
                </c:pt>
                <c:pt idx="2">
                  <c:v>88555.327877788644</c:v>
                </c:pt>
                <c:pt idx="3">
                  <c:v>88555.327877788644</c:v>
                </c:pt>
                <c:pt idx="4">
                  <c:v>88555.327877788644</c:v>
                </c:pt>
                <c:pt idx="5">
                  <c:v>88555.327877788644</c:v>
                </c:pt>
                <c:pt idx="6">
                  <c:v>88555.327877788644</c:v>
                </c:pt>
                <c:pt idx="7">
                  <c:v>88555.327877788644</c:v>
                </c:pt>
                <c:pt idx="8">
                  <c:v>88555.327877788644</c:v>
                </c:pt>
                <c:pt idx="9">
                  <c:v>88555.327877788644</c:v>
                </c:pt>
                <c:pt idx="10">
                  <c:v>88555.327877788644</c:v>
                </c:pt>
                <c:pt idx="11">
                  <c:v>88555.327877788644</c:v>
                </c:pt>
                <c:pt idx="12">
                  <c:v>88555.327877788644</c:v>
                </c:pt>
                <c:pt idx="13">
                  <c:v>88555.327877788644</c:v>
                </c:pt>
                <c:pt idx="14">
                  <c:v>88555.327877788644</c:v>
                </c:pt>
                <c:pt idx="15">
                  <c:v>88555.327877788644</c:v>
                </c:pt>
                <c:pt idx="16">
                  <c:v>88555.327877788644</c:v>
                </c:pt>
                <c:pt idx="17">
                  <c:v>88555.327877788644</c:v>
                </c:pt>
                <c:pt idx="18">
                  <c:v>88555.327877788644</c:v>
                </c:pt>
                <c:pt idx="19">
                  <c:v>88555.327877788644</c:v>
                </c:pt>
                <c:pt idx="20">
                  <c:v>88555.327877788644</c:v>
                </c:pt>
                <c:pt idx="21">
                  <c:v>88555.327877788644</c:v>
                </c:pt>
                <c:pt idx="22">
                  <c:v>88555.327877788644</c:v>
                </c:pt>
                <c:pt idx="23">
                  <c:v>88555.327877788644</c:v>
                </c:pt>
                <c:pt idx="24">
                  <c:v>88555.327877788644</c:v>
                </c:pt>
                <c:pt idx="25">
                  <c:v>88555.327877788644</c:v>
                </c:pt>
                <c:pt idx="26">
                  <c:v>88555.327877788644</c:v>
                </c:pt>
                <c:pt idx="27">
                  <c:v>88555.327877788644</c:v>
                </c:pt>
                <c:pt idx="28">
                  <c:v>88555.327877788644</c:v>
                </c:pt>
                <c:pt idx="29">
                  <c:v>88555.327877788644</c:v>
                </c:pt>
                <c:pt idx="30">
                  <c:v>88555.327877788644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0-4355-A402-8B1EBF7FD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61430303"/>
        <c:axId val="2061431551"/>
      </c:lineChart>
      <c:catAx>
        <c:axId val="2061430303"/>
        <c:scaling>
          <c:orientation val="minMax"/>
        </c:scaling>
        <c:delete val="0"/>
        <c:axPos val="b"/>
        <c:title>
          <c:tx>
            <c:strRef>
              <c:f>Annuity_CashFlow!$B$3</c:f>
              <c:strCache>
                <c:ptCount val="1"/>
                <c:pt idx="0">
                  <c:v>Age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431551"/>
        <c:crosses val="autoZero"/>
        <c:auto val="1"/>
        <c:lblAlgn val="ctr"/>
        <c:lblOffset val="100"/>
        <c:noMultiLvlLbl val="0"/>
      </c:catAx>
      <c:valAx>
        <c:axId val="2061431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0_-;\-* #,##0.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14303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717177</xdr:colOff>
      <xdr:row>8</xdr:row>
      <xdr:rowOff>134470</xdr:rowOff>
    </xdr:from>
    <xdr:to>
      <xdr:col>7</xdr:col>
      <xdr:colOff>62305</xdr:colOff>
      <xdr:row>15</xdr:row>
      <xdr:rowOff>581885</xdr:rowOff>
    </xdr:to>
    <xdr:pic>
      <xdr:nvPicPr>
        <xdr:cNvPr id="3" name="Graphic 183">
          <a:extLst>
            <a:ext uri="{FF2B5EF4-FFF2-40B4-BE49-F238E27FC236}">
              <a16:creationId xmlns:a16="http://schemas.microsoft.com/office/drawing/2014/main" id="{382E7313-B17E-184D-ACD9-0F9396BF50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44471" y="1568823"/>
          <a:ext cx="1763059" cy="17050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169445</xdr:colOff>
      <xdr:row>3</xdr:row>
      <xdr:rowOff>80212</xdr:rowOff>
    </xdr:from>
    <xdr:to>
      <xdr:col>18</xdr:col>
      <xdr:colOff>91741</xdr:colOff>
      <xdr:row>21</xdr:row>
      <xdr:rowOff>250659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06F75A-D025-44BB-8312-C4EC08D91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169445</xdr:colOff>
      <xdr:row>23</xdr:row>
      <xdr:rowOff>77201</xdr:rowOff>
    </xdr:from>
    <xdr:to>
      <xdr:col>18</xdr:col>
      <xdr:colOff>111794</xdr:colOff>
      <xdr:row>51</xdr:row>
      <xdr:rowOff>29577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2C71E9-91E1-46F1-9E6B-D8437FAB27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53719</xdr:colOff>
      <xdr:row>12</xdr:row>
      <xdr:rowOff>36630</xdr:rowOff>
    </xdr:from>
    <xdr:to>
      <xdr:col>4</xdr:col>
      <xdr:colOff>917837</xdr:colOff>
      <xdr:row>27</xdr:row>
      <xdr:rowOff>157539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1DBA9E-6E13-41F1-B47F-778D24912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2794" y="2341680"/>
          <a:ext cx="10027168" cy="29784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229160</xdr:colOff>
      <xdr:row>1</xdr:row>
      <xdr:rowOff>78441</xdr:rowOff>
    </xdr:from>
    <xdr:to>
      <xdr:col>18</xdr:col>
      <xdr:colOff>38661</xdr:colOff>
      <xdr:row>48</xdr:row>
      <xdr:rowOff>177523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D4A369-62A7-419C-8123-FB01772B7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50131" y="291353"/>
          <a:ext cx="7070912" cy="10095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228600</xdr:colOff>
      <xdr:row>1</xdr:row>
      <xdr:rowOff>28575</xdr:rowOff>
    </xdr:from>
    <xdr:to>
      <xdr:col>20</xdr:col>
      <xdr:colOff>58658</xdr:colOff>
      <xdr:row>5</xdr:row>
      <xdr:rowOff>47743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EFE656D-AC16-4C25-89EC-C6E94A0DC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4100" y="238125"/>
          <a:ext cx="10802858" cy="84784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illy Wai" id="{67C23DF6-68CD-424D-BCD6-449273BC9AF5}" userId="S::billy.wai@coherent.com.hk::352ccf0a-0a88-420a-99e6-c147947cfa59" providerId="AD"/>
</personList>
</file>

<file path=xl/theme/theme1.xml><?xml version="1.0" encoding="utf-8"?>
<a:theme xmlns:a="http://schemas.openxmlformats.org/drawingml/2006/main" name="Office Theme">
  <a:themeElements>
    <a:clrScheme name="Coherent">
      <a:dk1>
        <a:srgbClr val="201A3C"/>
      </a:dk1>
      <a:lt1>
        <a:srgbClr val="ECECEB"/>
      </a:lt1>
      <a:dk2>
        <a:srgbClr val="9C43FF"/>
      </a:dk2>
      <a:lt2>
        <a:srgbClr val="DEFA3C"/>
      </a:lt2>
      <a:accent1>
        <a:srgbClr val="24C3CC"/>
      </a:accent1>
      <a:accent2>
        <a:srgbClr val="D533A3"/>
      </a:accent2>
      <a:accent3>
        <a:srgbClr val="3B8CFF"/>
      </a:accent3>
      <a:accent4>
        <a:srgbClr val="000000"/>
      </a:accent4>
      <a:accent5>
        <a:srgbClr val="FFFFFF"/>
      </a:accent5>
      <a:accent6>
        <a:srgbClr val="9053F6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36" dT="2021-01-26T07:08:24.41" personId="{67C23DF6-68CD-424D-BCD6-449273BC9AF5}" id="{7866B5AC-CD7E-4CA2-9B18-1ABAD14509F8}">
    <text>Cap is maximum rate of interest that the contract can earn in a py. If the chosen index increase exceeds the cap, the cap is used to calculate your interest.</text>
  </threadedComment>
  <threadedComment ref="B38" dT="2021-01-26T07:09:19.91" personId="{67C23DF6-68CD-424D-BCD6-449273BC9AF5}" id="{474D0A3F-9133-41A1-9B86-5909DA6BA950}">
    <text>Participation rate determines what percentage of the index increase will be used to calculate your indexed interest.</text>
  </threadedComment>
  <threadedComment ref="B40" dT="2021-01-26T07:10:06.52" personId="{67C23DF6-68CD-424D-BCD6-449273BC9AF5}" id="{DC58705C-ACD1-40F0-A351-B6E0CB5DB60F}">
    <text>Spread is the percentage subtracted by the gain index achieves in a py.</text>
  </threadedComment>
</ThreadedComments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83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  <wetp:taskpane dockstate="right" visibility="0" width="350" row="1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1189DB76-4499-4AC0-B4F4-F182E1268119}">
  <we:reference id="3132fb22-f137-4281-add9-18b424a649dd" version="1.0.0.2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_xldudf_COHERENT_C_CONCAT</we:customFunctionIds>
        <we:customFunctionIds>_xldudf_COHERENT_C_TEXTJOIN</we:customFunctionIds>
        <we:customFunctionIds>_xldudf_COHERENT_C_MVALUE</we:customFunctionIds>
        <we:customFunctionIds>_xldudf_COHERENT_C_UNIQUEELEMENTS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F9E9EB5-F18D-48F4-9A3C-CC43D2C19E80}">
  <we:reference id="882b24ca-707c-4c37-bcba-64d4398e6aaf" version="2.0.5.0" store="EXCatalog" storeType="EXCatalog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_xldudf_SPARK_UDFCALLAPI</we:customFunctionIds>
        <we:customFunctionIds>_xldudf_SPARK_CALLAPI</we:customFunctionIds>
        <we:customFunctionIds>_xldudf_SPARK_GETOUTPUT</we:customFunctionIds>
        <we:customFunctionIds>_xldudf_SPARK_SETINPUT</we:customFunctionIds>
        <we:customFunctionIds>_xldudf_SPARK_XMLTOJSON</we:customFunctionIds>
        <we:customFunctionIds>_xldudf_SPARK_JSONTOXML</we:customFunctionIds>
        <we:customFunctionIds>_xldudf_SPARK_FILTERJSON</we:customFunctionIds>
        <we:customFunctionIds>_xldudf_SPARK_XCALL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6092F7BE-EAC9-47E9-B941-F6DBACFF20B1}">
  <we:reference id="wa104380862" version="1.5.0.0" store="en-US" storeType="OMEX"/>
  <we:alternateReferences>
    <we:reference id="WA104380862" version="1.5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0858819E-0033-43BF-8937-05EC82904868}">
      <we:backgroundApp state="0" runtimeId="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FC5A-3D3B-1648-89BC-5807F7CB1C78}">
  <sheetPr codeName="Sheet6"/>
  <dimension ref="C16:N25"/>
  <sheetViews>
    <sheetView showGridLines="0" topLeftCell="A7" zoomScale="85" zoomScaleNormal="85" workbookViewId="0">
      <selection activeCell="J46" sqref="J46"/>
    </sheetView>
  </sheetViews>
  <sheetFormatPr defaultColWidth="10.69140625" defaultRowHeight="14.15"/>
  <cols>
    <col min="1" max="10" width="10.69140625" style="1"/>
    <col min="11" max="11" width="35.3828125" style="1" bestFit="1" customWidth="1"/>
    <col min="12" max="13" width="10.69140625" style="1"/>
    <col min="14" max="14" width="35.3828125" style="1" bestFit="1" customWidth="1"/>
    <col min="15" max="16384" width="10.69140625" style="1"/>
  </cols>
  <sheetData>
    <row r="16" spans="3:11" ht="159" customHeight="1">
      <c r="C16" s="99" t="s">
        <v>0</v>
      </c>
      <c r="D16" s="99"/>
      <c r="E16" s="99"/>
      <c r="F16" s="99"/>
      <c r="G16" s="99"/>
      <c r="H16" s="99"/>
      <c r="I16" s="99"/>
      <c r="J16" s="99"/>
      <c r="K16" s="4"/>
    </row>
    <row r="17" spans="3:14" ht="33">
      <c r="E17" s="2"/>
    </row>
    <row r="18" spans="3:14" ht="33">
      <c r="C18" s="100" t="s">
        <v>1</v>
      </c>
      <c r="D18" s="100"/>
      <c r="E18" s="100"/>
      <c r="F18" s="100"/>
      <c r="G18" s="100"/>
      <c r="H18" s="100"/>
      <c r="I18" s="100"/>
      <c r="J18" s="100"/>
    </row>
    <row r="19" spans="3:14" ht="33">
      <c r="E19" s="2"/>
    </row>
    <row r="20" spans="3:14" ht="20.149999999999999">
      <c r="C20" s="98" t="s">
        <v>2</v>
      </c>
      <c r="D20" s="98"/>
      <c r="E20" s="98"/>
      <c r="F20" s="98"/>
      <c r="G20" s="98"/>
      <c r="H20" s="98"/>
      <c r="I20" s="98"/>
      <c r="J20" s="98"/>
      <c r="K20" s="24"/>
    </row>
    <row r="21" spans="3:14" ht="20.149999999999999">
      <c r="E21" s="3"/>
      <c r="F21" s="3"/>
      <c r="G21" s="3"/>
      <c r="H21" s="3"/>
      <c r="I21" s="3"/>
      <c r="N21" s="24"/>
    </row>
    <row r="22" spans="3:14" ht="20.149999999999999">
      <c r="C22" s="98" t="s">
        <v>3</v>
      </c>
      <c r="D22" s="98"/>
      <c r="E22" s="98"/>
      <c r="F22" s="98"/>
      <c r="G22" s="98"/>
      <c r="H22" s="98"/>
      <c r="I22" s="98"/>
      <c r="J22" s="98"/>
    </row>
    <row r="25" spans="3:14">
      <c r="F25" s="1">
        <f>Xoutput_income_end_age</f>
        <v>100</v>
      </c>
    </row>
  </sheetData>
  <mergeCells count="4">
    <mergeCell ref="C22:J22"/>
    <mergeCell ref="C16:J16"/>
    <mergeCell ref="C18:J18"/>
    <mergeCell ref="C20:J20"/>
  </mergeCells>
  <phoneticPr fontId="1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D1F1-F03A-43A7-8324-6158E2D1CFB5}">
  <sheetPr codeName="Sheet1">
    <tabColor rgb="FF0070C0"/>
  </sheetPr>
  <dimension ref="B1:S120"/>
  <sheetViews>
    <sheetView showGridLines="0" zoomScale="90" zoomScaleNormal="90" workbookViewId="0">
      <selection activeCell="F20" sqref="F20"/>
    </sheetView>
  </sheetViews>
  <sheetFormatPr defaultColWidth="8.69140625" defaultRowHeight="14.15"/>
  <cols>
    <col min="1" max="1" width="4.3046875" style="6" customWidth="1"/>
    <col min="2" max="2" width="76.3828125" style="5" customWidth="1"/>
    <col min="3" max="3" width="1" style="5" customWidth="1"/>
    <col min="4" max="4" width="19.3828125" style="7" bestFit="1" customWidth="1"/>
    <col min="5" max="5" width="2" style="7" customWidth="1"/>
    <col min="6" max="6" width="10.3828125" style="7" customWidth="1"/>
    <col min="7" max="7" width="10.3046875" style="6" hidden="1" customWidth="1"/>
    <col min="8" max="10" width="9" style="6" hidden="1" customWidth="1"/>
    <col min="11" max="11" width="8.69140625" style="6" hidden="1" customWidth="1"/>
    <col min="12" max="13" width="9" style="6" hidden="1" customWidth="1"/>
    <col min="14" max="19" width="8.69140625" style="6" hidden="1" customWidth="1"/>
    <col min="20" max="23" width="8.69140625" style="6" customWidth="1"/>
    <col min="24" max="16348" width="8.69140625" style="6"/>
    <col min="16349" max="16349" width="8.69140625" style="6" bestFit="1"/>
    <col min="16350" max="16384" width="8.69140625" style="6"/>
  </cols>
  <sheetData>
    <row r="1" spans="2:10" ht="6" customHeight="1"/>
    <row r="2" spans="2:10" ht="22.2" customHeight="1">
      <c r="B2" s="101" t="s">
        <v>4</v>
      </c>
      <c r="C2" s="101"/>
      <c r="D2" s="101"/>
      <c r="G2" s="6" t="s">
        <v>5</v>
      </c>
    </row>
    <row r="3" spans="2:10" ht="4.2" customHeight="1">
      <c r="D3" s="8"/>
    </row>
    <row r="4" spans="2:10" ht="22.2" customHeight="1">
      <c r="B4" s="14" t="s">
        <v>6</v>
      </c>
      <c r="C4" s="10"/>
      <c r="D4" s="25">
        <v>55</v>
      </c>
    </row>
    <row r="5" spans="2:10" ht="4.2" customHeight="1">
      <c r="D5" s="9"/>
      <c r="G5" s="6" t="s">
        <v>7</v>
      </c>
      <c r="H5" s="72" t="b">
        <v>1</v>
      </c>
      <c r="I5" s="72" t="b">
        <v>0</v>
      </c>
      <c r="J5" s="72" t="b">
        <v>1</v>
      </c>
    </row>
    <row r="6" spans="2:10" ht="22.2" customHeight="1">
      <c r="B6" s="14" t="s">
        <v>8</v>
      </c>
      <c r="C6" s="10"/>
      <c r="D6" s="81" t="s">
        <v>9</v>
      </c>
      <c r="G6" s="71">
        <v>5</v>
      </c>
      <c r="H6" s="72">
        <f>VLOOKUP(G6,Annuity_CashFlow!$C$4:$P$103,11,FALSE)</f>
        <v>784831.29712466907</v>
      </c>
      <c r="I6" s="72">
        <f t="dataTable" ref="I6:J21" dt2D="0" dtr="1" r1="D44"/>
        <v>784831.29712466907</v>
      </c>
      <c r="J6" s="6">
        <v>766317.94893798418</v>
      </c>
    </row>
    <row r="7" spans="2:10" ht="4.2" customHeight="1">
      <c r="G7" s="5">
        <v>6</v>
      </c>
      <c r="H7" s="72">
        <f>VLOOKUP(G7,Annuity_CashFlow!$C$4:$P$103,11,FALSE)</f>
        <v>957906.64949211199</v>
      </c>
      <c r="I7" s="72">
        <v>957906.64949211199</v>
      </c>
      <c r="J7" s="6">
        <v>934025.76466627489</v>
      </c>
    </row>
    <row r="8" spans="2:10" ht="22.2" customHeight="1">
      <c r="B8" s="101" t="s">
        <v>10</v>
      </c>
      <c r="C8" s="101"/>
      <c r="D8" s="101"/>
      <c r="G8" s="5">
        <v>7</v>
      </c>
      <c r="H8" s="72">
        <f>VLOOKUP(G8,Annuity_CashFlow!$C$4:$P$103,11,FALSE)</f>
        <v>1134590.7196334607</v>
      </c>
      <c r="I8" s="72">
        <v>1134590.7196334607</v>
      </c>
      <c r="J8" s="6">
        <v>1104320.251392059</v>
      </c>
    </row>
    <row r="9" spans="2:10" ht="4.2" customHeight="1">
      <c r="D9" s="9"/>
      <c r="G9" s="5">
        <v>8</v>
      </c>
      <c r="H9" s="72">
        <f>VLOOKUP(G9,Annuity_CashFlow!$C$4:$P$103,11,FALSE)</f>
        <v>1312456.0296316601</v>
      </c>
      <c r="I9" s="72">
        <v>1312456.0296316601</v>
      </c>
      <c r="J9" s="6">
        <v>1274279.8597417164</v>
      </c>
    </row>
    <row r="10" spans="2:10" ht="22.2" customHeight="1">
      <c r="B10" s="14" t="s">
        <v>11</v>
      </c>
      <c r="C10" s="10"/>
      <c r="D10" s="81">
        <v>1</v>
      </c>
      <c r="G10" s="5">
        <v>9</v>
      </c>
      <c r="H10" s="72">
        <f>VLOOKUP(G10,Annuity_CashFlow!$C$4:$P$103,11,FALSE)</f>
        <v>1495686.2845895574</v>
      </c>
      <c r="I10" s="72">
        <v>1495686.2845895574</v>
      </c>
      <c r="J10" s="6">
        <v>1448987.9551872965</v>
      </c>
    </row>
    <row r="11" spans="2:10" ht="4.2" customHeight="1">
      <c r="D11" s="9"/>
      <c r="G11" s="5">
        <v>10</v>
      </c>
      <c r="H11" s="72">
        <f>VLOOKUP(G11,Annuity_CashFlow!$C$4:$P$103,11,FALSE)</f>
        <v>1681822.5520216748</v>
      </c>
      <c r="I11" s="72">
        <v>1681822.5520216748</v>
      </c>
      <c r="J11" s="6">
        <v>1625495.5277930291</v>
      </c>
    </row>
    <row r="12" spans="2:10" ht="22.2" customHeight="1">
      <c r="B12" s="14" t="s">
        <v>12</v>
      </c>
      <c r="C12" s="10"/>
      <c r="D12" s="81">
        <v>10</v>
      </c>
      <c r="G12" s="5">
        <v>11</v>
      </c>
      <c r="H12" s="72">
        <f>VLOOKUP(G12,Annuity_CashFlow!$C$4:$P$103,11,FALSE)</f>
        <v>1663305.6857239162</v>
      </c>
      <c r="I12" s="72">
        <v>1663305.6857239162</v>
      </c>
      <c r="J12" s="6">
        <v>1586467.3801707185</v>
      </c>
    </row>
    <row r="13" spans="2:10" ht="4.2" customHeight="1">
      <c r="D13" s="9"/>
      <c r="G13" s="5">
        <v>12</v>
      </c>
      <c r="H13" s="72">
        <f>VLOOKUP(G13,Annuity_CashFlow!$C$4:$P$103,11,FALSE)</f>
        <v>1696960.8466382853</v>
      </c>
      <c r="I13" s="72">
        <v>1696960.8466382853</v>
      </c>
      <c r="J13" s="6">
        <v>1610010.3577840296</v>
      </c>
    </row>
    <row r="14" spans="2:10" ht="22.2" customHeight="1">
      <c r="B14" s="14" t="s">
        <v>13</v>
      </c>
      <c r="C14" s="10"/>
      <c r="D14" s="81" t="s">
        <v>14</v>
      </c>
      <c r="G14" s="5">
        <v>13</v>
      </c>
      <c r="H14" s="72">
        <f>VLOOKUP(G14,Annuity_CashFlow!$C$4:$P$103,11,FALSE)</f>
        <v>1729649.997363375</v>
      </c>
      <c r="I14" s="72">
        <v>1729649.997363375</v>
      </c>
      <c r="J14" s="6">
        <v>1632327.8182353948</v>
      </c>
    </row>
    <row r="15" spans="2:10" ht="4.2" customHeight="1">
      <c r="D15" s="9"/>
      <c r="G15" s="5">
        <v>14</v>
      </c>
      <c r="H15" s="72">
        <f>VLOOKUP(G15,Annuity_CashFlow!$C$4:$P$103,11,FALSE)</f>
        <v>1761147.2697453615</v>
      </c>
      <c r="I15" s="72">
        <v>1761147.2697453615</v>
      </c>
      <c r="J15" s="6">
        <v>1653222.0223907623</v>
      </c>
    </row>
    <row r="16" spans="2:10" ht="22.2" customHeight="1">
      <c r="B16" s="14" t="s">
        <v>15</v>
      </c>
      <c r="C16" s="10"/>
      <c r="D16" s="81" t="str">
        <f>IF(Xinput_interest_choice="Index","N/A",1.9%)</f>
        <v>N/A</v>
      </c>
      <c r="G16" s="5">
        <v>15</v>
      </c>
      <c r="H16" s="72">
        <f>VLOOKUP(G16,Annuity_CashFlow!$C$4:$P$103,11,FALSE)</f>
        <v>1703148.4256174685</v>
      </c>
      <c r="I16" s="72">
        <v>1703148.4256174685</v>
      </c>
      <c r="J16" s="6">
        <v>1617761.2193802076</v>
      </c>
    </row>
    <row r="17" spans="2:10" ht="4.2" customHeight="1">
      <c r="D17" s="9"/>
      <c r="G17" s="5">
        <v>16</v>
      </c>
      <c r="H17" s="72">
        <f>VLOOKUP(G17,Annuity_CashFlow!$C$4:$P$103,11,FALSE)</f>
        <v>1585787.1175123409</v>
      </c>
      <c r="I17" s="6">
        <v>1585787.1175123409</v>
      </c>
      <c r="J17" s="6">
        <v>1512914.1199794763</v>
      </c>
    </row>
    <row r="18" spans="2:10" ht="18" customHeight="1">
      <c r="B18" s="14" t="s">
        <v>16</v>
      </c>
      <c r="C18" s="10"/>
      <c r="D18" s="84">
        <v>150000</v>
      </c>
      <c r="G18" s="5">
        <v>17</v>
      </c>
      <c r="H18" s="72">
        <f>VLOOKUP(G18,Annuity_CashFlow!$C$4:$P$103,11,FALSE)</f>
        <v>1517660.1266536259</v>
      </c>
      <c r="I18" s="6">
        <v>1517660.1266536259</v>
      </c>
      <c r="J18" s="6">
        <v>1467134.6085907295</v>
      </c>
    </row>
    <row r="19" spans="2:10" ht="14.7" customHeight="1">
      <c r="D19" s="9"/>
      <c r="G19" s="6">
        <v>18</v>
      </c>
      <c r="H19" s="72">
        <f>VLOOKUP(G19,Annuity_CashFlow!$C$4:$P$103,11,FALSE)</f>
        <v>1444818.7995208141</v>
      </c>
      <c r="I19" s="6">
        <v>1444818.7995208141</v>
      </c>
      <c r="J19" s="6">
        <v>1416913.3722494415</v>
      </c>
    </row>
    <row r="20" spans="2:10" ht="22.2" customHeight="1">
      <c r="B20" s="14" t="s">
        <v>17</v>
      </c>
      <c r="C20" s="10"/>
      <c r="D20" s="81">
        <v>2</v>
      </c>
      <c r="G20" s="6">
        <v>19</v>
      </c>
      <c r="H20" s="72">
        <f>VLOOKUP(G20,Annuity_CashFlow!$C$4:$P$103,11,FALSE)</f>
        <v>1364370.4890829891</v>
      </c>
      <c r="I20" s="6">
        <v>1364370.4890829891</v>
      </c>
      <c r="J20" s="6">
        <v>1358770.1478630302</v>
      </c>
    </row>
    <row r="21" spans="2:10" ht="4.5" customHeight="1">
      <c r="D21" s="9"/>
      <c r="G21" s="6">
        <v>20</v>
      </c>
      <c r="H21" s="72">
        <f>VLOOKUP(G21,Annuity_CashFlow!$C$4:$P$103,11,FALSE)</f>
        <v>1280886.0610465112</v>
      </c>
      <c r="I21" s="6">
        <v>1280886.0610465112</v>
      </c>
      <c r="J21" s="6">
        <v>1298352.6368767605</v>
      </c>
    </row>
    <row r="22" spans="2:10" ht="22.2" customHeight="1">
      <c r="B22" s="14" t="s">
        <v>18</v>
      </c>
      <c r="C22" s="10"/>
      <c r="D22" s="6"/>
    </row>
    <row r="23" spans="2:10" ht="4.2" customHeight="1">
      <c r="D23" s="9"/>
    </row>
    <row r="24" spans="2:10" ht="22.2" customHeight="1">
      <c r="B24" s="14" t="s">
        <v>19</v>
      </c>
      <c r="C24" s="10"/>
      <c r="D24" s="6"/>
    </row>
    <row r="25" spans="2:10" ht="4.2" customHeight="1">
      <c r="D25" s="9"/>
    </row>
    <row r="26" spans="2:10" ht="22.2" customHeight="1">
      <c r="B26" s="14" t="s">
        <v>20</v>
      </c>
      <c r="C26" s="10"/>
      <c r="D26" s="6"/>
    </row>
    <row r="27" spans="2:10" ht="4.2" customHeight="1">
      <c r="D27" s="9"/>
    </row>
    <row r="28" spans="2:10" ht="22.2" customHeight="1">
      <c r="B28" s="14" t="s">
        <v>21</v>
      </c>
      <c r="C28" s="10"/>
      <c r="D28" s="6"/>
    </row>
    <row r="29" spans="2:10" ht="4.2" customHeight="1">
      <c r="D29" s="9"/>
    </row>
    <row r="30" spans="2:10" ht="22.2" customHeight="1">
      <c r="B30" s="14" t="s">
        <v>22</v>
      </c>
      <c r="C30" s="10"/>
      <c r="D30" s="6"/>
    </row>
    <row r="31" spans="2:10">
      <c r="D31" s="9"/>
    </row>
    <row r="32" spans="2:10" ht="22.2" customHeight="1">
      <c r="B32" s="78" t="s">
        <v>23</v>
      </c>
      <c r="C32" s="10"/>
      <c r="D32" s="79">
        <f>IF(Xinput_allocation_option=1,2,1)</f>
        <v>1</v>
      </c>
    </row>
    <row r="33" spans="2:4" ht="4.2" customHeight="1">
      <c r="D33" s="80"/>
    </row>
    <row r="34" spans="2:4" ht="22.2" customHeight="1">
      <c r="B34" s="78" t="s">
        <v>24</v>
      </c>
      <c r="C34" s="10"/>
      <c r="D34" s="79">
        <f>IF(Xinput_allocation_option=5,2,IF(Xinput_allocation_option=1,0,1))</f>
        <v>1</v>
      </c>
    </row>
    <row r="35" spans="2:4" ht="4.2" customHeight="1">
      <c r="D35" s="79"/>
    </row>
    <row r="36" spans="2:4" ht="22.2" customHeight="1">
      <c r="B36" s="78" t="s">
        <v>25</v>
      </c>
      <c r="C36" s="10"/>
      <c r="D36" s="85">
        <f>IF(Xinput_allocation_option&lt;&gt;1,IF(Xinput_allocation_option&lt;&gt;2,"N/A",3.25%),2%)</f>
        <v>3.2500000000000001E-2</v>
      </c>
    </row>
    <row r="37" spans="2:4" ht="4.2" customHeight="1">
      <c r="D37" s="79"/>
    </row>
    <row r="38" spans="2:4" ht="22.2" customHeight="1">
      <c r="B38" s="78" t="s">
        <v>26</v>
      </c>
      <c r="C38" s="10"/>
      <c r="D38" s="79" t="str">
        <f>IF(OR(Xinput_allocation_option=5,Xinput_allocation_option=4),75%,"N/A")</f>
        <v>N/A</v>
      </c>
    </row>
    <row r="39" spans="2:4" ht="4.2" customHeight="1">
      <c r="D39" s="79"/>
    </row>
    <row r="40" spans="2:4" ht="22.2" customHeight="1">
      <c r="B40" s="78" t="s">
        <v>27</v>
      </c>
      <c r="C40" s="10"/>
      <c r="D40" s="79" t="str">
        <f>IF(Xinput_allocation_option=3,2.35%,"N/A")</f>
        <v>N/A</v>
      </c>
    </row>
    <row r="41" spans="2:4" ht="4.2" customHeight="1">
      <c r="D41" s="9"/>
    </row>
    <row r="42" spans="2:4" ht="22.2" customHeight="1">
      <c r="B42" s="14" t="s">
        <v>28</v>
      </c>
      <c r="C42" s="10"/>
      <c r="D42" s="67" t="s">
        <v>29</v>
      </c>
    </row>
    <row r="43" spans="2:4">
      <c r="D43" s="9"/>
    </row>
    <row r="44" spans="2:4" ht="22.2" customHeight="1">
      <c r="B44" s="14" t="s">
        <v>30</v>
      </c>
      <c r="C44" s="10"/>
      <c r="D44" s="81" t="b">
        <v>0</v>
      </c>
    </row>
    <row r="45" spans="2:4" ht="4.2" customHeight="1">
      <c r="D45" s="9"/>
    </row>
    <row r="46" spans="2:4" ht="22.2" customHeight="1">
      <c r="B46" s="78" t="s">
        <v>31</v>
      </c>
      <c r="C46" s="10"/>
      <c r="D46" s="82">
        <f>IF(Xinput_rider_choice,1.3%,0)</f>
        <v>0</v>
      </c>
    </row>
    <row r="47" spans="2:4" ht="4.2" customHeight="1">
      <c r="D47" s="9"/>
    </row>
    <row r="48" spans="2:4" ht="22.2" customHeight="1">
      <c r="B48" s="78" t="s">
        <v>32</v>
      </c>
      <c r="C48" s="10"/>
      <c r="D48" s="82">
        <f>IF(Xinput_rider_choice,25%,0)</f>
        <v>0</v>
      </c>
    </row>
    <row r="49" spans="2:6" ht="22.2" customHeight="1">
      <c r="B49" s="101" t="s">
        <v>33</v>
      </c>
      <c r="C49" s="101"/>
      <c r="D49" s="101"/>
    </row>
    <row r="50" spans="2:6" ht="4.2" customHeight="1">
      <c r="D50" s="9"/>
    </row>
    <row r="51" spans="2:6" ht="22.2" customHeight="1">
      <c r="B51" s="14" t="s">
        <v>1223</v>
      </c>
      <c r="C51" s="10"/>
      <c r="D51" s="64">
        <v>70</v>
      </c>
    </row>
    <row r="52" spans="2:6" ht="4.2" customHeight="1">
      <c r="D52" s="9"/>
    </row>
    <row r="53" spans="2:6" ht="22.2" customHeight="1">
      <c r="B53" s="14" t="s">
        <v>34</v>
      </c>
      <c r="C53" s="10"/>
      <c r="D53" s="81" t="s">
        <v>35</v>
      </c>
    </row>
    <row r="54" spans="2:6" ht="4.2" customHeight="1">
      <c r="D54" s="9"/>
    </row>
    <row r="55" spans="2:6" ht="22.2" customHeight="1">
      <c r="B55" s="78" t="s">
        <v>36</v>
      </c>
      <c r="C55" s="10"/>
      <c r="D55" s="79">
        <f>IF(Xinput_rider_choice,2,1)</f>
        <v>1</v>
      </c>
    </row>
    <row r="56" spans="2:6" ht="4.2" customHeight="1">
      <c r="D56" s="9"/>
      <c r="E56" s="6"/>
      <c r="F56" s="6"/>
    </row>
    <row r="57" spans="2:6" ht="22.2" customHeight="1">
      <c r="B57" s="78" t="s">
        <v>37</v>
      </c>
      <c r="C57" s="10"/>
      <c r="D57" s="79">
        <f>IFERROR(Xinput_income_start_age+Xinput_income_duration,100)</f>
        <v>100</v>
      </c>
      <c r="E57" s="6"/>
      <c r="F57" s="6"/>
    </row>
    <row r="58" spans="2:6">
      <c r="D58" s="9"/>
    </row>
    <row r="59" spans="2:6" ht="22.2" customHeight="1">
      <c r="B59" s="78" t="s">
        <v>38</v>
      </c>
      <c r="C59" s="10"/>
      <c r="D59" s="82">
        <f>VLOOKUP(Xinput_income_start_age,withdrawal_percentage!$A$2:$D$52,1+income_option,FALSE)</f>
        <v>4.8700000000000035E-2</v>
      </c>
    </row>
    <row r="60" spans="2:6" ht="4.2" customHeight="1"/>
    <row r="61" spans="2:6" ht="22.2" customHeight="1">
      <c r="B61" s="78" t="s">
        <v>39</v>
      </c>
      <c r="C61" s="10"/>
      <c r="D61" s="82">
        <f>IF(income_option=2,VLOOKUP(Xinput_income_start_age,withdrawal_percentage!$A$2:$D$52,2+income_option,FALSE),0)</f>
        <v>0</v>
      </c>
    </row>
    <row r="62" spans="2:6" ht="4.2" customHeight="1">
      <c r="D62" s="9"/>
      <c r="E62" s="6"/>
      <c r="F62" s="6"/>
    </row>
    <row r="63" spans="2:6" ht="22.2" customHeight="1">
      <c r="B63" s="14" t="s">
        <v>40</v>
      </c>
      <c r="C63" s="10"/>
      <c r="D63" s="77">
        <f>D59*MAX((VLOOKUP(Xinput_income_start_age,Annuity_CashFlow!$B$4:$P$103,7,FALSE)+VLOOKUP(Xinput_income_start_age,Annuity_CashFlow!$B$4:$P$103,8,FALSE)),VLOOKUP(Xinput_income_start_age,Annuity_CashFlow!$B$4:$P$103,3,FALSE))</f>
        <v>88555.327877788644</v>
      </c>
    </row>
    <row r="64" spans="2:6" ht="4.2" customHeight="1">
      <c r="D64" s="76"/>
      <c r="E64" s="6"/>
      <c r="F64" s="6"/>
    </row>
    <row r="65" spans="2:11" ht="22.2" customHeight="1">
      <c r="B65" s="14" t="s">
        <v>41</v>
      </c>
      <c r="C65" s="10"/>
      <c r="D65" s="77">
        <f>SUMIF(Annuity_CashFlow!J8:J107,"&gt;0")</f>
        <v>2745215.1642114487</v>
      </c>
    </row>
    <row r="66" spans="2:11" ht="22.2" customHeight="1">
      <c r="B66" s="101" t="s">
        <v>42</v>
      </c>
      <c r="C66" s="101"/>
      <c r="D66" s="101"/>
      <c r="E66" s="6"/>
      <c r="F66" s="6"/>
    </row>
    <row r="67" spans="2:11" ht="4.2" customHeight="1">
      <c r="D67" s="9"/>
      <c r="E67" s="6"/>
      <c r="F67" s="6"/>
    </row>
    <row r="68" spans="2:11" ht="22.2" customHeight="1">
      <c r="B68" s="14" t="s">
        <v>43</v>
      </c>
      <c r="C68" s="10"/>
      <c r="D68" s="81" t="b">
        <v>0</v>
      </c>
    </row>
    <row r="69" spans="2:11" ht="25.75" customHeight="1">
      <c r="B69" s="14" t="s">
        <v>1235</v>
      </c>
      <c r="C69" s="10"/>
      <c r="D69" s="77">
        <v>90000</v>
      </c>
      <c r="F69" s="7">
        <f>xinput_solveWithdrawal-Xoutput_initial_withdrawal</f>
        <v>1444.6721222113556</v>
      </c>
    </row>
    <row r="74" spans="2:11">
      <c r="K74" s="1"/>
    </row>
    <row r="75" spans="2:11">
      <c r="K75" s="1"/>
    </row>
    <row r="76" spans="2:11">
      <c r="K76" s="1"/>
    </row>
    <row r="77" spans="2:11">
      <c r="K77" s="1"/>
    </row>
    <row r="78" spans="2:11">
      <c r="K78" s="1"/>
    </row>
    <row r="79" spans="2:11">
      <c r="G79" s="68"/>
      <c r="K79" s="1"/>
    </row>
    <row r="80" spans="2:11">
      <c r="G80" s="68"/>
    </row>
    <row r="81" spans="7:8">
      <c r="G81" s="68"/>
    </row>
    <row r="82" spans="7:8">
      <c r="G82" s="68"/>
    </row>
    <row r="84" spans="7:8">
      <c r="H84" s="5"/>
    </row>
    <row r="85" spans="7:8">
      <c r="H85" s="5"/>
    </row>
    <row r="86" spans="7:8">
      <c r="H86" s="5"/>
    </row>
    <row r="87" spans="7:8">
      <c r="H87" s="5"/>
    </row>
    <row r="88" spans="7:8">
      <c r="H88" s="5"/>
    </row>
    <row r="89" spans="7:8">
      <c r="H89" s="5"/>
    </row>
    <row r="90" spans="7:8">
      <c r="H90" s="5"/>
    </row>
    <row r="91" spans="7:8">
      <c r="H91" s="5"/>
    </row>
    <row r="92" spans="7:8">
      <c r="H92" s="5"/>
    </row>
    <row r="93" spans="7:8">
      <c r="H93" s="5"/>
    </row>
    <row r="94" spans="7:8">
      <c r="H94" s="5"/>
    </row>
    <row r="95" spans="7:8">
      <c r="H95" s="5"/>
    </row>
    <row r="96" spans="7:8">
      <c r="H96" s="5"/>
    </row>
    <row r="97" spans="8:9">
      <c r="H97" s="5"/>
    </row>
    <row r="98" spans="8:9">
      <c r="H98" s="5"/>
    </row>
    <row r="99" spans="8:9">
      <c r="H99" s="5"/>
    </row>
    <row r="100" spans="8:9">
      <c r="H100" s="5"/>
      <c r="I100" s="72"/>
    </row>
    <row r="101" spans="8:9">
      <c r="H101" s="5"/>
      <c r="I101" s="72"/>
    </row>
    <row r="102" spans="8:9">
      <c r="H102" s="5"/>
      <c r="I102" s="72"/>
    </row>
    <row r="103" spans="8:9">
      <c r="H103" s="5"/>
      <c r="I103" s="72"/>
    </row>
    <row r="104" spans="8:9">
      <c r="H104" s="5"/>
      <c r="I104" s="72"/>
    </row>
    <row r="105" spans="8:9">
      <c r="H105" s="5"/>
      <c r="I105" s="72"/>
    </row>
    <row r="106" spans="8:9">
      <c r="H106" s="5"/>
      <c r="I106" s="72"/>
    </row>
    <row r="107" spans="8:9">
      <c r="H107" s="5"/>
      <c r="I107" s="72"/>
    </row>
    <row r="108" spans="8:9">
      <c r="H108" s="5"/>
      <c r="I108" s="72"/>
    </row>
    <row r="109" spans="8:9">
      <c r="H109" s="5"/>
      <c r="I109" s="72"/>
    </row>
    <row r="110" spans="8:9">
      <c r="H110" s="5"/>
      <c r="I110" s="72"/>
    </row>
    <row r="111" spans="8:9">
      <c r="H111" s="5"/>
      <c r="I111" s="72"/>
    </row>
    <row r="112" spans="8:9">
      <c r="H112" s="5"/>
      <c r="I112" s="72"/>
    </row>
    <row r="113" spans="8:9">
      <c r="H113" s="5"/>
      <c r="I113" s="72"/>
    </row>
    <row r="114" spans="8:9">
      <c r="H114" s="5"/>
      <c r="I114" s="72"/>
    </row>
    <row r="115" spans="8:9">
      <c r="H115" s="5"/>
      <c r="I115" s="72"/>
    </row>
    <row r="116" spans="8:9">
      <c r="H116" s="5"/>
      <c r="I116" s="72"/>
    </row>
    <row r="117" spans="8:9">
      <c r="H117" s="5"/>
      <c r="I117" s="72"/>
    </row>
    <row r="118" spans="8:9">
      <c r="H118" s="5"/>
      <c r="I118" s="72"/>
    </row>
    <row r="119" spans="8:9">
      <c r="H119" s="5"/>
      <c r="I119" s="72"/>
    </row>
    <row r="120" spans="8:9">
      <c r="H120" s="5"/>
      <c r="I120" s="72"/>
    </row>
  </sheetData>
  <dataConsolidate/>
  <mergeCells count="4">
    <mergeCell ref="B8:D8"/>
    <mergeCell ref="B2:D2"/>
    <mergeCell ref="B49:D49"/>
    <mergeCell ref="B66:D66"/>
  </mergeCells>
  <phoneticPr fontId="11" type="noConversion"/>
  <conditionalFormatting sqref="D44">
    <cfRule type="expression" dxfId="7" priority="55">
      <formula>$D$14=1</formula>
    </cfRule>
  </conditionalFormatting>
  <conditionalFormatting sqref="D53">
    <cfRule type="expression" dxfId="6" priority="54">
      <formula>$D$14=1</formula>
    </cfRule>
  </conditionalFormatting>
  <conditionalFormatting sqref="C36">
    <cfRule type="expression" dxfId="5" priority="9">
      <formula>OR($D$20=3,$D$20=4,$D$20=5)</formula>
    </cfRule>
  </conditionalFormatting>
  <conditionalFormatting sqref="C38">
    <cfRule type="expression" dxfId="4" priority="6">
      <formula>OR($D$20=3,$D$20=1,$D$20=2)</formula>
    </cfRule>
  </conditionalFormatting>
  <conditionalFormatting sqref="C40">
    <cfRule type="expression" dxfId="3" priority="7">
      <formula>NOT($D$20=3)</formula>
    </cfRule>
  </conditionalFormatting>
  <conditionalFormatting sqref="D68">
    <cfRule type="expression" dxfId="2" priority="1">
      <formula>$D$14=1</formula>
    </cfRule>
  </conditionalFormatting>
  <dataValidations count="10">
    <dataValidation type="list" allowBlank="1" showInputMessage="1" showErrorMessage="1" sqref="D6" xr:uid="{31824FD8-5BEE-43C5-8363-4DA632844CD1}">
      <formula1>"M,F"</formula1>
    </dataValidation>
    <dataValidation type="list" allowBlank="1" showInputMessage="1" showErrorMessage="1" sqref="D12" xr:uid="{9FB5E2AE-02ED-436A-AECF-4C3BA933ECA2}">
      <formula1>"1,5,10"</formula1>
    </dataValidation>
    <dataValidation type="list" allowBlank="1" showInputMessage="1" showErrorMessage="1" sqref="D10" xr:uid="{702C0C36-6B4C-40EE-B96D-EA1EC10427E0}">
      <formula1>"1"</formula1>
    </dataValidation>
    <dataValidation type="list" allowBlank="1" showInputMessage="1" showErrorMessage="1" sqref="D20" xr:uid="{9CF26C99-CCD0-4F91-A3FC-7066DE5F6E77}">
      <formula1>"1,2,3,4,5"</formula1>
    </dataValidation>
    <dataValidation type="decimal" allowBlank="1" showInputMessage="1" showErrorMessage="1" errorTitle="Premium Error" error="Premium must be a minimum of 50000 but not more than 500000" sqref="D18" xr:uid="{5ABC8076-F021-4DE0-B923-F46B3F35D510}">
      <formula1>50000</formula1>
      <formula2>500000</formula2>
    </dataValidation>
    <dataValidation type="list" allowBlank="1" showInputMessage="1" showErrorMessage="1" sqref="D44 D68" xr:uid="{0F1EA396-E76A-4955-AF84-83220FF2FBA4}">
      <formula1>"TRUE,FALSE"</formula1>
    </dataValidation>
    <dataValidation type="list" allowBlank="1" showInputMessage="1" showErrorMessage="1" sqref="D53" xr:uid="{684A96B7-7119-4C84-93B0-04541B03537F}">
      <formula1>"10,20,Lifetime"</formula1>
    </dataValidation>
    <dataValidation type="whole" allowBlank="1" showInputMessage="1" showErrorMessage="1" sqref="D51" xr:uid="{CDADD432-99C0-4BE9-9C6F-4A131C17D806}">
      <formula1>62</formula1>
      <formula2>75</formula2>
    </dataValidation>
    <dataValidation type="list" allowBlank="1" showInputMessage="1" showErrorMessage="1" sqref="D14" xr:uid="{295B5BFF-AA16-4CAA-A2C6-F25F775E10A3}">
      <formula1>"Fixed,Index"</formula1>
    </dataValidation>
    <dataValidation type="whole" allowBlank="1" showInputMessage="1" showErrorMessage="1" errorTitle="Minimum Age" error="Minimum age for the FIA product is 60 years old and max is 70." sqref="D4" xr:uid="{6BA00249-BFD2-B144-9CDF-1CE36EC4A754}">
      <formula1>45</formula1>
      <formula2>60</formula2>
    </dataValidation>
  </dataValidations>
  <hyperlinks>
    <hyperlink ref="D42" location="Xinput_index_table" display="Xinput_index_table" xr:uid="{A9F69829-FD98-4C7D-82AC-23060463A71F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79EEF-05E8-4532-81B3-5C1468049D9B}">
  <sheetPr codeName="Sheet3">
    <tabColor rgb="FFFFFF00"/>
  </sheetPr>
  <dimension ref="B1:D19"/>
  <sheetViews>
    <sheetView showGridLines="0" zoomScale="112" zoomScaleNormal="112" workbookViewId="0">
      <selection activeCell="C27" sqref="C27"/>
    </sheetView>
  </sheetViews>
  <sheetFormatPr defaultColWidth="8.69140625" defaultRowHeight="14.6"/>
  <cols>
    <col min="2" max="2" width="27.3046875" bestFit="1" customWidth="1"/>
    <col min="3" max="3" width="12.69140625" bestFit="1" customWidth="1"/>
  </cols>
  <sheetData>
    <row r="1" spans="2:4">
      <c r="B1" s="83" t="s">
        <v>44</v>
      </c>
    </row>
    <row r="4" spans="2:4" ht="15.9" thickBot="1">
      <c r="B4" s="102" t="s">
        <v>45</v>
      </c>
      <c r="C4" s="103"/>
    </row>
    <row r="5" spans="2:4">
      <c r="B5" s="90" t="s">
        <v>1224</v>
      </c>
      <c r="C5" s="91" t="b">
        <f>Xinput_runsolver</f>
        <v>0</v>
      </c>
      <c r="D5" t="s">
        <v>1236</v>
      </c>
    </row>
    <row r="6" spans="2:4" ht="15" thickBot="1">
      <c r="B6" s="92" t="s">
        <v>1225</v>
      </c>
      <c r="C6" s="95">
        <f>targetcell</f>
        <v>1444.6721222113556</v>
      </c>
      <c r="D6" t="s">
        <v>1237</v>
      </c>
    </row>
    <row r="7" spans="2:4" ht="15" thickTop="1">
      <c r="B7" s="92" t="s">
        <v>1226</v>
      </c>
      <c r="C7" s="96">
        <v>0</v>
      </c>
      <c r="D7" t="s">
        <v>1238</v>
      </c>
    </row>
    <row r="8" spans="2:4" ht="15" thickBot="1">
      <c r="B8" s="92" t="s">
        <v>1227</v>
      </c>
      <c r="C8" s="95">
        <f>Xinput_premium</f>
        <v>150000</v>
      </c>
      <c r="D8" t="s">
        <v>1239</v>
      </c>
    </row>
    <row r="9" spans="2:4" ht="15" thickTop="1">
      <c r="B9" s="92" t="s">
        <v>1228</v>
      </c>
      <c r="C9" s="93">
        <v>1E-3</v>
      </c>
      <c r="D9" t="s">
        <v>1240</v>
      </c>
    </row>
    <row r="10" spans="2:4">
      <c r="B10" s="92" t="s">
        <v>46</v>
      </c>
      <c r="C10" s="93">
        <v>25</v>
      </c>
      <c r="D10" t="s">
        <v>1241</v>
      </c>
    </row>
    <row r="11" spans="2:4">
      <c r="B11" s="92" t="s">
        <v>1229</v>
      </c>
      <c r="C11" s="93" t="b">
        <v>0</v>
      </c>
      <c r="D11" t="s">
        <v>1242</v>
      </c>
    </row>
    <row r="12" spans="2:4">
      <c r="B12" s="92" t="s">
        <v>1230</v>
      </c>
      <c r="C12" s="93" t="b">
        <v>1</v>
      </c>
      <c r="D12" t="s">
        <v>1243</v>
      </c>
    </row>
    <row r="13" spans="2:4">
      <c r="B13" s="92" t="s">
        <v>47</v>
      </c>
      <c r="C13" s="93">
        <v>1000</v>
      </c>
      <c r="D13" t="s">
        <v>1244</v>
      </c>
    </row>
    <row r="14" spans="2:4">
      <c r="B14" s="92" t="s">
        <v>48</v>
      </c>
      <c r="C14" s="93" t="s">
        <v>49</v>
      </c>
      <c r="D14" t="s">
        <v>1245</v>
      </c>
    </row>
    <row r="15" spans="2:4">
      <c r="B15" s="92" t="s">
        <v>50</v>
      </c>
      <c r="C15" s="96"/>
      <c r="D15" t="s">
        <v>1246</v>
      </c>
    </row>
    <row r="16" spans="2:4">
      <c r="B16" s="92" t="s">
        <v>1231</v>
      </c>
      <c r="C16" s="96"/>
      <c r="D16" t="s">
        <v>1246</v>
      </c>
    </row>
    <row r="17" spans="2:4">
      <c r="B17" s="92" t="s">
        <v>1232</v>
      </c>
      <c r="C17" s="96"/>
      <c r="D17" t="s">
        <v>1246</v>
      </c>
    </row>
    <row r="18" spans="2:4">
      <c r="B18" s="92" t="s">
        <v>1233</v>
      </c>
      <c r="C18" s="96"/>
      <c r="D18" t="s">
        <v>1246</v>
      </c>
    </row>
    <row r="19" spans="2:4" ht="15" thickBot="1">
      <c r="B19" s="94" t="s">
        <v>1234</v>
      </c>
      <c r="C19" s="97"/>
      <c r="D19" t="s">
        <v>1246</v>
      </c>
    </row>
  </sheetData>
  <mergeCells count="1">
    <mergeCell ref="B4:C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D2905-7B13-42DC-B454-9A0170459770}">
  <sheetPr codeName="Sheet7">
    <tabColor rgb="FFFFFF00"/>
  </sheetPr>
  <dimension ref="B2:S104"/>
  <sheetViews>
    <sheetView showGridLines="0" zoomScale="115" zoomScaleNormal="115" workbookViewId="0">
      <selection activeCell="A2" sqref="A2"/>
    </sheetView>
  </sheetViews>
  <sheetFormatPr defaultColWidth="8.69140625" defaultRowHeight="14.6"/>
  <cols>
    <col min="2" max="2" width="35.3828125" bestFit="1" customWidth="1"/>
    <col min="3" max="3" width="10.3046875" customWidth="1"/>
    <col min="4" max="4" width="5.3828125" customWidth="1"/>
    <col min="5" max="5" width="50.3046875" bestFit="1" customWidth="1"/>
    <col min="6" max="6" width="30.3046875" bestFit="1" customWidth="1"/>
    <col min="7" max="7" width="15.3828125" bestFit="1" customWidth="1"/>
    <col min="8" max="8" width="9.3046875" customWidth="1"/>
    <col min="9" max="9" width="11.3828125" bestFit="1" customWidth="1"/>
    <col min="10" max="10" width="11.3828125" customWidth="1"/>
    <col min="11" max="13" width="10.3046875" bestFit="1" customWidth="1"/>
    <col min="14" max="16" width="10.3046875" customWidth="1"/>
    <col min="17" max="19" width="10.3046875" bestFit="1" customWidth="1"/>
    <col min="20" max="21" width="9.3046875" customWidth="1"/>
  </cols>
  <sheetData>
    <row r="2" spans="2:19" ht="15" thickBot="1">
      <c r="B2" s="28" t="s">
        <v>51</v>
      </c>
      <c r="C2" s="29">
        <f>Xinput_allocation_option</f>
        <v>2</v>
      </c>
      <c r="E2" s="23" t="s">
        <v>52</v>
      </c>
      <c r="F2" s="23" t="s">
        <v>53</v>
      </c>
      <c r="G2" s="23" t="s">
        <v>54</v>
      </c>
      <c r="I2" s="49" t="s">
        <v>55</v>
      </c>
      <c r="J2" s="49" t="s">
        <v>56</v>
      </c>
      <c r="K2" s="49">
        <v>2</v>
      </c>
      <c r="L2" s="49">
        <v>3</v>
      </c>
      <c r="M2" s="49">
        <v>4</v>
      </c>
      <c r="N2" s="49">
        <v>5</v>
      </c>
      <c r="O2" s="49">
        <v>6</v>
      </c>
      <c r="P2" s="49">
        <v>7</v>
      </c>
      <c r="Q2" s="49">
        <v>8</v>
      </c>
      <c r="R2" s="49">
        <v>9</v>
      </c>
      <c r="S2" s="51" t="s">
        <v>57</v>
      </c>
    </row>
    <row r="3" spans="2:19" ht="15" thickBot="1">
      <c r="E3" s="26" t="s">
        <v>89</v>
      </c>
      <c r="F3" s="27" t="b">
        <v>1</v>
      </c>
      <c r="G3" s="46">
        <v>0.5</v>
      </c>
      <c r="I3" s="21">
        <v>1</v>
      </c>
      <c r="J3" s="50" cm="1">
        <f t="array" ref="J3">_xlfn.IFNA(IF($F$3,INDEX(index_return!$B$2:$J$103,$I3,MATCH('Index Selection'!$E$3,index_return!$B$1:$J$1,0)),0)*$G$3,0)</f>
        <v>1.4488963337035237E-2</v>
      </c>
      <c r="K3" s="50" cm="1">
        <f t="array" ref="K3">_xlfn.IFNA(IF($F$4,INDEX(index_return!$B$2:$J$103,$I3,MATCH('Index Selection'!$E$4,index_return!$B$1:$J$1,0)),0)*$G$4,0)</f>
        <v>5.7871388044489262E-2</v>
      </c>
      <c r="L3" s="50" cm="1">
        <f t="array" ref="L3">_xlfn.IFNA(IF($F$5,INDEX(index_return!$B$2:$J$103,$I3,MATCH('Index Selection'!$E$5,index_return!$B$1:$J$1,0)),0)*$G$5,0)</f>
        <v>0</v>
      </c>
      <c r="M3" s="50" cm="1">
        <f t="array" ref="M3">_xlfn.IFNA(IF($F$6,INDEX(index_return!$B$2:$J$103,$I3,MATCH('Index Selection'!$E$6,index_return!$B$1:$J$1,0)),0)*$G$6,0)</f>
        <v>0</v>
      </c>
      <c r="N3" s="50" cm="1">
        <f t="array" ref="N3">_xlfn.IFNA(IF($F$7,INDEX(index_return!$B$2:$J$103,$I3,MATCH('Index Selection'!$E$7,index_return!$B$1:$J$1,0)),0)*$G$7,0)</f>
        <v>0</v>
      </c>
      <c r="O3" s="50" cm="1">
        <f t="array" ref="O3">_xlfn.IFNA(IF($F$8,INDEX(index_return!$B$2:$J$103,$I3,MATCH('Index Selection'!$E$8,index_return!$B$1:$J$1,0)),0)*$G$8,0)</f>
        <v>0</v>
      </c>
      <c r="P3" s="50" cm="1">
        <f t="array" ref="P3">_xlfn.IFNA(IF($F$9,INDEX(index_return!$B$2:$J$103,$I3,MATCH('Index Selection'!$E$9,index_return!$B$1:$J$1,0)),0)*$G$9,0)</f>
        <v>0</v>
      </c>
      <c r="Q3" s="50" cm="1">
        <f t="array" ref="Q3">_xlfn.IFNA(IF($F$10,INDEX(index_return!$B$2:$J$103,$I3,MATCH('Index Selection'!$E$10,index_return!$B$1:$J$1,0)),0)*$G$10,0)</f>
        <v>0</v>
      </c>
      <c r="R3" s="50" cm="1">
        <f t="array" ref="R3">_xlfn.IFNA(IF($F$11,INDEX(index_return!$B$2:$J$103,$I3,MATCH('Index Selection'!$E$11,index_return!$B$1:$J$1,0)),0)*$G$11,0)</f>
        <v>0</v>
      </c>
      <c r="S3" s="52">
        <f>SUM(J3:R3)</f>
        <v>7.2360351381524496E-2</v>
      </c>
    </row>
    <row r="4" spans="2:19" ht="15" thickBot="1">
      <c r="E4" s="26" t="s">
        <v>90</v>
      </c>
      <c r="F4" s="27" t="b">
        <v>1</v>
      </c>
      <c r="G4" s="46">
        <v>0.5</v>
      </c>
      <c r="I4" s="21">
        <v>2</v>
      </c>
      <c r="J4" s="50" cm="1">
        <f t="array" ref="J4">_xlfn.IFNA(IF($F$3,INDEX(index_return!$B$2:$J$103,$I4,MATCH('Index Selection'!$E$3,index_return!$B$1:$J$1,0)),0)*$G$3,0)</f>
        <v>5.4551576543710734E-2</v>
      </c>
      <c r="K4" s="50" cm="1">
        <f t="array" ref="K4">_xlfn.IFNA(IF($F$4,INDEX(index_return!$B$2:$J$103,$I4,MATCH('Index Selection'!$E$4,index_return!$B$1:$J$1,0)),0)*$G$4,0)</f>
        <v>2.2012118425836769E-2</v>
      </c>
      <c r="L4" s="50" cm="1">
        <f t="array" ref="L4">_xlfn.IFNA(IF($F$5,INDEX(index_return!$B$2:$J$103,$I4,MATCH('Index Selection'!$E$5,index_return!$B$1:$J$1,0)),0)*$G$5,0)</f>
        <v>0</v>
      </c>
      <c r="M4" s="50" cm="1">
        <f t="array" ref="M4">_xlfn.IFNA(IF($F$6,INDEX(index_return!$B$2:$J$103,$I4,MATCH('Index Selection'!$E$6,index_return!$B$1:$J$1,0)),0)*$G$6,0)</f>
        <v>0</v>
      </c>
      <c r="N4" s="50" cm="1">
        <f t="array" ref="N4">_xlfn.IFNA(IF($F$7,INDEX(index_return!$B$2:$J$103,$I4,MATCH('Index Selection'!$E$7,index_return!$B$1:$J$1,0)),0)*$G$7,0)</f>
        <v>0</v>
      </c>
      <c r="O4" s="50" cm="1">
        <f t="array" ref="O4">_xlfn.IFNA(IF($F$8,INDEX(index_return!$B$2:$J$103,$I4,MATCH('Index Selection'!$E$8,index_return!$B$1:$J$1,0)),0)*$G$8,0)</f>
        <v>0</v>
      </c>
      <c r="P4" s="50" cm="1">
        <f t="array" ref="P4">_xlfn.IFNA(IF($F$9,INDEX(index_return!$B$2:$J$103,$I4,MATCH('Index Selection'!$E$9,index_return!$B$1:$J$1,0)),0)*$G$9,0)</f>
        <v>0</v>
      </c>
      <c r="Q4" s="50" cm="1">
        <f t="array" ref="Q4">_xlfn.IFNA(IF($F$10,INDEX(index_return!$B$2:$J$103,$I4,MATCH('Index Selection'!$E$10,index_return!$B$1:$J$1,0)),0)*$G$10,0)</f>
        <v>0</v>
      </c>
      <c r="R4" s="50" cm="1">
        <f t="array" ref="R4">_xlfn.IFNA(IF($F$11,INDEX(index_return!$B$2:$J$103,$I4,MATCH('Index Selection'!$E$11,index_return!$B$1:$J$1,0)),0)*$G$11,0)</f>
        <v>0</v>
      </c>
      <c r="S4" s="52">
        <f>SUM(J4:R4)</f>
        <v>7.6563694969547499E-2</v>
      </c>
    </row>
    <row r="5" spans="2:19" ht="15" thickBot="1">
      <c r="E5" s="26" t="s">
        <v>91</v>
      </c>
      <c r="F5" s="27" t="b">
        <v>0</v>
      </c>
      <c r="G5" s="46">
        <v>0</v>
      </c>
      <c r="I5" s="21">
        <v>3</v>
      </c>
      <c r="J5" s="50" cm="1">
        <f t="array" ref="J5">_xlfn.IFNA(IF($F$3,INDEX(index_return!$B$2:$J$103,$I5,MATCH('Index Selection'!$E$3,index_return!$B$1:$J$1,0)),0)*$G$3,0)</f>
        <v>0.11380947946383935</v>
      </c>
      <c r="K5" s="50" cm="1">
        <f t="array" ref="K5">_xlfn.IFNA(IF($F$4,INDEX(index_return!$B$2:$J$103,$I5,MATCH('Index Selection'!$E$4,index_return!$B$1:$J$1,0)),0)*$G$4,0)</f>
        <v>0.17482052609892679</v>
      </c>
      <c r="L5" s="50" cm="1">
        <f t="array" ref="L5">_xlfn.IFNA(IF($F$5,INDEX(index_return!$B$2:$J$103,$I5,MATCH('Index Selection'!$E$5,index_return!$B$1:$J$1,0)),0)*$G$5,0)</f>
        <v>0</v>
      </c>
      <c r="M5" s="50" cm="1">
        <f t="array" ref="M5">_xlfn.IFNA(IF($F$6,INDEX(index_return!$B$2:$J$103,$I5,MATCH('Index Selection'!$E$6,index_return!$B$1:$J$1,0)),0)*$G$6,0)</f>
        <v>0</v>
      </c>
      <c r="N5" s="50" cm="1">
        <f t="array" ref="N5">_xlfn.IFNA(IF($F$7,INDEX(index_return!$B$2:$J$103,$I5,MATCH('Index Selection'!$E$7,index_return!$B$1:$J$1,0)),0)*$G$7,0)</f>
        <v>0</v>
      </c>
      <c r="O5" s="50" cm="1">
        <f t="array" ref="O5">_xlfn.IFNA(IF($F$8,INDEX(index_return!$B$2:$J$103,$I5,MATCH('Index Selection'!$E$8,index_return!$B$1:$J$1,0)),0)*$G$8,0)</f>
        <v>0</v>
      </c>
      <c r="P5" s="50" cm="1">
        <f t="array" ref="P5">_xlfn.IFNA(IF($F$9,INDEX(index_return!$B$2:$J$103,$I5,MATCH('Index Selection'!$E$9,index_return!$B$1:$J$1,0)),0)*$G$9,0)</f>
        <v>0</v>
      </c>
      <c r="Q5" s="50" cm="1">
        <f t="array" ref="Q5">_xlfn.IFNA(IF($F$10,INDEX(index_return!$B$2:$J$103,$I5,MATCH('Index Selection'!$E$10,index_return!$B$1:$J$1,0)),0)*$G$10,0)</f>
        <v>0</v>
      </c>
      <c r="R5" s="50" cm="1">
        <f t="array" ref="R5">_xlfn.IFNA(IF($F$11,INDEX(index_return!$B$2:$J$103,$I5,MATCH('Index Selection'!$E$11,index_return!$B$1:$J$1,0)),0)*$G$11,0)</f>
        <v>0</v>
      </c>
      <c r="S5" s="52">
        <f>SUM(J5:R5)</f>
        <v>0.28863000556276613</v>
      </c>
    </row>
    <row r="6" spans="2:19" ht="15" thickBot="1">
      <c r="E6" s="26" t="s">
        <v>92</v>
      </c>
      <c r="F6" s="27" t="b">
        <v>0</v>
      </c>
      <c r="G6" s="46">
        <v>0</v>
      </c>
      <c r="I6" s="21">
        <v>4</v>
      </c>
      <c r="J6" s="50" cm="1">
        <f t="array" ref="J6">_xlfn.IFNA(IF($F$3,INDEX(index_return!$B$2:$J$103,$I6,MATCH('Index Selection'!$E$3,index_return!$B$1:$J$1,0)),0)*$G$3,0)</f>
        <v>6.5893155357102676E-2</v>
      </c>
      <c r="K6" s="50" cm="1">
        <f t="array" ref="K6">_xlfn.IFNA(IF($F$4,INDEX(index_return!$B$2:$J$103,$I6,MATCH('Index Selection'!$E$4,index_return!$B$1:$J$1,0)),0)*$G$4,0)</f>
        <v>0.10072370935014653</v>
      </c>
      <c r="L6" s="50" cm="1">
        <f t="array" ref="L6">_xlfn.IFNA(IF($F$5,INDEX(index_return!$B$2:$J$103,$I6,MATCH('Index Selection'!$E$5,index_return!$B$1:$J$1,0)),0)*$G$5,0)</f>
        <v>0</v>
      </c>
      <c r="M6" s="50" cm="1">
        <f t="array" ref="M6">_xlfn.IFNA(IF($F$6,INDEX(index_return!$B$2:$J$103,$I6,MATCH('Index Selection'!$E$6,index_return!$B$1:$J$1,0)),0)*$G$6,0)</f>
        <v>0</v>
      </c>
      <c r="N6" s="50" cm="1">
        <f t="array" ref="N6">_xlfn.IFNA(IF($F$7,INDEX(index_return!$B$2:$J$103,$I6,MATCH('Index Selection'!$E$7,index_return!$B$1:$J$1,0)),0)*$G$7,0)</f>
        <v>0</v>
      </c>
      <c r="O6" s="50" cm="1">
        <f t="array" ref="O6">_xlfn.IFNA(IF($F$8,INDEX(index_return!$B$2:$J$103,$I6,MATCH('Index Selection'!$E$8,index_return!$B$1:$J$1,0)),0)*$G$8,0)</f>
        <v>0</v>
      </c>
      <c r="P6" s="50" cm="1">
        <f t="array" ref="P6">_xlfn.IFNA(IF($F$9,INDEX(index_return!$B$2:$J$103,$I6,MATCH('Index Selection'!$E$9,index_return!$B$1:$J$1,0)),0)*$G$9,0)</f>
        <v>0</v>
      </c>
      <c r="Q6" s="50" cm="1">
        <f t="array" ref="Q6">_xlfn.IFNA(IF($F$10,INDEX(index_return!$B$2:$J$103,$I6,MATCH('Index Selection'!$E$10,index_return!$B$1:$J$1,0)),0)*$G$10,0)</f>
        <v>0</v>
      </c>
      <c r="R6" s="50" cm="1">
        <f t="array" ref="R6">_xlfn.IFNA(IF($F$11,INDEX(index_return!$B$2:$J$103,$I6,MATCH('Index Selection'!$E$11,index_return!$B$1:$J$1,0)),0)*$G$11,0)</f>
        <v>0</v>
      </c>
      <c r="S6" s="52">
        <f t="shared" ref="S6:S38" si="0">SUM(J6:R6)</f>
        <v>0.16661686470724921</v>
      </c>
    </row>
    <row r="7" spans="2:19" ht="15" thickBot="1">
      <c r="E7" s="26" t="s">
        <v>93</v>
      </c>
      <c r="F7" s="27" t="b">
        <v>0</v>
      </c>
      <c r="G7" s="46">
        <v>0</v>
      </c>
      <c r="I7" s="21">
        <v>5</v>
      </c>
      <c r="J7" s="50" cm="1">
        <f t="array" ref="J7">_xlfn.IFNA(IF($F$3,INDEX(index_return!$B$2:$J$103,$I7,MATCH('Index Selection'!$E$3,index_return!$B$1:$J$1,0)),0)*$G$3,0)</f>
        <v>-4.0928966500356365E-2</v>
      </c>
      <c r="K7" s="50" cm="1">
        <f t="array" ref="K7">_xlfn.IFNA(IF($F$4,INDEX(index_return!$B$2:$J$103,$I7,MATCH('Index Selection'!$E$4,index_return!$B$1:$J$1,0)),0)*$G$4,0)</f>
        <v>-2.6972259727436644E-2</v>
      </c>
      <c r="L7" s="50" cm="1">
        <f t="array" ref="L7">_xlfn.IFNA(IF($F$5,INDEX(index_return!$B$2:$J$103,$I7,MATCH('Index Selection'!$E$5,index_return!$B$1:$J$1,0)),0)*$G$5,0)</f>
        <v>0</v>
      </c>
      <c r="M7" s="50" cm="1">
        <f t="array" ref="M7">_xlfn.IFNA(IF($F$6,INDEX(index_return!$B$2:$J$103,$I7,MATCH('Index Selection'!$E$6,index_return!$B$1:$J$1,0)),0)*$G$6,0)</f>
        <v>0</v>
      </c>
      <c r="N7" s="50" cm="1">
        <f t="array" ref="N7">_xlfn.IFNA(IF($F$7,INDEX(index_return!$B$2:$J$103,$I7,MATCH('Index Selection'!$E$7,index_return!$B$1:$J$1,0)),0)*$G$7,0)</f>
        <v>0</v>
      </c>
      <c r="O7" s="50" cm="1">
        <f t="array" ref="O7">_xlfn.IFNA(IF($F$8,INDEX(index_return!$B$2:$J$103,$I7,MATCH('Index Selection'!$E$8,index_return!$B$1:$J$1,0)),0)*$G$8,0)</f>
        <v>0</v>
      </c>
      <c r="P7" s="50" cm="1">
        <f t="array" ref="P7">_xlfn.IFNA(IF($F$9,INDEX(index_return!$B$2:$J$103,$I7,MATCH('Index Selection'!$E$9,index_return!$B$1:$J$1,0)),0)*$G$9,0)</f>
        <v>0</v>
      </c>
      <c r="Q7" s="50" cm="1">
        <f t="array" ref="Q7">_xlfn.IFNA(IF($F$10,INDEX(index_return!$B$2:$J$103,$I7,MATCH('Index Selection'!$E$10,index_return!$B$1:$J$1,0)),0)*$G$10,0)</f>
        <v>0</v>
      </c>
      <c r="R7" s="50" cm="1">
        <f t="array" ref="R7">_xlfn.IFNA(IF($F$11,INDEX(index_return!$B$2:$J$103,$I7,MATCH('Index Selection'!$E$11,index_return!$B$1:$J$1,0)),0)*$G$11,0)</f>
        <v>0</v>
      </c>
      <c r="S7" s="52">
        <f t="shared" si="0"/>
        <v>-6.7901226227793016E-2</v>
      </c>
    </row>
    <row r="8" spans="2:19" ht="15" thickBot="1">
      <c r="E8" s="26" t="s">
        <v>94</v>
      </c>
      <c r="F8" s="27" t="b">
        <v>0</v>
      </c>
      <c r="G8" s="46">
        <v>0</v>
      </c>
      <c r="I8" s="21">
        <v>6</v>
      </c>
      <c r="J8" s="50" cm="1">
        <f t="array" ref="J8">_xlfn.IFNA(IF($F$3,INDEX(index_return!$B$2:$J$103,$I8,MATCH('Index Selection'!$E$3,index_return!$B$1:$J$1,0)),0)*$G$3,0)</f>
        <v>0.11163523945529505</v>
      </c>
      <c r="K8" s="50" cm="1">
        <f t="array" ref="K8">_xlfn.IFNA(IF($F$4,INDEX(index_return!$B$2:$J$103,$I8,MATCH('Index Selection'!$E$4,index_return!$B$1:$J$1,0)),0)*$G$4,0)</f>
        <v>0.13439153256183842</v>
      </c>
      <c r="L8" s="50" cm="1">
        <f t="array" ref="L8">_xlfn.IFNA(IF($F$5,INDEX(index_return!$B$2:$J$103,$I8,MATCH('Index Selection'!$E$5,index_return!$B$1:$J$1,0)),0)*$G$5,0)</f>
        <v>0</v>
      </c>
      <c r="M8" s="50" cm="1">
        <f t="array" ref="M8">_xlfn.IFNA(IF($F$6,INDEX(index_return!$B$2:$J$103,$I8,MATCH('Index Selection'!$E$6,index_return!$B$1:$J$1,0)),0)*$G$6,0)</f>
        <v>0</v>
      </c>
      <c r="N8" s="50" cm="1">
        <f t="array" ref="N8">_xlfn.IFNA(IF($F$7,INDEX(index_return!$B$2:$J$103,$I8,MATCH('Index Selection'!$E$7,index_return!$B$1:$J$1,0)),0)*$G$7,0)</f>
        <v>0</v>
      </c>
      <c r="O8" s="50" cm="1">
        <f t="array" ref="O8">_xlfn.IFNA(IF($F$8,INDEX(index_return!$B$2:$J$103,$I8,MATCH('Index Selection'!$E$8,index_return!$B$1:$J$1,0)),0)*$G$8,0)</f>
        <v>0</v>
      </c>
      <c r="P8" s="50" cm="1">
        <f t="array" ref="P8">_xlfn.IFNA(IF($F$9,INDEX(index_return!$B$2:$J$103,$I8,MATCH('Index Selection'!$E$9,index_return!$B$1:$J$1,0)),0)*$G$9,0)</f>
        <v>0</v>
      </c>
      <c r="Q8" s="50" cm="1">
        <f t="array" ref="Q8">_xlfn.IFNA(IF($F$10,INDEX(index_return!$B$2:$J$103,$I8,MATCH('Index Selection'!$E$10,index_return!$B$1:$J$1,0)),0)*$G$10,0)</f>
        <v>0</v>
      </c>
      <c r="R8" s="50" cm="1">
        <f t="array" ref="R8">_xlfn.IFNA(IF($F$11,INDEX(index_return!$B$2:$J$103,$I8,MATCH('Index Selection'!$E$11,index_return!$B$1:$J$1,0)),0)*$G$11,0)</f>
        <v>0</v>
      </c>
      <c r="S8" s="52">
        <f t="shared" si="0"/>
        <v>0.24602677201713347</v>
      </c>
    </row>
    <row r="9" spans="2:19" ht="15" thickBot="1">
      <c r="E9" s="26" t="s">
        <v>95</v>
      </c>
      <c r="F9" s="27" t="b">
        <v>0</v>
      </c>
      <c r="G9" s="46">
        <v>0</v>
      </c>
      <c r="I9" s="21">
        <v>7</v>
      </c>
      <c r="J9" s="50" cm="1">
        <f t="array" ref="J9">_xlfn.IFNA(IF($F$3,INDEX(index_return!$B$2:$J$103,$I9,MATCH('Index Selection'!$E$3,index_return!$B$1:$J$1,0)),0)*$G$3,0)</f>
        <v>7.4078582367199858E-2</v>
      </c>
      <c r="K9" s="50" cm="1">
        <f t="array" ref="K9">_xlfn.IFNA(IF($F$4,INDEX(index_return!$B$2:$J$103,$I9,MATCH('Index Selection'!$E$4,index_return!$B$1:$J$1,0)),0)*$G$4,0)</f>
        <v>0.142966342119874</v>
      </c>
      <c r="L9" s="50" cm="1">
        <f t="array" ref="L9">_xlfn.IFNA(IF($F$5,INDEX(index_return!$B$2:$J$103,$I9,MATCH('Index Selection'!$E$5,index_return!$B$1:$J$1,0)),0)*$G$5,0)</f>
        <v>0</v>
      </c>
      <c r="M9" s="50" cm="1">
        <f t="array" ref="M9">_xlfn.IFNA(IF($F$6,INDEX(index_return!$B$2:$J$103,$I9,MATCH('Index Selection'!$E$6,index_return!$B$1:$J$1,0)),0)*$G$6,0)</f>
        <v>0</v>
      </c>
      <c r="N9" s="50" cm="1">
        <f t="array" ref="N9">_xlfn.IFNA(IF($F$7,INDEX(index_return!$B$2:$J$103,$I9,MATCH('Index Selection'!$E$7,index_return!$B$1:$J$1,0)),0)*$G$7,0)</f>
        <v>0</v>
      </c>
      <c r="O9" s="50" cm="1">
        <f t="array" ref="O9">_xlfn.IFNA(IF($F$8,INDEX(index_return!$B$2:$J$103,$I9,MATCH('Index Selection'!$E$8,index_return!$B$1:$J$1,0)),0)*$G$8,0)</f>
        <v>0</v>
      </c>
      <c r="P9" s="50" cm="1">
        <f t="array" ref="P9">_xlfn.IFNA(IF($F$9,INDEX(index_return!$B$2:$J$103,$I9,MATCH('Index Selection'!$E$9,index_return!$B$1:$J$1,0)),0)*$G$9,0)</f>
        <v>0</v>
      </c>
      <c r="Q9" s="50" cm="1">
        <f t="array" ref="Q9">_xlfn.IFNA(IF($F$10,INDEX(index_return!$B$2:$J$103,$I9,MATCH('Index Selection'!$E$10,index_return!$B$1:$J$1,0)),0)*$G$10,0)</f>
        <v>0</v>
      </c>
      <c r="R9" s="50" cm="1">
        <f t="array" ref="R9">_xlfn.IFNA(IF($F$11,INDEX(index_return!$B$2:$J$103,$I9,MATCH('Index Selection'!$E$11,index_return!$B$1:$J$1,0)),0)*$G$11,0)</f>
        <v>0</v>
      </c>
      <c r="S9" s="52">
        <f t="shared" si="0"/>
        <v>0.21704492448707385</v>
      </c>
    </row>
    <row r="10" spans="2:19" ht="15" thickBot="1">
      <c r="E10" s="26" t="s">
        <v>96</v>
      </c>
      <c r="F10" s="27" t="b">
        <v>0</v>
      </c>
      <c r="G10" s="46">
        <v>0</v>
      </c>
      <c r="I10" s="21">
        <v>8</v>
      </c>
      <c r="J10" s="50" cm="1">
        <f t="array" ref="J10">_xlfn.IFNA(IF($F$3,INDEX(index_return!$B$2:$J$103,$I10,MATCH('Index Selection'!$E$3,index_return!$B$1:$J$1,0)),0)*$G$3,0)</f>
        <v>1.301848493994031E-2</v>
      </c>
      <c r="K10" s="50" cm="1">
        <f t="array" ref="K10">_xlfn.IFNA(IF($F$4,INDEX(index_return!$B$2:$J$103,$I10,MATCH('Index Selection'!$E$4,index_return!$B$1:$J$1,0)),0)*$G$4,0)</f>
        <v>1.7733802843017565E-2</v>
      </c>
      <c r="L10" s="50" cm="1">
        <f t="array" ref="L10">_xlfn.IFNA(IF($F$5,INDEX(index_return!$B$2:$J$103,$I10,MATCH('Index Selection'!$E$5,index_return!$B$1:$J$1,0)),0)*$G$5,0)</f>
        <v>0</v>
      </c>
      <c r="M10" s="50" cm="1">
        <f t="array" ref="M10">_xlfn.IFNA(IF($F$6,INDEX(index_return!$B$2:$J$103,$I10,MATCH('Index Selection'!$E$6,index_return!$B$1:$J$1,0)),0)*$G$6,0)</f>
        <v>0</v>
      </c>
      <c r="N10" s="50" cm="1">
        <f t="array" ref="N10">_xlfn.IFNA(IF($F$7,INDEX(index_return!$B$2:$J$103,$I10,MATCH('Index Selection'!$E$7,index_return!$B$1:$J$1,0)),0)*$G$7,0)</f>
        <v>0</v>
      </c>
      <c r="O10" s="50" cm="1">
        <f t="array" ref="O10">_xlfn.IFNA(IF($F$8,INDEX(index_return!$B$2:$J$103,$I10,MATCH('Index Selection'!$E$8,index_return!$B$1:$J$1,0)),0)*$G$8,0)</f>
        <v>0</v>
      </c>
      <c r="P10" s="50" cm="1">
        <f t="array" ref="P10">_xlfn.IFNA(IF($F$9,INDEX(index_return!$B$2:$J$103,$I10,MATCH('Index Selection'!$E$9,index_return!$B$1:$J$1,0)),0)*$G$9,0)</f>
        <v>0</v>
      </c>
      <c r="Q10" s="50" cm="1">
        <f t="array" ref="Q10">_xlfn.IFNA(IF($F$10,INDEX(index_return!$B$2:$J$103,$I10,MATCH('Index Selection'!$E$10,index_return!$B$1:$J$1,0)),0)*$G$10,0)</f>
        <v>0</v>
      </c>
      <c r="R10" s="50" cm="1">
        <f t="array" ref="R10">_xlfn.IFNA(IF($F$11,INDEX(index_return!$B$2:$J$103,$I10,MATCH('Index Selection'!$E$11,index_return!$B$1:$J$1,0)),0)*$G$11,0)</f>
        <v>0</v>
      </c>
      <c r="S10" s="52">
        <f t="shared" si="0"/>
        <v>3.0752287782957875E-2</v>
      </c>
    </row>
    <row r="11" spans="2:19" ht="15" thickBot="1">
      <c r="E11" s="26" t="s">
        <v>97</v>
      </c>
      <c r="F11" s="27" t="b">
        <v>0</v>
      </c>
      <c r="G11" s="46">
        <v>0</v>
      </c>
      <c r="I11" s="21">
        <v>9</v>
      </c>
      <c r="J11" s="50" cm="1">
        <f t="array" ref="J11">_xlfn.IFNA(IF($F$3,INDEX(index_return!$B$2:$J$103,$I11,MATCH('Index Selection'!$E$3,index_return!$B$1:$J$1,0)),0)*$G$3,0)</f>
        <v>3.0477750254006113E-2</v>
      </c>
      <c r="K11" s="50" cm="1">
        <f t="array" ref="K11">_xlfn.IFNA(IF($F$4,INDEX(index_return!$B$2:$J$103,$I11,MATCH('Index Selection'!$E$4,index_return!$B$1:$J$1,0)),0)*$G$4,0)</f>
        <v>9.6110924105125201E-2</v>
      </c>
      <c r="L11" s="50" cm="1">
        <f t="array" ref="L11">_xlfn.IFNA(IF($F$5,INDEX(index_return!$B$2:$J$103,$I11,MATCH('Index Selection'!$E$5,index_return!$B$1:$J$1,0)),0)*$G$5,0)</f>
        <v>0</v>
      </c>
      <c r="M11" s="50" cm="1">
        <f t="array" ref="M11">_xlfn.IFNA(IF($F$6,INDEX(index_return!$B$2:$J$103,$I11,MATCH('Index Selection'!$E$6,index_return!$B$1:$J$1,0)),0)*$G$6,0)</f>
        <v>0</v>
      </c>
      <c r="N11" s="50" cm="1">
        <f t="array" ref="N11">_xlfn.IFNA(IF($F$7,INDEX(index_return!$B$2:$J$103,$I11,MATCH('Index Selection'!$E$7,index_return!$B$1:$J$1,0)),0)*$G$7,0)</f>
        <v>0</v>
      </c>
      <c r="O11" s="50" cm="1">
        <f t="array" ref="O11">_xlfn.IFNA(IF($F$8,INDEX(index_return!$B$2:$J$103,$I11,MATCH('Index Selection'!$E$8,index_return!$B$1:$J$1,0)),0)*$G$8,0)</f>
        <v>0</v>
      </c>
      <c r="P11" s="50" cm="1">
        <f t="array" ref="P11">_xlfn.IFNA(IF($F$9,INDEX(index_return!$B$2:$J$103,$I11,MATCH('Index Selection'!$E$9,index_return!$B$1:$J$1,0)),0)*$G$9,0)</f>
        <v>0</v>
      </c>
      <c r="Q11" s="50" cm="1">
        <f t="array" ref="Q11">_xlfn.IFNA(IF($F$10,INDEX(index_return!$B$2:$J$103,$I11,MATCH('Index Selection'!$E$10,index_return!$B$1:$J$1,0)),0)*$G$10,0)</f>
        <v>0</v>
      </c>
      <c r="R11" s="50" cm="1">
        <f t="array" ref="R11">_xlfn.IFNA(IF($F$11,INDEX(index_return!$B$2:$J$103,$I11,MATCH('Index Selection'!$E$11,index_return!$B$1:$J$1,0)),0)*$G$11,0)</f>
        <v>0</v>
      </c>
      <c r="S11" s="52">
        <f t="shared" si="0"/>
        <v>0.12658867435913132</v>
      </c>
    </row>
    <row r="12" spans="2:19" ht="15" thickBot="1">
      <c r="E12" s="48" t="s">
        <v>58</v>
      </c>
      <c r="F12" s="47" t="s">
        <v>57</v>
      </c>
      <c r="G12" s="46">
        <f>SUM(G3:G11)</f>
        <v>1</v>
      </c>
      <c r="I12" s="21">
        <v>10</v>
      </c>
      <c r="J12" s="50" cm="1">
        <f t="array" ref="J12">_xlfn.IFNA(IF($F$3,INDEX(index_return!$B$2:$J$103,$I12,MATCH('Index Selection'!$E$3,index_return!$B$1:$J$1,0)),0)*$G$3,0)</f>
        <v>0.15212985252004446</v>
      </c>
      <c r="K12" s="50" cm="1">
        <f t="array" ref="K12">_xlfn.IFNA(IF($F$4,INDEX(index_return!$B$2:$J$103,$I12,MATCH('Index Selection'!$E$4,index_return!$B$1:$J$1,0)),0)*$G$4,0)</f>
        <v>0.29208553022423384</v>
      </c>
      <c r="L12" s="50" cm="1">
        <f t="array" ref="L12">_xlfn.IFNA(IF($F$5,INDEX(index_return!$B$2:$J$103,$I12,MATCH('Index Selection'!$E$5,index_return!$B$1:$J$1,0)),0)*$G$5,0)</f>
        <v>0</v>
      </c>
      <c r="M12" s="50" cm="1">
        <f t="array" ref="M12">_xlfn.IFNA(IF($F$6,INDEX(index_return!$B$2:$J$103,$I12,MATCH('Index Selection'!$E$6,index_return!$B$1:$J$1,0)),0)*$G$6,0)</f>
        <v>0</v>
      </c>
      <c r="N12" s="50" cm="1">
        <f t="array" ref="N12">_xlfn.IFNA(IF($F$7,INDEX(index_return!$B$2:$J$103,$I12,MATCH('Index Selection'!$E$7,index_return!$B$1:$J$1,0)),0)*$G$7,0)</f>
        <v>0</v>
      </c>
      <c r="O12" s="50" cm="1">
        <f t="array" ref="O12">_xlfn.IFNA(IF($F$8,INDEX(index_return!$B$2:$J$103,$I12,MATCH('Index Selection'!$E$8,index_return!$B$1:$J$1,0)),0)*$G$8,0)</f>
        <v>0</v>
      </c>
      <c r="P12" s="50" cm="1">
        <f t="array" ref="P12">_xlfn.IFNA(IF($F$9,INDEX(index_return!$B$2:$J$103,$I12,MATCH('Index Selection'!$E$9,index_return!$B$1:$J$1,0)),0)*$G$9,0)</f>
        <v>0</v>
      </c>
      <c r="Q12" s="50" cm="1">
        <f t="array" ref="Q12">_xlfn.IFNA(IF($F$10,INDEX(index_return!$B$2:$J$103,$I12,MATCH('Index Selection'!$E$10,index_return!$B$1:$J$1,0)),0)*$G$10,0)</f>
        <v>0</v>
      </c>
      <c r="R12" s="50" cm="1">
        <f t="array" ref="R12">_xlfn.IFNA(IF($F$11,INDEX(index_return!$B$2:$J$103,$I12,MATCH('Index Selection'!$E$11,index_return!$B$1:$J$1,0)),0)*$G$11,0)</f>
        <v>0</v>
      </c>
      <c r="S12" s="52">
        <f t="shared" si="0"/>
        <v>0.4442153827442783</v>
      </c>
    </row>
    <row r="13" spans="2:19" ht="15" thickBot="1">
      <c r="I13" s="21">
        <v>11</v>
      </c>
      <c r="J13" s="50" cm="1">
        <f t="array" ref="J13">_xlfn.IFNA(IF($F$3,INDEX(index_return!$B$2:$J$103,$I13,MATCH('Index Selection'!$E$3,index_return!$B$1:$J$1,0)),0)*$G$3,0)</f>
        <v>-0.32777110880714977</v>
      </c>
      <c r="K13" s="50" cm="1">
        <f t="array" ref="K13">_xlfn.IFNA(IF($F$4,INDEX(index_return!$B$2:$J$103,$I13,MATCH('Index Selection'!$E$4,index_return!$B$1:$J$1,0)),0)*$G$4,0)</f>
        <v>-0.4123091239157286</v>
      </c>
      <c r="L13" s="50" cm="1">
        <f t="array" ref="L13">_xlfn.IFNA(IF($F$5,INDEX(index_return!$B$2:$J$103,$I13,MATCH('Index Selection'!$E$5,index_return!$B$1:$J$1,0)),0)*$G$5,0)</f>
        <v>0</v>
      </c>
      <c r="M13" s="50" cm="1">
        <f t="array" ref="M13">_xlfn.IFNA(IF($F$6,INDEX(index_return!$B$2:$J$103,$I13,MATCH('Index Selection'!$E$6,index_return!$B$1:$J$1,0)),0)*$G$6,0)</f>
        <v>0</v>
      </c>
      <c r="N13" s="50" cm="1">
        <f t="array" ref="N13">_xlfn.IFNA(IF($F$7,INDEX(index_return!$B$2:$J$103,$I13,MATCH('Index Selection'!$E$7,index_return!$B$1:$J$1,0)),0)*$G$7,0)</f>
        <v>0</v>
      </c>
      <c r="O13" s="50" cm="1">
        <f t="array" ref="O13">_xlfn.IFNA(IF($F$8,INDEX(index_return!$B$2:$J$103,$I13,MATCH('Index Selection'!$E$8,index_return!$B$1:$J$1,0)),0)*$G$8,0)</f>
        <v>0</v>
      </c>
      <c r="P13" s="50" cm="1">
        <f t="array" ref="P13">_xlfn.IFNA(IF($F$9,INDEX(index_return!$B$2:$J$103,$I13,MATCH('Index Selection'!$E$9,index_return!$B$1:$J$1,0)),0)*$G$9,0)</f>
        <v>0</v>
      </c>
      <c r="Q13" s="50" cm="1">
        <f t="array" ref="Q13">_xlfn.IFNA(IF($F$10,INDEX(index_return!$B$2:$J$103,$I13,MATCH('Index Selection'!$E$10,index_return!$B$1:$J$1,0)),0)*$G$10,0)</f>
        <v>0</v>
      </c>
      <c r="R13" s="50" cm="1">
        <f t="array" ref="R13">_xlfn.IFNA(IF($F$11,INDEX(index_return!$B$2:$J$103,$I13,MATCH('Index Selection'!$E$11,index_return!$B$1:$J$1,0)),0)*$G$11,0)</f>
        <v>0</v>
      </c>
      <c r="S13" s="52">
        <f t="shared" si="0"/>
        <v>-0.74008023272287837</v>
      </c>
    </row>
    <row r="14" spans="2:19" ht="15" thickBot="1">
      <c r="I14" s="21">
        <v>12</v>
      </c>
      <c r="J14" s="50" cm="1">
        <f t="array" ref="J14">_xlfn.IFNA(IF($F$3,INDEX(index_return!$B$2:$J$103,$I14,MATCH('Index Selection'!$E$3,index_return!$B$1:$J$1,0)),0)*$G$3,0)</f>
        <v>1.4488963337035237E-2</v>
      </c>
      <c r="K14" s="50" cm="1">
        <f t="array" ref="K14">_xlfn.IFNA(IF($F$4,INDEX(index_return!$B$2:$J$103,$I14,MATCH('Index Selection'!$E$4,index_return!$B$1:$J$1,0)),0)*$G$4,0)</f>
        <v>5.7871388044489262E-2</v>
      </c>
      <c r="L14" s="50" cm="1">
        <f t="array" ref="L14">_xlfn.IFNA(IF($F$5,INDEX(index_return!$B$2:$J$103,$I14,MATCH('Index Selection'!$E$5,index_return!$B$1:$J$1,0)),0)*$G$5,0)</f>
        <v>0</v>
      </c>
      <c r="M14" s="50" cm="1">
        <f t="array" ref="M14">_xlfn.IFNA(IF($F$6,INDEX(index_return!$B$2:$J$103,$I14,MATCH('Index Selection'!$E$6,index_return!$B$1:$J$1,0)),0)*$G$6,0)</f>
        <v>0</v>
      </c>
      <c r="N14" s="50" cm="1">
        <f t="array" ref="N14">_xlfn.IFNA(IF($F$7,INDEX(index_return!$B$2:$J$103,$I14,MATCH('Index Selection'!$E$7,index_return!$B$1:$J$1,0)),0)*$G$7,0)</f>
        <v>0</v>
      </c>
      <c r="O14" s="50" cm="1">
        <f t="array" ref="O14">_xlfn.IFNA(IF($F$8,INDEX(index_return!$B$2:$J$103,$I14,MATCH('Index Selection'!$E$8,index_return!$B$1:$J$1,0)),0)*$G$8,0)</f>
        <v>0</v>
      </c>
      <c r="P14" s="50" cm="1">
        <f t="array" ref="P14">_xlfn.IFNA(IF($F$9,INDEX(index_return!$B$2:$J$103,$I14,MATCH('Index Selection'!$E$9,index_return!$B$1:$J$1,0)),0)*$G$9,0)</f>
        <v>0</v>
      </c>
      <c r="Q14" s="50" cm="1">
        <f t="array" ref="Q14">_xlfn.IFNA(IF($F$10,INDEX(index_return!$B$2:$J$103,$I14,MATCH('Index Selection'!$E$10,index_return!$B$1:$J$1,0)),0)*$G$10,0)</f>
        <v>0</v>
      </c>
      <c r="R14" s="50" cm="1">
        <f t="array" ref="R14">_xlfn.IFNA(IF($F$11,INDEX(index_return!$B$2:$J$103,$I14,MATCH('Index Selection'!$E$11,index_return!$B$1:$J$1,0)),0)*$G$11,0)</f>
        <v>0</v>
      </c>
      <c r="S14" s="52">
        <f t="shared" si="0"/>
        <v>7.2360351381524496E-2</v>
      </c>
    </row>
    <row r="15" spans="2:19" ht="15" thickBot="1">
      <c r="I15" s="21">
        <v>13</v>
      </c>
      <c r="J15" s="50" cm="1">
        <f t="array" ref="J15">_xlfn.IFNA(IF($F$3,INDEX(index_return!$B$2:$J$103,$I15,MATCH('Index Selection'!$E$3,index_return!$B$1:$J$1,0)),0)*$G$3,0)</f>
        <v>5.4551576543710734E-2</v>
      </c>
      <c r="K15" s="50" cm="1">
        <f t="array" ref="K15">_xlfn.IFNA(IF($F$4,INDEX(index_return!$B$2:$J$103,$I15,MATCH('Index Selection'!$E$4,index_return!$B$1:$J$1,0)),0)*$G$4,0)</f>
        <v>2.2012118425836769E-2</v>
      </c>
      <c r="L15" s="50" cm="1">
        <f t="array" ref="L15">_xlfn.IFNA(IF($F$5,INDEX(index_return!$B$2:$J$103,$I15,MATCH('Index Selection'!$E$5,index_return!$B$1:$J$1,0)),0)*$G$5,0)</f>
        <v>0</v>
      </c>
      <c r="M15" s="50" cm="1">
        <f t="array" ref="M15">_xlfn.IFNA(IF($F$6,INDEX(index_return!$B$2:$J$103,$I15,MATCH('Index Selection'!$E$6,index_return!$B$1:$J$1,0)),0)*$G$6,0)</f>
        <v>0</v>
      </c>
      <c r="N15" s="50" cm="1">
        <f t="array" ref="N15">_xlfn.IFNA(IF($F$7,INDEX(index_return!$B$2:$J$103,$I15,MATCH('Index Selection'!$E$7,index_return!$B$1:$J$1,0)),0)*$G$7,0)</f>
        <v>0</v>
      </c>
      <c r="O15" s="50" cm="1">
        <f t="array" ref="O15">_xlfn.IFNA(IF($F$8,INDEX(index_return!$B$2:$J$103,$I15,MATCH('Index Selection'!$E$8,index_return!$B$1:$J$1,0)),0)*$G$8,0)</f>
        <v>0</v>
      </c>
      <c r="P15" s="50" cm="1">
        <f t="array" ref="P15">_xlfn.IFNA(IF($F$9,INDEX(index_return!$B$2:$J$103,$I15,MATCH('Index Selection'!$E$9,index_return!$B$1:$J$1,0)),0)*$G$9,0)</f>
        <v>0</v>
      </c>
      <c r="Q15" s="50" cm="1">
        <f t="array" ref="Q15">_xlfn.IFNA(IF($F$10,INDEX(index_return!$B$2:$J$103,$I15,MATCH('Index Selection'!$E$10,index_return!$B$1:$J$1,0)),0)*$G$10,0)</f>
        <v>0</v>
      </c>
      <c r="R15" s="50" cm="1">
        <f t="array" ref="R15">_xlfn.IFNA(IF($F$11,INDEX(index_return!$B$2:$J$103,$I15,MATCH('Index Selection'!$E$11,index_return!$B$1:$J$1,0)),0)*$G$11,0)</f>
        <v>0</v>
      </c>
      <c r="S15" s="52">
        <f t="shared" si="0"/>
        <v>7.6563694969547499E-2</v>
      </c>
    </row>
    <row r="16" spans="2:19" ht="15" thickBot="1">
      <c r="I16" s="21">
        <v>14</v>
      </c>
      <c r="J16" s="50" cm="1">
        <f t="array" ref="J16">_xlfn.IFNA(IF($F$3,INDEX(index_return!$B$2:$J$103,$I16,MATCH('Index Selection'!$E$3,index_return!$B$1:$J$1,0)),0)*$G$3,0)</f>
        <v>0.11380947946383935</v>
      </c>
      <c r="K16" s="50" cm="1">
        <f t="array" ref="K16">_xlfn.IFNA(IF($F$4,INDEX(index_return!$B$2:$J$103,$I16,MATCH('Index Selection'!$E$4,index_return!$B$1:$J$1,0)),0)*$G$4,0)</f>
        <v>0.17482052609892679</v>
      </c>
      <c r="L16" s="50" cm="1">
        <f t="array" ref="L16">_xlfn.IFNA(IF($F$5,INDEX(index_return!$B$2:$J$103,$I16,MATCH('Index Selection'!$E$5,index_return!$B$1:$J$1,0)),0)*$G$5,0)</f>
        <v>0</v>
      </c>
      <c r="M16" s="50" cm="1">
        <f t="array" ref="M16">_xlfn.IFNA(IF($F$6,INDEX(index_return!$B$2:$J$103,$I16,MATCH('Index Selection'!$E$6,index_return!$B$1:$J$1,0)),0)*$G$6,0)</f>
        <v>0</v>
      </c>
      <c r="N16" s="50" cm="1">
        <f t="array" ref="N16">_xlfn.IFNA(IF($F$7,INDEX(index_return!$B$2:$J$103,$I16,MATCH('Index Selection'!$E$7,index_return!$B$1:$J$1,0)),0)*$G$7,0)</f>
        <v>0</v>
      </c>
      <c r="O16" s="50" cm="1">
        <f t="array" ref="O16">_xlfn.IFNA(IF($F$8,INDEX(index_return!$B$2:$J$103,$I16,MATCH('Index Selection'!$E$8,index_return!$B$1:$J$1,0)),0)*$G$8,0)</f>
        <v>0</v>
      </c>
      <c r="P16" s="50" cm="1">
        <f t="array" ref="P16">_xlfn.IFNA(IF($F$9,INDEX(index_return!$B$2:$J$103,$I16,MATCH('Index Selection'!$E$9,index_return!$B$1:$J$1,0)),0)*$G$9,0)</f>
        <v>0</v>
      </c>
      <c r="Q16" s="50" cm="1">
        <f t="array" ref="Q16">_xlfn.IFNA(IF($F$10,INDEX(index_return!$B$2:$J$103,$I16,MATCH('Index Selection'!$E$10,index_return!$B$1:$J$1,0)),0)*$G$10,0)</f>
        <v>0</v>
      </c>
      <c r="R16" s="50" cm="1">
        <f t="array" ref="R16">_xlfn.IFNA(IF($F$11,INDEX(index_return!$B$2:$J$103,$I16,MATCH('Index Selection'!$E$11,index_return!$B$1:$J$1,0)),0)*$G$11,0)</f>
        <v>0</v>
      </c>
      <c r="S16" s="52">
        <f t="shared" si="0"/>
        <v>0.28863000556276613</v>
      </c>
    </row>
    <row r="17" spans="2:19" ht="15" thickBot="1">
      <c r="E17" s="1"/>
      <c r="I17" s="21">
        <v>15</v>
      </c>
      <c r="J17" s="50" cm="1">
        <f t="array" ref="J17">_xlfn.IFNA(IF($F$3,INDEX(index_return!$B$2:$J$103,$I17,MATCH('Index Selection'!$E$3,index_return!$B$1:$J$1,0)),0)*$G$3,0)</f>
        <v>6.5893155357102676E-2</v>
      </c>
      <c r="K17" s="50" cm="1">
        <f t="array" ref="K17">_xlfn.IFNA(IF($F$4,INDEX(index_return!$B$2:$J$103,$I17,MATCH('Index Selection'!$E$4,index_return!$B$1:$J$1,0)),0)*$G$4,0)</f>
        <v>0.10072370935014653</v>
      </c>
      <c r="L17" s="50" cm="1">
        <f t="array" ref="L17">_xlfn.IFNA(IF($F$5,INDEX(index_return!$B$2:$J$103,$I17,MATCH('Index Selection'!$E$5,index_return!$B$1:$J$1,0)),0)*$G$5,0)</f>
        <v>0</v>
      </c>
      <c r="M17" s="50" cm="1">
        <f t="array" ref="M17">_xlfn.IFNA(IF($F$6,INDEX(index_return!$B$2:$J$103,$I17,MATCH('Index Selection'!$E$6,index_return!$B$1:$J$1,0)),0)*$G$6,0)</f>
        <v>0</v>
      </c>
      <c r="N17" s="50" cm="1">
        <f t="array" ref="N17">_xlfn.IFNA(IF($F$7,INDEX(index_return!$B$2:$J$103,$I17,MATCH('Index Selection'!$E$7,index_return!$B$1:$J$1,0)),0)*$G$7,0)</f>
        <v>0</v>
      </c>
      <c r="O17" s="50" cm="1">
        <f t="array" ref="O17">_xlfn.IFNA(IF($F$8,INDEX(index_return!$B$2:$J$103,$I17,MATCH('Index Selection'!$E$8,index_return!$B$1:$J$1,0)),0)*$G$8,0)</f>
        <v>0</v>
      </c>
      <c r="P17" s="50" cm="1">
        <f t="array" ref="P17">_xlfn.IFNA(IF($F$9,INDEX(index_return!$B$2:$J$103,$I17,MATCH('Index Selection'!$E$9,index_return!$B$1:$J$1,0)),0)*$G$9,0)</f>
        <v>0</v>
      </c>
      <c r="Q17" s="50" cm="1">
        <f t="array" ref="Q17">_xlfn.IFNA(IF($F$10,INDEX(index_return!$B$2:$J$103,$I17,MATCH('Index Selection'!$E$10,index_return!$B$1:$J$1,0)),0)*$G$10,0)</f>
        <v>0</v>
      </c>
      <c r="R17" s="50" cm="1">
        <f t="array" ref="R17">_xlfn.IFNA(IF($F$11,INDEX(index_return!$B$2:$J$103,$I17,MATCH('Index Selection'!$E$11,index_return!$B$1:$J$1,0)),0)*$G$11,0)</f>
        <v>0</v>
      </c>
      <c r="S17" s="52">
        <f t="shared" si="0"/>
        <v>0.16661686470724921</v>
      </c>
    </row>
    <row r="18" spans="2:19" ht="15" thickBot="1">
      <c r="E18" s="1"/>
      <c r="I18" s="21">
        <v>16</v>
      </c>
      <c r="J18" s="50" cm="1">
        <f t="array" ref="J18">_xlfn.IFNA(IF($F$3,INDEX(index_return!$B$2:$J$103,$I18,MATCH('Index Selection'!$E$3,index_return!$B$1:$J$1,0)),0)*$G$3,0)</f>
        <v>-4.0928966500356365E-2</v>
      </c>
      <c r="K18" s="50" cm="1">
        <f t="array" ref="K18">_xlfn.IFNA(IF($F$4,INDEX(index_return!$B$2:$J$103,$I18,MATCH('Index Selection'!$E$4,index_return!$B$1:$J$1,0)),0)*$G$4,0)</f>
        <v>-2.6972259727436644E-2</v>
      </c>
      <c r="L18" s="50" cm="1">
        <f t="array" ref="L18">_xlfn.IFNA(IF($F$5,INDEX(index_return!$B$2:$J$103,$I18,MATCH('Index Selection'!$E$5,index_return!$B$1:$J$1,0)),0)*$G$5,0)</f>
        <v>0</v>
      </c>
      <c r="M18" s="50" cm="1">
        <f t="array" ref="M18">_xlfn.IFNA(IF($F$6,INDEX(index_return!$B$2:$J$103,$I18,MATCH('Index Selection'!$E$6,index_return!$B$1:$J$1,0)),0)*$G$6,0)</f>
        <v>0</v>
      </c>
      <c r="N18" s="50" cm="1">
        <f t="array" ref="N18">_xlfn.IFNA(IF($F$7,INDEX(index_return!$B$2:$J$103,$I18,MATCH('Index Selection'!$E$7,index_return!$B$1:$J$1,0)),0)*$G$7,0)</f>
        <v>0</v>
      </c>
      <c r="O18" s="50" cm="1">
        <f t="array" ref="O18">_xlfn.IFNA(IF($F$8,INDEX(index_return!$B$2:$J$103,$I18,MATCH('Index Selection'!$E$8,index_return!$B$1:$J$1,0)),0)*$G$8,0)</f>
        <v>0</v>
      </c>
      <c r="P18" s="50" cm="1">
        <f t="array" ref="P18">_xlfn.IFNA(IF($F$9,INDEX(index_return!$B$2:$J$103,$I18,MATCH('Index Selection'!$E$9,index_return!$B$1:$J$1,0)),0)*$G$9,0)</f>
        <v>0</v>
      </c>
      <c r="Q18" s="50" cm="1">
        <f t="array" ref="Q18">_xlfn.IFNA(IF($F$10,INDEX(index_return!$B$2:$J$103,$I18,MATCH('Index Selection'!$E$10,index_return!$B$1:$J$1,0)),0)*$G$10,0)</f>
        <v>0</v>
      </c>
      <c r="R18" s="50" cm="1">
        <f t="array" ref="R18">_xlfn.IFNA(IF($F$11,INDEX(index_return!$B$2:$J$103,$I18,MATCH('Index Selection'!$E$11,index_return!$B$1:$J$1,0)),0)*$G$11,0)</f>
        <v>0</v>
      </c>
      <c r="S18" s="52">
        <f t="shared" si="0"/>
        <v>-6.7901226227793016E-2</v>
      </c>
    </row>
    <row r="19" spans="2:19" ht="15" thickBot="1">
      <c r="E19" s="1"/>
      <c r="I19" s="21">
        <v>17</v>
      </c>
      <c r="J19" s="50" cm="1">
        <f t="array" ref="J19">_xlfn.IFNA(IF($F$3,INDEX(index_return!$B$2:$J$103,$I19,MATCH('Index Selection'!$E$3,index_return!$B$1:$J$1,0)),0)*$G$3,0)</f>
        <v>0.11163523945529505</v>
      </c>
      <c r="K19" s="50" cm="1">
        <f t="array" ref="K19">_xlfn.IFNA(IF($F$4,INDEX(index_return!$B$2:$J$103,$I19,MATCH('Index Selection'!$E$4,index_return!$B$1:$J$1,0)),0)*$G$4,0)</f>
        <v>0.13439153256183842</v>
      </c>
      <c r="L19" s="50" cm="1">
        <f t="array" ref="L19">_xlfn.IFNA(IF($F$5,INDEX(index_return!$B$2:$J$103,$I19,MATCH('Index Selection'!$E$5,index_return!$B$1:$J$1,0)),0)*$G$5,0)</f>
        <v>0</v>
      </c>
      <c r="M19" s="50" cm="1">
        <f t="array" ref="M19">_xlfn.IFNA(IF($F$6,INDEX(index_return!$B$2:$J$103,$I19,MATCH('Index Selection'!$E$6,index_return!$B$1:$J$1,0)),0)*$G$6,0)</f>
        <v>0</v>
      </c>
      <c r="N19" s="50" cm="1">
        <f t="array" ref="N19">_xlfn.IFNA(IF($F$7,INDEX(index_return!$B$2:$J$103,$I19,MATCH('Index Selection'!$E$7,index_return!$B$1:$J$1,0)),0)*$G$7,0)</f>
        <v>0</v>
      </c>
      <c r="O19" s="50" cm="1">
        <f t="array" ref="O19">_xlfn.IFNA(IF($F$8,INDEX(index_return!$B$2:$J$103,$I19,MATCH('Index Selection'!$E$8,index_return!$B$1:$J$1,0)),0)*$G$8,0)</f>
        <v>0</v>
      </c>
      <c r="P19" s="50" cm="1">
        <f t="array" ref="P19">_xlfn.IFNA(IF($F$9,INDEX(index_return!$B$2:$J$103,$I19,MATCH('Index Selection'!$E$9,index_return!$B$1:$J$1,0)),0)*$G$9,0)</f>
        <v>0</v>
      </c>
      <c r="Q19" s="50" cm="1">
        <f t="array" ref="Q19">_xlfn.IFNA(IF($F$10,INDEX(index_return!$B$2:$J$103,$I19,MATCH('Index Selection'!$E$10,index_return!$B$1:$J$1,0)),0)*$G$10,0)</f>
        <v>0</v>
      </c>
      <c r="R19" s="50" cm="1">
        <f t="array" ref="R19">_xlfn.IFNA(IF($F$11,INDEX(index_return!$B$2:$J$103,$I19,MATCH('Index Selection'!$E$11,index_return!$B$1:$J$1,0)),0)*$G$11,0)</f>
        <v>0</v>
      </c>
      <c r="S19" s="52">
        <f t="shared" si="0"/>
        <v>0.24602677201713347</v>
      </c>
    </row>
    <row r="20" spans="2:19" ht="15" thickBot="1">
      <c r="E20" s="1"/>
      <c r="I20" s="21">
        <v>18</v>
      </c>
      <c r="J20" s="50" cm="1">
        <f t="array" ref="J20">_xlfn.IFNA(IF($F$3,INDEX(index_return!$B$2:$J$103,$I20,MATCH('Index Selection'!$E$3,index_return!$B$1:$J$1,0)),0)*$G$3,0)</f>
        <v>7.4078582367199858E-2</v>
      </c>
      <c r="K20" s="50" cm="1">
        <f t="array" ref="K20">_xlfn.IFNA(IF($F$4,INDEX(index_return!$B$2:$J$103,$I20,MATCH('Index Selection'!$E$4,index_return!$B$1:$J$1,0)),0)*$G$4,0)</f>
        <v>0.142966342119874</v>
      </c>
      <c r="L20" s="50" cm="1">
        <f t="array" ref="L20">_xlfn.IFNA(IF($F$5,INDEX(index_return!$B$2:$J$103,$I20,MATCH('Index Selection'!$E$5,index_return!$B$1:$J$1,0)),0)*$G$5,0)</f>
        <v>0</v>
      </c>
      <c r="M20" s="50" cm="1">
        <f t="array" ref="M20">_xlfn.IFNA(IF($F$6,INDEX(index_return!$B$2:$J$103,$I20,MATCH('Index Selection'!$E$6,index_return!$B$1:$J$1,0)),0)*$G$6,0)</f>
        <v>0</v>
      </c>
      <c r="N20" s="50" cm="1">
        <f t="array" ref="N20">_xlfn.IFNA(IF($F$7,INDEX(index_return!$B$2:$J$103,$I20,MATCH('Index Selection'!$E$7,index_return!$B$1:$J$1,0)),0)*$G$7,0)</f>
        <v>0</v>
      </c>
      <c r="O20" s="50" cm="1">
        <f t="array" ref="O20">_xlfn.IFNA(IF($F$8,INDEX(index_return!$B$2:$J$103,$I20,MATCH('Index Selection'!$E$8,index_return!$B$1:$J$1,0)),0)*$G$8,0)</f>
        <v>0</v>
      </c>
      <c r="P20" s="50" cm="1">
        <f t="array" ref="P20">_xlfn.IFNA(IF($F$9,INDEX(index_return!$B$2:$J$103,$I20,MATCH('Index Selection'!$E$9,index_return!$B$1:$J$1,0)),0)*$G$9,0)</f>
        <v>0</v>
      </c>
      <c r="Q20" s="50" cm="1">
        <f t="array" ref="Q20">_xlfn.IFNA(IF($F$10,INDEX(index_return!$B$2:$J$103,$I20,MATCH('Index Selection'!$E$10,index_return!$B$1:$J$1,0)),0)*$G$10,0)</f>
        <v>0</v>
      </c>
      <c r="R20" s="50" cm="1">
        <f t="array" ref="R20">_xlfn.IFNA(IF($F$11,INDEX(index_return!$B$2:$J$103,$I20,MATCH('Index Selection'!$E$11,index_return!$B$1:$J$1,0)),0)*$G$11,0)</f>
        <v>0</v>
      </c>
      <c r="S20" s="52">
        <f t="shared" si="0"/>
        <v>0.21704492448707385</v>
      </c>
    </row>
    <row r="21" spans="2:19" ht="15" thickBot="1">
      <c r="E21" s="1"/>
      <c r="I21" s="21">
        <v>19</v>
      </c>
      <c r="J21" s="50" cm="1">
        <f t="array" ref="J21">_xlfn.IFNA(IF($F$3,INDEX(index_return!$B$2:$J$103,$I21,MATCH('Index Selection'!$E$3,index_return!$B$1:$J$1,0)),0)*$G$3,0)</f>
        <v>1.301848493994031E-2</v>
      </c>
      <c r="K21" s="50" cm="1">
        <f t="array" ref="K21">_xlfn.IFNA(IF($F$4,INDEX(index_return!$B$2:$J$103,$I21,MATCH('Index Selection'!$E$4,index_return!$B$1:$J$1,0)),0)*$G$4,0)</f>
        <v>1.7733802843017565E-2</v>
      </c>
      <c r="L21" s="50" cm="1">
        <f t="array" ref="L21">_xlfn.IFNA(IF($F$5,INDEX(index_return!$B$2:$J$103,$I21,MATCH('Index Selection'!$E$5,index_return!$B$1:$J$1,0)),0)*$G$5,0)</f>
        <v>0</v>
      </c>
      <c r="M21" s="50" cm="1">
        <f t="array" ref="M21">_xlfn.IFNA(IF($F$6,INDEX(index_return!$B$2:$J$103,$I21,MATCH('Index Selection'!$E$6,index_return!$B$1:$J$1,0)),0)*$G$6,0)</f>
        <v>0</v>
      </c>
      <c r="N21" s="50" cm="1">
        <f t="array" ref="N21">_xlfn.IFNA(IF($F$7,INDEX(index_return!$B$2:$J$103,$I21,MATCH('Index Selection'!$E$7,index_return!$B$1:$J$1,0)),0)*$G$7,0)</f>
        <v>0</v>
      </c>
      <c r="O21" s="50" cm="1">
        <f t="array" ref="O21">_xlfn.IFNA(IF($F$8,INDEX(index_return!$B$2:$J$103,$I21,MATCH('Index Selection'!$E$8,index_return!$B$1:$J$1,0)),0)*$G$8,0)</f>
        <v>0</v>
      </c>
      <c r="P21" s="50" cm="1">
        <f t="array" ref="P21">_xlfn.IFNA(IF($F$9,INDEX(index_return!$B$2:$J$103,$I21,MATCH('Index Selection'!$E$9,index_return!$B$1:$J$1,0)),0)*$G$9,0)</f>
        <v>0</v>
      </c>
      <c r="Q21" s="50" cm="1">
        <f t="array" ref="Q21">_xlfn.IFNA(IF($F$10,INDEX(index_return!$B$2:$J$103,$I21,MATCH('Index Selection'!$E$10,index_return!$B$1:$J$1,0)),0)*$G$10,0)</f>
        <v>0</v>
      </c>
      <c r="R21" s="50" cm="1">
        <f t="array" ref="R21">_xlfn.IFNA(IF($F$11,INDEX(index_return!$B$2:$J$103,$I21,MATCH('Index Selection'!$E$11,index_return!$B$1:$J$1,0)),0)*$G$11,0)</f>
        <v>0</v>
      </c>
      <c r="S21" s="52">
        <f t="shared" si="0"/>
        <v>3.0752287782957875E-2</v>
      </c>
    </row>
    <row r="22" spans="2:19" ht="15" thickBot="1">
      <c r="E22" s="1"/>
      <c r="I22" s="21">
        <v>20</v>
      </c>
      <c r="J22" s="50" cm="1">
        <f t="array" ref="J22">_xlfn.IFNA(IF($F$3,INDEX(index_return!$B$2:$J$103,$I22,MATCH('Index Selection'!$E$3,index_return!$B$1:$J$1,0)),0)*$G$3,0)</f>
        <v>3.0477750254006113E-2</v>
      </c>
      <c r="K22" s="50" cm="1">
        <f t="array" ref="K22">_xlfn.IFNA(IF($F$4,INDEX(index_return!$B$2:$J$103,$I22,MATCH('Index Selection'!$E$4,index_return!$B$1:$J$1,0)),0)*$G$4,0)</f>
        <v>9.6110924105125201E-2</v>
      </c>
      <c r="L22" s="50" cm="1">
        <f t="array" ref="L22">_xlfn.IFNA(IF($F$5,INDEX(index_return!$B$2:$J$103,$I22,MATCH('Index Selection'!$E$5,index_return!$B$1:$J$1,0)),0)*$G$5,0)</f>
        <v>0</v>
      </c>
      <c r="M22" s="50" cm="1">
        <f t="array" ref="M22">_xlfn.IFNA(IF($F$6,INDEX(index_return!$B$2:$J$103,$I22,MATCH('Index Selection'!$E$6,index_return!$B$1:$J$1,0)),0)*$G$6,0)</f>
        <v>0</v>
      </c>
      <c r="N22" s="50" cm="1">
        <f t="array" ref="N22">_xlfn.IFNA(IF($F$7,INDEX(index_return!$B$2:$J$103,$I22,MATCH('Index Selection'!$E$7,index_return!$B$1:$J$1,0)),0)*$G$7,0)</f>
        <v>0</v>
      </c>
      <c r="O22" s="50" cm="1">
        <f t="array" ref="O22">_xlfn.IFNA(IF($F$8,INDEX(index_return!$B$2:$J$103,$I22,MATCH('Index Selection'!$E$8,index_return!$B$1:$J$1,0)),0)*$G$8,0)</f>
        <v>0</v>
      </c>
      <c r="P22" s="50" cm="1">
        <f t="array" ref="P22">_xlfn.IFNA(IF($F$9,INDEX(index_return!$B$2:$J$103,$I22,MATCH('Index Selection'!$E$9,index_return!$B$1:$J$1,0)),0)*$G$9,0)</f>
        <v>0</v>
      </c>
      <c r="Q22" s="50" cm="1">
        <f t="array" ref="Q22">_xlfn.IFNA(IF($F$10,INDEX(index_return!$B$2:$J$103,$I22,MATCH('Index Selection'!$E$10,index_return!$B$1:$J$1,0)),0)*$G$10,0)</f>
        <v>0</v>
      </c>
      <c r="R22" s="50" cm="1">
        <f t="array" ref="R22">_xlfn.IFNA(IF($F$11,INDEX(index_return!$B$2:$J$103,$I22,MATCH('Index Selection'!$E$11,index_return!$B$1:$J$1,0)),0)*$G$11,0)</f>
        <v>0</v>
      </c>
      <c r="S22" s="52">
        <f t="shared" si="0"/>
        <v>0.12658867435913132</v>
      </c>
    </row>
    <row r="23" spans="2:19" ht="15" thickBot="1">
      <c r="I23" s="21">
        <v>21</v>
      </c>
      <c r="J23" s="50" cm="1">
        <f t="array" ref="J23">_xlfn.IFNA(IF($F$3,INDEX(index_return!$B$2:$J$103,$I23,MATCH('Index Selection'!$E$3,index_return!$B$1:$J$1,0)),0)*$G$3,0)</f>
        <v>0.15212985252004446</v>
      </c>
      <c r="K23" s="50" cm="1">
        <f t="array" ref="K23">_xlfn.IFNA(IF($F$4,INDEX(index_return!$B$2:$J$103,$I23,MATCH('Index Selection'!$E$4,index_return!$B$1:$J$1,0)),0)*$G$4,0)</f>
        <v>0.29208553022423384</v>
      </c>
      <c r="L23" s="50" cm="1">
        <f t="array" ref="L23">_xlfn.IFNA(IF($F$5,INDEX(index_return!$B$2:$J$103,$I23,MATCH('Index Selection'!$E$5,index_return!$B$1:$J$1,0)),0)*$G$5,0)</f>
        <v>0</v>
      </c>
      <c r="M23" s="50" cm="1">
        <f t="array" ref="M23">_xlfn.IFNA(IF($F$6,INDEX(index_return!$B$2:$J$103,$I23,MATCH('Index Selection'!$E$6,index_return!$B$1:$J$1,0)),0)*$G$6,0)</f>
        <v>0</v>
      </c>
      <c r="N23" s="50" cm="1">
        <f t="array" ref="N23">_xlfn.IFNA(IF($F$7,INDEX(index_return!$B$2:$J$103,$I23,MATCH('Index Selection'!$E$7,index_return!$B$1:$J$1,0)),0)*$G$7,0)</f>
        <v>0</v>
      </c>
      <c r="O23" s="50" cm="1">
        <f t="array" ref="O23">_xlfn.IFNA(IF($F$8,INDEX(index_return!$B$2:$J$103,$I23,MATCH('Index Selection'!$E$8,index_return!$B$1:$J$1,0)),0)*$G$8,0)</f>
        <v>0</v>
      </c>
      <c r="P23" s="50" cm="1">
        <f t="array" ref="P23">_xlfn.IFNA(IF($F$9,INDEX(index_return!$B$2:$J$103,$I23,MATCH('Index Selection'!$E$9,index_return!$B$1:$J$1,0)),0)*$G$9,0)</f>
        <v>0</v>
      </c>
      <c r="Q23" s="50" cm="1">
        <f t="array" ref="Q23">_xlfn.IFNA(IF($F$10,INDEX(index_return!$B$2:$J$103,$I23,MATCH('Index Selection'!$E$10,index_return!$B$1:$J$1,0)),0)*$G$10,0)</f>
        <v>0</v>
      </c>
      <c r="R23" s="50" cm="1">
        <f t="array" ref="R23">_xlfn.IFNA(IF($F$11,INDEX(index_return!$B$2:$J$103,$I23,MATCH('Index Selection'!$E$11,index_return!$B$1:$J$1,0)),0)*$G$11,0)</f>
        <v>0</v>
      </c>
      <c r="S23" s="52">
        <f t="shared" si="0"/>
        <v>0.4442153827442783</v>
      </c>
    </row>
    <row r="24" spans="2:19" ht="15" thickBot="1">
      <c r="I24" s="21">
        <v>22</v>
      </c>
      <c r="J24" s="50" cm="1">
        <f t="array" ref="J24">_xlfn.IFNA(IF($F$3,INDEX(index_return!$B$2:$J$103,$I24,MATCH('Index Selection'!$E$3,index_return!$B$1:$J$1,0)),0)*$G$3,0)</f>
        <v>-0.32777110880714977</v>
      </c>
      <c r="K24" s="50" cm="1">
        <f t="array" ref="K24">_xlfn.IFNA(IF($F$4,INDEX(index_return!$B$2:$J$103,$I24,MATCH('Index Selection'!$E$4,index_return!$B$1:$J$1,0)),0)*$G$4,0)</f>
        <v>-0.4123091239157286</v>
      </c>
      <c r="L24" s="50" cm="1">
        <f t="array" ref="L24">_xlfn.IFNA(IF($F$5,INDEX(index_return!$B$2:$J$103,$I24,MATCH('Index Selection'!$E$5,index_return!$B$1:$J$1,0)),0)*$G$5,0)</f>
        <v>0</v>
      </c>
      <c r="M24" s="50" cm="1">
        <f t="array" ref="M24">_xlfn.IFNA(IF($F$6,INDEX(index_return!$B$2:$J$103,$I24,MATCH('Index Selection'!$E$6,index_return!$B$1:$J$1,0)),0)*$G$6,0)</f>
        <v>0</v>
      </c>
      <c r="N24" s="50" cm="1">
        <f t="array" ref="N24">_xlfn.IFNA(IF($F$7,INDEX(index_return!$B$2:$J$103,$I24,MATCH('Index Selection'!$E$7,index_return!$B$1:$J$1,0)),0)*$G$7,0)</f>
        <v>0</v>
      </c>
      <c r="O24" s="50" cm="1">
        <f t="array" ref="O24">_xlfn.IFNA(IF($F$8,INDEX(index_return!$B$2:$J$103,$I24,MATCH('Index Selection'!$E$8,index_return!$B$1:$J$1,0)),0)*$G$8,0)</f>
        <v>0</v>
      </c>
      <c r="P24" s="50" cm="1">
        <f t="array" ref="P24">_xlfn.IFNA(IF($F$9,INDEX(index_return!$B$2:$J$103,$I24,MATCH('Index Selection'!$E$9,index_return!$B$1:$J$1,0)),0)*$G$9,0)</f>
        <v>0</v>
      </c>
      <c r="Q24" s="50" cm="1">
        <f t="array" ref="Q24">_xlfn.IFNA(IF($F$10,INDEX(index_return!$B$2:$J$103,$I24,MATCH('Index Selection'!$E$10,index_return!$B$1:$J$1,0)),0)*$G$10,0)</f>
        <v>0</v>
      </c>
      <c r="R24" s="50" cm="1">
        <f t="array" ref="R24">_xlfn.IFNA(IF($F$11,INDEX(index_return!$B$2:$J$103,$I24,MATCH('Index Selection'!$E$11,index_return!$B$1:$J$1,0)),0)*$G$11,0)</f>
        <v>0</v>
      </c>
      <c r="S24" s="52">
        <f t="shared" si="0"/>
        <v>-0.74008023272287837</v>
      </c>
    </row>
    <row r="25" spans="2:19" ht="15" thickBot="1">
      <c r="B25" t="s">
        <v>59</v>
      </c>
      <c r="I25" s="21">
        <v>23</v>
      </c>
      <c r="J25" s="50" cm="1">
        <f t="array" ref="J25">_xlfn.IFNA(IF($F$3,INDEX(index_return!$B$2:$J$103,$I25,MATCH('Index Selection'!$E$3,index_return!$B$1:$J$1,0)),0)*$G$3,0)</f>
        <v>1.4488963337035237E-2</v>
      </c>
      <c r="K25" s="50" cm="1">
        <f t="array" ref="K25">_xlfn.IFNA(IF($F$4,INDEX(index_return!$B$2:$J$103,$I25,MATCH('Index Selection'!$E$4,index_return!$B$1:$J$1,0)),0)*$G$4,0)</f>
        <v>5.7871388044489262E-2</v>
      </c>
      <c r="L25" s="50" cm="1">
        <f t="array" ref="L25">_xlfn.IFNA(IF($F$5,INDEX(index_return!$B$2:$J$103,$I25,MATCH('Index Selection'!$E$5,index_return!$B$1:$J$1,0)),0)*$G$5,0)</f>
        <v>0</v>
      </c>
      <c r="M25" s="50" cm="1">
        <f t="array" ref="M25">_xlfn.IFNA(IF($F$6,INDEX(index_return!$B$2:$J$103,$I25,MATCH('Index Selection'!$E$6,index_return!$B$1:$J$1,0)),0)*$G$6,0)</f>
        <v>0</v>
      </c>
      <c r="N25" s="50" cm="1">
        <f t="array" ref="N25">_xlfn.IFNA(IF($F$7,INDEX(index_return!$B$2:$J$103,$I25,MATCH('Index Selection'!$E$7,index_return!$B$1:$J$1,0)),0)*$G$7,0)</f>
        <v>0</v>
      </c>
      <c r="O25" s="50" cm="1">
        <f t="array" ref="O25">_xlfn.IFNA(IF($F$8,INDEX(index_return!$B$2:$J$103,$I25,MATCH('Index Selection'!$E$8,index_return!$B$1:$J$1,0)),0)*$G$8,0)</f>
        <v>0</v>
      </c>
      <c r="P25" s="50" cm="1">
        <f t="array" ref="P25">_xlfn.IFNA(IF($F$9,INDEX(index_return!$B$2:$J$103,$I25,MATCH('Index Selection'!$E$9,index_return!$B$1:$J$1,0)),0)*$G$9,0)</f>
        <v>0</v>
      </c>
      <c r="Q25" s="50" cm="1">
        <f t="array" ref="Q25">_xlfn.IFNA(IF($F$10,INDEX(index_return!$B$2:$J$103,$I25,MATCH('Index Selection'!$E$10,index_return!$B$1:$J$1,0)),0)*$G$10,0)</f>
        <v>0</v>
      </c>
      <c r="R25" s="50" cm="1">
        <f t="array" ref="R25">_xlfn.IFNA(IF($F$11,INDEX(index_return!$B$2:$J$103,$I25,MATCH('Index Selection'!$E$11,index_return!$B$1:$J$1,0)),0)*$G$11,0)</f>
        <v>0</v>
      </c>
      <c r="S25" s="52">
        <f t="shared" si="0"/>
        <v>7.2360351381524496E-2</v>
      </c>
    </row>
    <row r="26" spans="2:19" ht="15" thickBot="1">
      <c r="I26" s="21">
        <v>24</v>
      </c>
      <c r="J26" s="50" cm="1">
        <f t="array" ref="J26">_xlfn.IFNA(IF($F$3,INDEX(index_return!$B$2:$J$103,$I26,MATCH('Index Selection'!$E$3,index_return!$B$1:$J$1,0)),0)*$G$3,0)</f>
        <v>5.4551576543710734E-2</v>
      </c>
      <c r="K26" s="50" cm="1">
        <f t="array" ref="K26">_xlfn.IFNA(IF($F$4,INDEX(index_return!$B$2:$J$103,$I26,MATCH('Index Selection'!$E$4,index_return!$B$1:$J$1,0)),0)*$G$4,0)</f>
        <v>2.2012118425836769E-2</v>
      </c>
      <c r="L26" s="50" cm="1">
        <f t="array" ref="L26">_xlfn.IFNA(IF($F$5,INDEX(index_return!$B$2:$J$103,$I26,MATCH('Index Selection'!$E$5,index_return!$B$1:$J$1,0)),0)*$G$5,0)</f>
        <v>0</v>
      </c>
      <c r="M26" s="50" cm="1">
        <f t="array" ref="M26">_xlfn.IFNA(IF($F$6,INDEX(index_return!$B$2:$J$103,$I26,MATCH('Index Selection'!$E$6,index_return!$B$1:$J$1,0)),0)*$G$6,0)</f>
        <v>0</v>
      </c>
      <c r="N26" s="50" cm="1">
        <f t="array" ref="N26">_xlfn.IFNA(IF($F$7,INDEX(index_return!$B$2:$J$103,$I26,MATCH('Index Selection'!$E$7,index_return!$B$1:$J$1,0)),0)*$G$7,0)</f>
        <v>0</v>
      </c>
      <c r="O26" s="50" cm="1">
        <f t="array" ref="O26">_xlfn.IFNA(IF($F$8,INDEX(index_return!$B$2:$J$103,$I26,MATCH('Index Selection'!$E$8,index_return!$B$1:$J$1,0)),0)*$G$8,0)</f>
        <v>0</v>
      </c>
      <c r="P26" s="50" cm="1">
        <f t="array" ref="P26">_xlfn.IFNA(IF($F$9,INDEX(index_return!$B$2:$J$103,$I26,MATCH('Index Selection'!$E$9,index_return!$B$1:$J$1,0)),0)*$G$9,0)</f>
        <v>0</v>
      </c>
      <c r="Q26" s="50" cm="1">
        <f t="array" ref="Q26">_xlfn.IFNA(IF($F$10,INDEX(index_return!$B$2:$J$103,$I26,MATCH('Index Selection'!$E$10,index_return!$B$1:$J$1,0)),0)*$G$10,0)</f>
        <v>0</v>
      </c>
      <c r="R26" s="50" cm="1">
        <f t="array" ref="R26">_xlfn.IFNA(IF($F$11,INDEX(index_return!$B$2:$J$103,$I26,MATCH('Index Selection'!$E$11,index_return!$B$1:$J$1,0)),0)*$G$11,0)</f>
        <v>0</v>
      </c>
      <c r="S26" s="52">
        <f t="shared" si="0"/>
        <v>7.6563694969547499E-2</v>
      </c>
    </row>
    <row r="27" spans="2:19" ht="15" thickBot="1">
      <c r="I27" s="21">
        <v>25</v>
      </c>
      <c r="J27" s="50" cm="1">
        <f t="array" ref="J27">_xlfn.IFNA(IF($F$3,INDEX(index_return!$B$2:$J$103,$I27,MATCH('Index Selection'!$E$3,index_return!$B$1:$J$1,0)),0)*$G$3,0)</f>
        <v>0.11380947946383935</v>
      </c>
      <c r="K27" s="50" cm="1">
        <f t="array" ref="K27">_xlfn.IFNA(IF($F$4,INDEX(index_return!$B$2:$J$103,$I27,MATCH('Index Selection'!$E$4,index_return!$B$1:$J$1,0)),0)*$G$4,0)</f>
        <v>0.17482052609892679</v>
      </c>
      <c r="L27" s="50" cm="1">
        <f t="array" ref="L27">_xlfn.IFNA(IF($F$5,INDEX(index_return!$B$2:$J$103,$I27,MATCH('Index Selection'!$E$5,index_return!$B$1:$J$1,0)),0)*$G$5,0)</f>
        <v>0</v>
      </c>
      <c r="M27" s="50" cm="1">
        <f t="array" ref="M27">_xlfn.IFNA(IF($F$6,INDEX(index_return!$B$2:$J$103,$I27,MATCH('Index Selection'!$E$6,index_return!$B$1:$J$1,0)),0)*$G$6,0)</f>
        <v>0</v>
      </c>
      <c r="N27" s="50" cm="1">
        <f t="array" ref="N27">_xlfn.IFNA(IF($F$7,INDEX(index_return!$B$2:$J$103,$I27,MATCH('Index Selection'!$E$7,index_return!$B$1:$J$1,0)),0)*$G$7,0)</f>
        <v>0</v>
      </c>
      <c r="O27" s="50" cm="1">
        <f t="array" ref="O27">_xlfn.IFNA(IF($F$8,INDEX(index_return!$B$2:$J$103,$I27,MATCH('Index Selection'!$E$8,index_return!$B$1:$J$1,0)),0)*$G$8,0)</f>
        <v>0</v>
      </c>
      <c r="P27" s="50" cm="1">
        <f t="array" ref="P27">_xlfn.IFNA(IF($F$9,INDEX(index_return!$B$2:$J$103,$I27,MATCH('Index Selection'!$E$9,index_return!$B$1:$J$1,0)),0)*$G$9,0)</f>
        <v>0</v>
      </c>
      <c r="Q27" s="50" cm="1">
        <f t="array" ref="Q27">_xlfn.IFNA(IF($F$10,INDEX(index_return!$B$2:$J$103,$I27,MATCH('Index Selection'!$E$10,index_return!$B$1:$J$1,0)),0)*$G$10,0)</f>
        <v>0</v>
      </c>
      <c r="R27" s="50" cm="1">
        <f t="array" ref="R27">_xlfn.IFNA(IF($F$11,INDEX(index_return!$B$2:$J$103,$I27,MATCH('Index Selection'!$E$11,index_return!$B$1:$J$1,0)),0)*$G$11,0)</f>
        <v>0</v>
      </c>
      <c r="S27" s="52">
        <f t="shared" si="0"/>
        <v>0.28863000556276613</v>
      </c>
    </row>
    <row r="28" spans="2:19" ht="15" thickBot="1">
      <c r="I28" s="21">
        <v>26</v>
      </c>
      <c r="J28" s="50" cm="1">
        <f t="array" ref="J28">_xlfn.IFNA(IF($F$3,INDEX(index_return!$B$2:$J$103,$I28,MATCH('Index Selection'!$E$3,index_return!$B$1:$J$1,0)),0)*$G$3,0)</f>
        <v>6.5893155357102676E-2</v>
      </c>
      <c r="K28" s="50" cm="1">
        <f t="array" ref="K28">_xlfn.IFNA(IF($F$4,INDEX(index_return!$B$2:$J$103,$I28,MATCH('Index Selection'!$E$4,index_return!$B$1:$J$1,0)),0)*$G$4,0)</f>
        <v>0.10072370935014653</v>
      </c>
      <c r="L28" s="50" cm="1">
        <f t="array" ref="L28">_xlfn.IFNA(IF($F$5,INDEX(index_return!$B$2:$J$103,$I28,MATCH('Index Selection'!$E$5,index_return!$B$1:$J$1,0)),0)*$G$5,0)</f>
        <v>0</v>
      </c>
      <c r="M28" s="50" cm="1">
        <f t="array" ref="M28">_xlfn.IFNA(IF($F$6,INDEX(index_return!$B$2:$J$103,$I28,MATCH('Index Selection'!$E$6,index_return!$B$1:$J$1,0)),0)*$G$6,0)</f>
        <v>0</v>
      </c>
      <c r="N28" s="50" cm="1">
        <f t="array" ref="N28">_xlfn.IFNA(IF($F$7,INDEX(index_return!$B$2:$J$103,$I28,MATCH('Index Selection'!$E$7,index_return!$B$1:$J$1,0)),0)*$G$7,0)</f>
        <v>0</v>
      </c>
      <c r="O28" s="50" cm="1">
        <f t="array" ref="O28">_xlfn.IFNA(IF($F$8,INDEX(index_return!$B$2:$J$103,$I28,MATCH('Index Selection'!$E$8,index_return!$B$1:$J$1,0)),0)*$G$8,0)</f>
        <v>0</v>
      </c>
      <c r="P28" s="50" cm="1">
        <f t="array" ref="P28">_xlfn.IFNA(IF($F$9,INDEX(index_return!$B$2:$J$103,$I28,MATCH('Index Selection'!$E$9,index_return!$B$1:$J$1,0)),0)*$G$9,0)</f>
        <v>0</v>
      </c>
      <c r="Q28" s="50" cm="1">
        <f t="array" ref="Q28">_xlfn.IFNA(IF($F$10,INDEX(index_return!$B$2:$J$103,$I28,MATCH('Index Selection'!$E$10,index_return!$B$1:$J$1,0)),0)*$G$10,0)</f>
        <v>0</v>
      </c>
      <c r="R28" s="50" cm="1">
        <f t="array" ref="R28">_xlfn.IFNA(IF($F$11,INDEX(index_return!$B$2:$J$103,$I28,MATCH('Index Selection'!$E$11,index_return!$B$1:$J$1,0)),0)*$G$11,0)</f>
        <v>0</v>
      </c>
      <c r="S28" s="52">
        <f t="shared" si="0"/>
        <v>0.16661686470724921</v>
      </c>
    </row>
    <row r="29" spans="2:19" ht="15" thickBot="1">
      <c r="I29" s="21">
        <v>27</v>
      </c>
      <c r="J29" s="50" cm="1">
        <f t="array" ref="J29">_xlfn.IFNA(IF($F$3,INDEX(index_return!$B$2:$J$103,$I29,MATCH('Index Selection'!$E$3,index_return!$B$1:$J$1,0)),0)*$G$3,0)</f>
        <v>-4.0928966500356365E-2</v>
      </c>
      <c r="K29" s="50" cm="1">
        <f t="array" ref="K29">_xlfn.IFNA(IF($F$4,INDEX(index_return!$B$2:$J$103,$I29,MATCH('Index Selection'!$E$4,index_return!$B$1:$J$1,0)),0)*$G$4,0)</f>
        <v>-2.6972259727436644E-2</v>
      </c>
      <c r="L29" s="50" cm="1">
        <f t="array" ref="L29">_xlfn.IFNA(IF($F$5,INDEX(index_return!$B$2:$J$103,$I29,MATCH('Index Selection'!$E$5,index_return!$B$1:$J$1,0)),0)*$G$5,0)</f>
        <v>0</v>
      </c>
      <c r="M29" s="50" cm="1">
        <f t="array" ref="M29">_xlfn.IFNA(IF($F$6,INDEX(index_return!$B$2:$J$103,$I29,MATCH('Index Selection'!$E$6,index_return!$B$1:$J$1,0)),0)*$G$6,0)</f>
        <v>0</v>
      </c>
      <c r="N29" s="50" cm="1">
        <f t="array" ref="N29">_xlfn.IFNA(IF($F$7,INDEX(index_return!$B$2:$J$103,$I29,MATCH('Index Selection'!$E$7,index_return!$B$1:$J$1,0)),0)*$G$7,0)</f>
        <v>0</v>
      </c>
      <c r="O29" s="50" cm="1">
        <f t="array" ref="O29">_xlfn.IFNA(IF($F$8,INDEX(index_return!$B$2:$J$103,$I29,MATCH('Index Selection'!$E$8,index_return!$B$1:$J$1,0)),0)*$G$8,0)</f>
        <v>0</v>
      </c>
      <c r="P29" s="50" cm="1">
        <f t="array" ref="P29">_xlfn.IFNA(IF($F$9,INDEX(index_return!$B$2:$J$103,$I29,MATCH('Index Selection'!$E$9,index_return!$B$1:$J$1,0)),0)*$G$9,0)</f>
        <v>0</v>
      </c>
      <c r="Q29" s="50" cm="1">
        <f t="array" ref="Q29">_xlfn.IFNA(IF($F$10,INDEX(index_return!$B$2:$J$103,$I29,MATCH('Index Selection'!$E$10,index_return!$B$1:$J$1,0)),0)*$G$10,0)</f>
        <v>0</v>
      </c>
      <c r="R29" s="50" cm="1">
        <f t="array" ref="R29">_xlfn.IFNA(IF($F$11,INDEX(index_return!$B$2:$J$103,$I29,MATCH('Index Selection'!$E$11,index_return!$B$1:$J$1,0)),0)*$G$11,0)</f>
        <v>0</v>
      </c>
      <c r="S29" s="52">
        <f t="shared" si="0"/>
        <v>-6.7901226227793016E-2</v>
      </c>
    </row>
    <row r="30" spans="2:19" ht="15" thickBot="1">
      <c r="I30" s="21">
        <v>28</v>
      </c>
      <c r="J30" s="50" cm="1">
        <f t="array" ref="J30">_xlfn.IFNA(IF($F$3,INDEX(index_return!$B$2:$J$103,$I30,MATCH('Index Selection'!$E$3,index_return!$B$1:$J$1,0)),0)*$G$3,0)</f>
        <v>0.11163523945529505</v>
      </c>
      <c r="K30" s="50" cm="1">
        <f t="array" ref="K30">_xlfn.IFNA(IF($F$4,INDEX(index_return!$B$2:$J$103,$I30,MATCH('Index Selection'!$E$4,index_return!$B$1:$J$1,0)),0)*$G$4,0)</f>
        <v>0.13439153256183842</v>
      </c>
      <c r="L30" s="50" cm="1">
        <f t="array" ref="L30">_xlfn.IFNA(IF($F$5,INDEX(index_return!$B$2:$J$103,$I30,MATCH('Index Selection'!$E$5,index_return!$B$1:$J$1,0)),0)*$G$5,0)</f>
        <v>0</v>
      </c>
      <c r="M30" s="50" cm="1">
        <f t="array" ref="M30">_xlfn.IFNA(IF($F$6,INDEX(index_return!$B$2:$J$103,$I30,MATCH('Index Selection'!$E$6,index_return!$B$1:$J$1,0)),0)*$G$6,0)</f>
        <v>0</v>
      </c>
      <c r="N30" s="50" cm="1">
        <f t="array" ref="N30">_xlfn.IFNA(IF($F$7,INDEX(index_return!$B$2:$J$103,$I30,MATCH('Index Selection'!$E$7,index_return!$B$1:$J$1,0)),0)*$G$7,0)</f>
        <v>0</v>
      </c>
      <c r="O30" s="50" cm="1">
        <f t="array" ref="O30">_xlfn.IFNA(IF($F$8,INDEX(index_return!$B$2:$J$103,$I30,MATCH('Index Selection'!$E$8,index_return!$B$1:$J$1,0)),0)*$G$8,0)</f>
        <v>0</v>
      </c>
      <c r="P30" s="50" cm="1">
        <f t="array" ref="P30">_xlfn.IFNA(IF($F$9,INDEX(index_return!$B$2:$J$103,$I30,MATCH('Index Selection'!$E$9,index_return!$B$1:$J$1,0)),0)*$G$9,0)</f>
        <v>0</v>
      </c>
      <c r="Q30" s="50" cm="1">
        <f t="array" ref="Q30">_xlfn.IFNA(IF($F$10,INDEX(index_return!$B$2:$J$103,$I30,MATCH('Index Selection'!$E$10,index_return!$B$1:$J$1,0)),0)*$G$10,0)</f>
        <v>0</v>
      </c>
      <c r="R30" s="50" cm="1">
        <f t="array" ref="R30">_xlfn.IFNA(IF($F$11,INDEX(index_return!$B$2:$J$103,$I30,MATCH('Index Selection'!$E$11,index_return!$B$1:$J$1,0)),0)*$G$11,0)</f>
        <v>0</v>
      </c>
      <c r="S30" s="52">
        <f t="shared" si="0"/>
        <v>0.24602677201713347</v>
      </c>
    </row>
    <row r="31" spans="2:19" ht="15" thickBot="1">
      <c r="I31" s="21">
        <v>29</v>
      </c>
      <c r="J31" s="50" cm="1">
        <f t="array" ref="J31">_xlfn.IFNA(IF($F$3,INDEX(index_return!$B$2:$J$103,$I31,MATCH('Index Selection'!$E$3,index_return!$B$1:$J$1,0)),0)*$G$3,0)</f>
        <v>7.4078582367199858E-2</v>
      </c>
      <c r="K31" s="50" cm="1">
        <f t="array" ref="K31">_xlfn.IFNA(IF($F$4,INDEX(index_return!$B$2:$J$103,$I31,MATCH('Index Selection'!$E$4,index_return!$B$1:$J$1,0)),0)*$G$4,0)</f>
        <v>0.142966342119874</v>
      </c>
      <c r="L31" s="50" cm="1">
        <f t="array" ref="L31">_xlfn.IFNA(IF($F$5,INDEX(index_return!$B$2:$J$103,$I31,MATCH('Index Selection'!$E$5,index_return!$B$1:$J$1,0)),0)*$G$5,0)</f>
        <v>0</v>
      </c>
      <c r="M31" s="50" cm="1">
        <f t="array" ref="M31">_xlfn.IFNA(IF($F$6,INDEX(index_return!$B$2:$J$103,$I31,MATCH('Index Selection'!$E$6,index_return!$B$1:$J$1,0)),0)*$G$6,0)</f>
        <v>0</v>
      </c>
      <c r="N31" s="50" cm="1">
        <f t="array" ref="N31">_xlfn.IFNA(IF($F$7,INDEX(index_return!$B$2:$J$103,$I31,MATCH('Index Selection'!$E$7,index_return!$B$1:$J$1,0)),0)*$G$7,0)</f>
        <v>0</v>
      </c>
      <c r="O31" s="50" cm="1">
        <f t="array" ref="O31">_xlfn.IFNA(IF($F$8,INDEX(index_return!$B$2:$J$103,$I31,MATCH('Index Selection'!$E$8,index_return!$B$1:$J$1,0)),0)*$G$8,0)</f>
        <v>0</v>
      </c>
      <c r="P31" s="50" cm="1">
        <f t="array" ref="P31">_xlfn.IFNA(IF($F$9,INDEX(index_return!$B$2:$J$103,$I31,MATCH('Index Selection'!$E$9,index_return!$B$1:$J$1,0)),0)*$G$9,0)</f>
        <v>0</v>
      </c>
      <c r="Q31" s="50" cm="1">
        <f t="array" ref="Q31">_xlfn.IFNA(IF($F$10,INDEX(index_return!$B$2:$J$103,$I31,MATCH('Index Selection'!$E$10,index_return!$B$1:$J$1,0)),0)*$G$10,0)</f>
        <v>0</v>
      </c>
      <c r="R31" s="50" cm="1">
        <f t="array" ref="R31">_xlfn.IFNA(IF($F$11,INDEX(index_return!$B$2:$J$103,$I31,MATCH('Index Selection'!$E$11,index_return!$B$1:$J$1,0)),0)*$G$11,0)</f>
        <v>0</v>
      </c>
      <c r="S31" s="52">
        <f t="shared" si="0"/>
        <v>0.21704492448707385</v>
      </c>
    </row>
    <row r="32" spans="2:19" ht="15" thickBot="1">
      <c r="I32" s="21">
        <v>30</v>
      </c>
      <c r="J32" s="50" cm="1">
        <f t="array" ref="J32">_xlfn.IFNA(IF($F$3,INDEX(index_return!$B$2:$J$103,$I32,MATCH('Index Selection'!$E$3,index_return!$B$1:$J$1,0)),0)*$G$3,0)</f>
        <v>1.301848493994031E-2</v>
      </c>
      <c r="K32" s="50" cm="1">
        <f t="array" ref="K32">_xlfn.IFNA(IF($F$4,INDEX(index_return!$B$2:$J$103,$I32,MATCH('Index Selection'!$E$4,index_return!$B$1:$J$1,0)),0)*$G$4,0)</f>
        <v>1.7733802843017565E-2</v>
      </c>
      <c r="L32" s="50" cm="1">
        <f t="array" ref="L32">_xlfn.IFNA(IF($F$5,INDEX(index_return!$B$2:$J$103,$I32,MATCH('Index Selection'!$E$5,index_return!$B$1:$J$1,0)),0)*$G$5,0)</f>
        <v>0</v>
      </c>
      <c r="M32" s="50" cm="1">
        <f t="array" ref="M32">_xlfn.IFNA(IF($F$6,INDEX(index_return!$B$2:$J$103,$I32,MATCH('Index Selection'!$E$6,index_return!$B$1:$J$1,0)),0)*$G$6,0)</f>
        <v>0</v>
      </c>
      <c r="N32" s="50" cm="1">
        <f t="array" ref="N32">_xlfn.IFNA(IF($F$7,INDEX(index_return!$B$2:$J$103,$I32,MATCH('Index Selection'!$E$7,index_return!$B$1:$J$1,0)),0)*$G$7,0)</f>
        <v>0</v>
      </c>
      <c r="O32" s="50" cm="1">
        <f t="array" ref="O32">_xlfn.IFNA(IF($F$8,INDEX(index_return!$B$2:$J$103,$I32,MATCH('Index Selection'!$E$8,index_return!$B$1:$J$1,0)),0)*$G$8,0)</f>
        <v>0</v>
      </c>
      <c r="P32" s="50" cm="1">
        <f t="array" ref="P32">_xlfn.IFNA(IF($F$9,INDEX(index_return!$B$2:$J$103,$I32,MATCH('Index Selection'!$E$9,index_return!$B$1:$J$1,0)),0)*$G$9,0)</f>
        <v>0</v>
      </c>
      <c r="Q32" s="50" cm="1">
        <f t="array" ref="Q32">_xlfn.IFNA(IF($F$10,INDEX(index_return!$B$2:$J$103,$I32,MATCH('Index Selection'!$E$10,index_return!$B$1:$J$1,0)),0)*$G$10,0)</f>
        <v>0</v>
      </c>
      <c r="R32" s="50" cm="1">
        <f t="array" ref="R32">_xlfn.IFNA(IF($F$11,INDEX(index_return!$B$2:$J$103,$I32,MATCH('Index Selection'!$E$11,index_return!$B$1:$J$1,0)),0)*$G$11,0)</f>
        <v>0</v>
      </c>
      <c r="S32" s="52">
        <f t="shared" si="0"/>
        <v>3.0752287782957875E-2</v>
      </c>
    </row>
    <row r="33" spans="9:19" ht="15" thickBot="1">
      <c r="I33" s="21">
        <v>31</v>
      </c>
      <c r="J33" s="50" cm="1">
        <f t="array" ref="J33">_xlfn.IFNA(IF($F$3,INDEX(index_return!$B$2:$J$103,$I33,MATCH('Index Selection'!$E$3,index_return!$B$1:$J$1,0)),0)*$G$3,0)</f>
        <v>3.0477750254006113E-2</v>
      </c>
      <c r="K33" s="50" cm="1">
        <f t="array" ref="K33">_xlfn.IFNA(IF($F$4,INDEX(index_return!$B$2:$J$103,$I33,MATCH('Index Selection'!$E$4,index_return!$B$1:$J$1,0)),0)*$G$4,0)</f>
        <v>9.6110924105125201E-2</v>
      </c>
      <c r="L33" s="50" cm="1">
        <f t="array" ref="L33">_xlfn.IFNA(IF($F$5,INDEX(index_return!$B$2:$J$103,$I33,MATCH('Index Selection'!$E$5,index_return!$B$1:$J$1,0)),0)*$G$5,0)</f>
        <v>0</v>
      </c>
      <c r="M33" s="50" cm="1">
        <f t="array" ref="M33">_xlfn.IFNA(IF($F$6,INDEX(index_return!$B$2:$J$103,$I33,MATCH('Index Selection'!$E$6,index_return!$B$1:$J$1,0)),0)*$G$6,0)</f>
        <v>0</v>
      </c>
      <c r="N33" s="50" cm="1">
        <f t="array" ref="N33">_xlfn.IFNA(IF($F$7,INDEX(index_return!$B$2:$J$103,$I33,MATCH('Index Selection'!$E$7,index_return!$B$1:$J$1,0)),0)*$G$7,0)</f>
        <v>0</v>
      </c>
      <c r="O33" s="50" cm="1">
        <f t="array" ref="O33">_xlfn.IFNA(IF($F$8,INDEX(index_return!$B$2:$J$103,$I33,MATCH('Index Selection'!$E$8,index_return!$B$1:$J$1,0)),0)*$G$8,0)</f>
        <v>0</v>
      </c>
      <c r="P33" s="50" cm="1">
        <f t="array" ref="P33">_xlfn.IFNA(IF($F$9,INDEX(index_return!$B$2:$J$103,$I33,MATCH('Index Selection'!$E$9,index_return!$B$1:$J$1,0)),0)*$G$9,0)</f>
        <v>0</v>
      </c>
      <c r="Q33" s="50" cm="1">
        <f t="array" ref="Q33">_xlfn.IFNA(IF($F$10,INDEX(index_return!$B$2:$J$103,$I33,MATCH('Index Selection'!$E$10,index_return!$B$1:$J$1,0)),0)*$G$10,0)</f>
        <v>0</v>
      </c>
      <c r="R33" s="50" cm="1">
        <f t="array" ref="R33">_xlfn.IFNA(IF($F$11,INDEX(index_return!$B$2:$J$103,$I33,MATCH('Index Selection'!$E$11,index_return!$B$1:$J$1,0)),0)*$G$11,0)</f>
        <v>0</v>
      </c>
      <c r="S33" s="52">
        <f t="shared" si="0"/>
        <v>0.12658867435913132</v>
      </c>
    </row>
    <row r="34" spans="9:19" ht="15" thickBot="1">
      <c r="I34" s="21">
        <v>32</v>
      </c>
      <c r="J34" s="50" cm="1">
        <f t="array" ref="J34">_xlfn.IFNA(IF($F$3,INDEX(index_return!$B$2:$J$103,$I34,MATCH('Index Selection'!$E$3,index_return!$B$1:$J$1,0)),0)*$G$3,0)</f>
        <v>0.15212985252004446</v>
      </c>
      <c r="K34" s="50" cm="1">
        <f t="array" ref="K34">_xlfn.IFNA(IF($F$4,INDEX(index_return!$B$2:$J$103,$I34,MATCH('Index Selection'!$E$4,index_return!$B$1:$J$1,0)),0)*$G$4,0)</f>
        <v>0.29208553022423384</v>
      </c>
      <c r="L34" s="50" cm="1">
        <f t="array" ref="L34">_xlfn.IFNA(IF($F$5,INDEX(index_return!$B$2:$J$103,$I34,MATCH('Index Selection'!$E$5,index_return!$B$1:$J$1,0)),0)*$G$5,0)</f>
        <v>0</v>
      </c>
      <c r="M34" s="50" cm="1">
        <f t="array" ref="M34">_xlfn.IFNA(IF($F$6,INDEX(index_return!$B$2:$J$103,$I34,MATCH('Index Selection'!$E$6,index_return!$B$1:$J$1,0)),0)*$G$6,0)</f>
        <v>0</v>
      </c>
      <c r="N34" s="50" cm="1">
        <f t="array" ref="N34">_xlfn.IFNA(IF($F$7,INDEX(index_return!$B$2:$J$103,$I34,MATCH('Index Selection'!$E$7,index_return!$B$1:$J$1,0)),0)*$G$7,0)</f>
        <v>0</v>
      </c>
      <c r="O34" s="50" cm="1">
        <f t="array" ref="O34">_xlfn.IFNA(IF($F$8,INDEX(index_return!$B$2:$J$103,$I34,MATCH('Index Selection'!$E$8,index_return!$B$1:$J$1,0)),0)*$G$8,0)</f>
        <v>0</v>
      </c>
      <c r="P34" s="50" cm="1">
        <f t="array" ref="P34">_xlfn.IFNA(IF($F$9,INDEX(index_return!$B$2:$J$103,$I34,MATCH('Index Selection'!$E$9,index_return!$B$1:$J$1,0)),0)*$G$9,0)</f>
        <v>0</v>
      </c>
      <c r="Q34" s="50" cm="1">
        <f t="array" ref="Q34">_xlfn.IFNA(IF($F$10,INDEX(index_return!$B$2:$J$103,$I34,MATCH('Index Selection'!$E$10,index_return!$B$1:$J$1,0)),0)*$G$10,0)</f>
        <v>0</v>
      </c>
      <c r="R34" s="50" cm="1">
        <f t="array" ref="R34">_xlfn.IFNA(IF($F$11,INDEX(index_return!$B$2:$J$103,$I34,MATCH('Index Selection'!$E$11,index_return!$B$1:$J$1,0)),0)*$G$11,0)</f>
        <v>0</v>
      </c>
      <c r="S34" s="52">
        <f t="shared" si="0"/>
        <v>0.4442153827442783</v>
      </c>
    </row>
    <row r="35" spans="9:19" ht="15" thickBot="1">
      <c r="I35" s="21">
        <v>33</v>
      </c>
      <c r="J35" s="50" cm="1">
        <f t="array" ref="J35">_xlfn.IFNA(IF($F$3,INDEX(index_return!$B$2:$J$103,$I35,MATCH('Index Selection'!$E$3,index_return!$B$1:$J$1,0)),0)*$G$3,0)</f>
        <v>-0.32777110880714977</v>
      </c>
      <c r="K35" s="50" cm="1">
        <f t="array" ref="K35">_xlfn.IFNA(IF($F$4,INDEX(index_return!$B$2:$J$103,$I35,MATCH('Index Selection'!$E$4,index_return!$B$1:$J$1,0)),0)*$G$4,0)</f>
        <v>-0.4123091239157286</v>
      </c>
      <c r="L35" s="50" cm="1">
        <f t="array" ref="L35">_xlfn.IFNA(IF($F$5,INDEX(index_return!$B$2:$J$103,$I35,MATCH('Index Selection'!$E$5,index_return!$B$1:$J$1,0)),0)*$G$5,0)</f>
        <v>0</v>
      </c>
      <c r="M35" s="50" cm="1">
        <f t="array" ref="M35">_xlfn.IFNA(IF($F$6,INDEX(index_return!$B$2:$J$103,$I35,MATCH('Index Selection'!$E$6,index_return!$B$1:$J$1,0)),0)*$G$6,0)</f>
        <v>0</v>
      </c>
      <c r="N35" s="50" cm="1">
        <f t="array" ref="N35">_xlfn.IFNA(IF($F$7,INDEX(index_return!$B$2:$J$103,$I35,MATCH('Index Selection'!$E$7,index_return!$B$1:$J$1,0)),0)*$G$7,0)</f>
        <v>0</v>
      </c>
      <c r="O35" s="50" cm="1">
        <f t="array" ref="O35">_xlfn.IFNA(IF($F$8,INDEX(index_return!$B$2:$J$103,$I35,MATCH('Index Selection'!$E$8,index_return!$B$1:$J$1,0)),0)*$G$8,0)</f>
        <v>0</v>
      </c>
      <c r="P35" s="50" cm="1">
        <f t="array" ref="P35">_xlfn.IFNA(IF($F$9,INDEX(index_return!$B$2:$J$103,$I35,MATCH('Index Selection'!$E$9,index_return!$B$1:$J$1,0)),0)*$G$9,0)</f>
        <v>0</v>
      </c>
      <c r="Q35" s="50" cm="1">
        <f t="array" ref="Q35">_xlfn.IFNA(IF($F$10,INDEX(index_return!$B$2:$J$103,$I35,MATCH('Index Selection'!$E$10,index_return!$B$1:$J$1,0)),0)*$G$10,0)</f>
        <v>0</v>
      </c>
      <c r="R35" s="50" cm="1">
        <f t="array" ref="R35">_xlfn.IFNA(IF($F$11,INDEX(index_return!$B$2:$J$103,$I35,MATCH('Index Selection'!$E$11,index_return!$B$1:$J$1,0)),0)*$G$11,0)</f>
        <v>0</v>
      </c>
      <c r="S35" s="52">
        <f t="shared" si="0"/>
        <v>-0.74008023272287837</v>
      </c>
    </row>
    <row r="36" spans="9:19" ht="15" thickBot="1">
      <c r="I36" s="21">
        <v>34</v>
      </c>
      <c r="J36" s="50" cm="1">
        <f t="array" ref="J36">_xlfn.IFNA(IF($F$3,INDEX(index_return!$B$2:$J$103,$I36,MATCH('Index Selection'!$E$3,index_return!$B$1:$J$1,0)),0)*$G$3,0)</f>
        <v>1.4488963337035237E-2</v>
      </c>
      <c r="K36" s="50" cm="1">
        <f t="array" ref="K36">_xlfn.IFNA(IF($F$4,INDEX(index_return!$B$2:$J$103,$I36,MATCH('Index Selection'!$E$4,index_return!$B$1:$J$1,0)),0)*$G$4,0)</f>
        <v>5.7871388044489262E-2</v>
      </c>
      <c r="L36" s="50" cm="1">
        <f t="array" ref="L36">_xlfn.IFNA(IF($F$5,INDEX(index_return!$B$2:$J$103,$I36,MATCH('Index Selection'!$E$5,index_return!$B$1:$J$1,0)),0)*$G$5,0)</f>
        <v>0</v>
      </c>
      <c r="M36" s="50" cm="1">
        <f t="array" ref="M36">_xlfn.IFNA(IF($F$6,INDEX(index_return!$B$2:$J$103,$I36,MATCH('Index Selection'!$E$6,index_return!$B$1:$J$1,0)),0)*$G$6,0)</f>
        <v>0</v>
      </c>
      <c r="N36" s="50" cm="1">
        <f t="array" ref="N36">_xlfn.IFNA(IF($F$7,INDEX(index_return!$B$2:$J$103,$I36,MATCH('Index Selection'!$E$7,index_return!$B$1:$J$1,0)),0)*$G$7,0)</f>
        <v>0</v>
      </c>
      <c r="O36" s="50" cm="1">
        <f t="array" ref="O36">_xlfn.IFNA(IF($F$8,INDEX(index_return!$B$2:$J$103,$I36,MATCH('Index Selection'!$E$8,index_return!$B$1:$J$1,0)),0)*$G$8,0)</f>
        <v>0</v>
      </c>
      <c r="P36" s="50" cm="1">
        <f t="array" ref="P36">_xlfn.IFNA(IF($F$9,INDEX(index_return!$B$2:$J$103,$I36,MATCH('Index Selection'!$E$9,index_return!$B$1:$J$1,0)),0)*$G$9,0)</f>
        <v>0</v>
      </c>
      <c r="Q36" s="50" cm="1">
        <f t="array" ref="Q36">_xlfn.IFNA(IF($F$10,INDEX(index_return!$B$2:$J$103,$I36,MATCH('Index Selection'!$E$10,index_return!$B$1:$J$1,0)),0)*$G$10,0)</f>
        <v>0</v>
      </c>
      <c r="R36" s="50" cm="1">
        <f t="array" ref="R36">_xlfn.IFNA(IF($F$11,INDEX(index_return!$B$2:$J$103,$I36,MATCH('Index Selection'!$E$11,index_return!$B$1:$J$1,0)),0)*$G$11,0)</f>
        <v>0</v>
      </c>
      <c r="S36" s="52">
        <f t="shared" si="0"/>
        <v>7.2360351381524496E-2</v>
      </c>
    </row>
    <row r="37" spans="9:19" ht="15" thickBot="1">
      <c r="I37" s="21">
        <v>35</v>
      </c>
      <c r="J37" s="50" cm="1">
        <f t="array" ref="J37">_xlfn.IFNA(IF($F$3,INDEX(index_return!$B$2:$J$103,$I37,MATCH('Index Selection'!$E$3,index_return!$B$1:$J$1,0)),0)*$G$3,0)</f>
        <v>5.4551576543710734E-2</v>
      </c>
      <c r="K37" s="50" cm="1">
        <f t="array" ref="K37">_xlfn.IFNA(IF($F$4,INDEX(index_return!$B$2:$J$103,$I37,MATCH('Index Selection'!$E$4,index_return!$B$1:$J$1,0)),0)*$G$4,0)</f>
        <v>2.2012118425836769E-2</v>
      </c>
      <c r="L37" s="50" cm="1">
        <f t="array" ref="L37">_xlfn.IFNA(IF($F$5,INDEX(index_return!$B$2:$J$103,$I37,MATCH('Index Selection'!$E$5,index_return!$B$1:$J$1,0)),0)*$G$5,0)</f>
        <v>0</v>
      </c>
      <c r="M37" s="50" cm="1">
        <f t="array" ref="M37">_xlfn.IFNA(IF($F$6,INDEX(index_return!$B$2:$J$103,$I37,MATCH('Index Selection'!$E$6,index_return!$B$1:$J$1,0)),0)*$G$6,0)</f>
        <v>0</v>
      </c>
      <c r="N37" s="50" cm="1">
        <f t="array" ref="N37">_xlfn.IFNA(IF($F$7,INDEX(index_return!$B$2:$J$103,$I37,MATCH('Index Selection'!$E$7,index_return!$B$1:$J$1,0)),0)*$G$7,0)</f>
        <v>0</v>
      </c>
      <c r="O37" s="50" cm="1">
        <f t="array" ref="O37">_xlfn.IFNA(IF($F$8,INDEX(index_return!$B$2:$J$103,$I37,MATCH('Index Selection'!$E$8,index_return!$B$1:$J$1,0)),0)*$G$8,0)</f>
        <v>0</v>
      </c>
      <c r="P37" s="50" cm="1">
        <f t="array" ref="P37">_xlfn.IFNA(IF($F$9,INDEX(index_return!$B$2:$J$103,$I37,MATCH('Index Selection'!$E$9,index_return!$B$1:$J$1,0)),0)*$G$9,0)</f>
        <v>0</v>
      </c>
      <c r="Q37" s="50" cm="1">
        <f t="array" ref="Q37">_xlfn.IFNA(IF($F$10,INDEX(index_return!$B$2:$J$103,$I37,MATCH('Index Selection'!$E$10,index_return!$B$1:$J$1,0)),0)*$G$10,0)</f>
        <v>0</v>
      </c>
      <c r="R37" s="50" cm="1">
        <f t="array" ref="R37">_xlfn.IFNA(IF($F$11,INDEX(index_return!$B$2:$J$103,$I37,MATCH('Index Selection'!$E$11,index_return!$B$1:$J$1,0)),0)*$G$11,0)</f>
        <v>0</v>
      </c>
      <c r="S37" s="52">
        <f t="shared" si="0"/>
        <v>7.6563694969547499E-2</v>
      </c>
    </row>
    <row r="38" spans="9:19" ht="15" thickBot="1">
      <c r="I38" s="21">
        <v>36</v>
      </c>
      <c r="J38" s="50" cm="1">
        <f t="array" ref="J38">_xlfn.IFNA(IF($F$3,INDEX(index_return!$B$2:$J$103,$I38,MATCH('Index Selection'!$E$3,index_return!$B$1:$J$1,0)),0)*$G$3,0)</f>
        <v>0.11380947946383935</v>
      </c>
      <c r="K38" s="50" cm="1">
        <f t="array" ref="K38">_xlfn.IFNA(IF($F$4,INDEX(index_return!$B$2:$J$103,$I38,MATCH('Index Selection'!$E$4,index_return!$B$1:$J$1,0)),0)*$G$4,0)</f>
        <v>0.17482052609892679</v>
      </c>
      <c r="L38" s="50" cm="1">
        <f t="array" ref="L38">_xlfn.IFNA(IF($F$5,INDEX(index_return!$B$2:$J$103,$I38,MATCH('Index Selection'!$E$5,index_return!$B$1:$J$1,0)),0)*$G$5,0)</f>
        <v>0</v>
      </c>
      <c r="M38" s="50" cm="1">
        <f t="array" ref="M38">_xlfn.IFNA(IF($F$6,INDEX(index_return!$B$2:$J$103,$I38,MATCH('Index Selection'!$E$6,index_return!$B$1:$J$1,0)),0)*$G$6,0)</f>
        <v>0</v>
      </c>
      <c r="N38" s="50" cm="1">
        <f t="array" ref="N38">_xlfn.IFNA(IF($F$7,INDEX(index_return!$B$2:$J$103,$I38,MATCH('Index Selection'!$E$7,index_return!$B$1:$J$1,0)),0)*$G$7,0)</f>
        <v>0</v>
      </c>
      <c r="O38" s="50" cm="1">
        <f t="array" ref="O38">_xlfn.IFNA(IF($F$8,INDEX(index_return!$B$2:$J$103,$I38,MATCH('Index Selection'!$E$8,index_return!$B$1:$J$1,0)),0)*$G$8,0)</f>
        <v>0</v>
      </c>
      <c r="P38" s="50" cm="1">
        <f t="array" ref="P38">_xlfn.IFNA(IF($F$9,INDEX(index_return!$B$2:$J$103,$I38,MATCH('Index Selection'!$E$9,index_return!$B$1:$J$1,0)),0)*$G$9,0)</f>
        <v>0</v>
      </c>
      <c r="Q38" s="50" cm="1">
        <f t="array" ref="Q38">_xlfn.IFNA(IF($F$10,INDEX(index_return!$B$2:$J$103,$I38,MATCH('Index Selection'!$E$10,index_return!$B$1:$J$1,0)),0)*$G$10,0)</f>
        <v>0</v>
      </c>
      <c r="R38" s="50" cm="1">
        <f t="array" ref="R38">_xlfn.IFNA(IF($F$11,INDEX(index_return!$B$2:$J$103,$I38,MATCH('Index Selection'!$E$11,index_return!$B$1:$J$1,0)),0)*$G$11,0)</f>
        <v>0</v>
      </c>
      <c r="S38" s="52">
        <f t="shared" si="0"/>
        <v>0.28863000556276613</v>
      </c>
    </row>
    <row r="39" spans="9:19" ht="15" thickBot="1">
      <c r="I39" s="21">
        <v>37</v>
      </c>
      <c r="J39" s="50" cm="1">
        <f t="array" ref="J39">_xlfn.IFNA(IF($F$3,INDEX(index_return!$B$2:$J$103,$I39,MATCH('Index Selection'!$E$3,index_return!$B$1:$J$1,0)),0)*$G$3,0)</f>
        <v>6.5893155357102676E-2</v>
      </c>
      <c r="K39" s="50" cm="1">
        <f t="array" ref="K39">_xlfn.IFNA(IF($F$4,INDEX(index_return!$B$2:$J$103,$I39,MATCH('Index Selection'!$E$4,index_return!$B$1:$J$1,0)),0)*$G$4,0)</f>
        <v>0.10072370935014653</v>
      </c>
      <c r="L39" s="50" cm="1">
        <f t="array" ref="L39">_xlfn.IFNA(IF($F$5,INDEX(index_return!$B$2:$J$103,$I39,MATCH('Index Selection'!$E$5,index_return!$B$1:$J$1,0)),0)*$G$5,0)</f>
        <v>0</v>
      </c>
      <c r="M39" s="50" cm="1">
        <f t="array" ref="M39">_xlfn.IFNA(IF($F$6,INDEX(index_return!$B$2:$J$103,$I39,MATCH('Index Selection'!$E$6,index_return!$B$1:$J$1,0)),0)*$G$6,0)</f>
        <v>0</v>
      </c>
      <c r="N39" s="50" cm="1">
        <f t="array" ref="N39">_xlfn.IFNA(IF($F$7,INDEX(index_return!$B$2:$J$103,$I39,MATCH('Index Selection'!$E$7,index_return!$B$1:$J$1,0)),0)*$G$7,0)</f>
        <v>0</v>
      </c>
      <c r="O39" s="50" cm="1">
        <f t="array" ref="O39">_xlfn.IFNA(IF($F$8,INDEX(index_return!$B$2:$J$103,$I39,MATCH('Index Selection'!$E$8,index_return!$B$1:$J$1,0)),0)*$G$8,0)</f>
        <v>0</v>
      </c>
      <c r="P39" s="50" cm="1">
        <f t="array" ref="P39">_xlfn.IFNA(IF($F$9,INDEX(index_return!$B$2:$J$103,$I39,MATCH('Index Selection'!$E$9,index_return!$B$1:$J$1,0)),0)*$G$9,0)</f>
        <v>0</v>
      </c>
      <c r="Q39" s="50" cm="1">
        <f t="array" ref="Q39">_xlfn.IFNA(IF($F$10,INDEX(index_return!$B$2:$J$103,$I39,MATCH('Index Selection'!$E$10,index_return!$B$1:$J$1,0)),0)*$G$10,0)</f>
        <v>0</v>
      </c>
      <c r="R39" s="50" cm="1">
        <f t="array" ref="R39">_xlfn.IFNA(IF($F$11,INDEX(index_return!$B$2:$J$103,$I39,MATCH('Index Selection'!$E$11,index_return!$B$1:$J$1,0)),0)*$G$11,0)</f>
        <v>0</v>
      </c>
      <c r="S39" s="52">
        <f t="shared" ref="S39:S53" si="1">SUM(J39:R39)</f>
        <v>0.16661686470724921</v>
      </c>
    </row>
    <row r="40" spans="9:19" ht="15" thickBot="1">
      <c r="I40" s="21">
        <v>38</v>
      </c>
      <c r="J40" s="50" cm="1">
        <f t="array" ref="J40">_xlfn.IFNA(IF($F$3,INDEX(index_return!$B$2:$J$103,$I40,MATCH('Index Selection'!$E$3,index_return!$B$1:$J$1,0)),0)*$G$3,0)</f>
        <v>-4.0928966500356365E-2</v>
      </c>
      <c r="K40" s="50" cm="1">
        <f t="array" ref="K40">_xlfn.IFNA(IF($F$4,INDEX(index_return!$B$2:$J$103,$I40,MATCH('Index Selection'!$E$4,index_return!$B$1:$J$1,0)),0)*$G$4,0)</f>
        <v>-2.6972259727436644E-2</v>
      </c>
      <c r="L40" s="50" cm="1">
        <f t="array" ref="L40">_xlfn.IFNA(IF($F$5,INDEX(index_return!$B$2:$J$103,$I40,MATCH('Index Selection'!$E$5,index_return!$B$1:$J$1,0)),0)*$G$5,0)</f>
        <v>0</v>
      </c>
      <c r="M40" s="50" cm="1">
        <f t="array" ref="M40">_xlfn.IFNA(IF($F$6,INDEX(index_return!$B$2:$J$103,$I40,MATCH('Index Selection'!$E$6,index_return!$B$1:$J$1,0)),0)*$G$6,0)</f>
        <v>0</v>
      </c>
      <c r="N40" s="50" cm="1">
        <f t="array" ref="N40">_xlfn.IFNA(IF($F$7,INDEX(index_return!$B$2:$J$103,$I40,MATCH('Index Selection'!$E$7,index_return!$B$1:$J$1,0)),0)*$G$7,0)</f>
        <v>0</v>
      </c>
      <c r="O40" s="50" cm="1">
        <f t="array" ref="O40">_xlfn.IFNA(IF($F$8,INDEX(index_return!$B$2:$J$103,$I40,MATCH('Index Selection'!$E$8,index_return!$B$1:$J$1,0)),0)*$G$8,0)</f>
        <v>0</v>
      </c>
      <c r="P40" s="50" cm="1">
        <f t="array" ref="P40">_xlfn.IFNA(IF($F$9,INDEX(index_return!$B$2:$J$103,$I40,MATCH('Index Selection'!$E$9,index_return!$B$1:$J$1,0)),0)*$G$9,0)</f>
        <v>0</v>
      </c>
      <c r="Q40" s="50" cm="1">
        <f t="array" ref="Q40">_xlfn.IFNA(IF($F$10,INDEX(index_return!$B$2:$J$103,$I40,MATCH('Index Selection'!$E$10,index_return!$B$1:$J$1,0)),0)*$G$10,0)</f>
        <v>0</v>
      </c>
      <c r="R40" s="50" cm="1">
        <f t="array" ref="R40">_xlfn.IFNA(IF($F$11,INDEX(index_return!$B$2:$J$103,$I40,MATCH('Index Selection'!$E$11,index_return!$B$1:$J$1,0)),0)*$G$11,0)</f>
        <v>0</v>
      </c>
      <c r="S40" s="52">
        <f t="shared" si="1"/>
        <v>-6.7901226227793016E-2</v>
      </c>
    </row>
    <row r="41" spans="9:19" ht="15" thickBot="1">
      <c r="I41" s="21">
        <v>39</v>
      </c>
      <c r="J41" s="50" cm="1">
        <f t="array" ref="J41">_xlfn.IFNA(IF($F$3,INDEX(index_return!$B$2:$J$103,$I41,MATCH('Index Selection'!$E$3,index_return!$B$1:$J$1,0)),0)*$G$3,0)</f>
        <v>0.11163523945529505</v>
      </c>
      <c r="K41" s="50" cm="1">
        <f t="array" ref="K41">_xlfn.IFNA(IF($F$4,INDEX(index_return!$B$2:$J$103,$I41,MATCH('Index Selection'!$E$4,index_return!$B$1:$J$1,0)),0)*$G$4,0)</f>
        <v>0.13439153256183842</v>
      </c>
      <c r="L41" s="50" cm="1">
        <f t="array" ref="L41">_xlfn.IFNA(IF($F$5,INDEX(index_return!$B$2:$J$103,$I41,MATCH('Index Selection'!$E$5,index_return!$B$1:$J$1,0)),0)*$G$5,0)</f>
        <v>0</v>
      </c>
      <c r="M41" s="50" cm="1">
        <f t="array" ref="M41">_xlfn.IFNA(IF($F$6,INDEX(index_return!$B$2:$J$103,$I41,MATCH('Index Selection'!$E$6,index_return!$B$1:$J$1,0)),0)*$G$6,0)</f>
        <v>0</v>
      </c>
      <c r="N41" s="50" cm="1">
        <f t="array" ref="N41">_xlfn.IFNA(IF($F$7,INDEX(index_return!$B$2:$J$103,$I41,MATCH('Index Selection'!$E$7,index_return!$B$1:$J$1,0)),0)*$G$7,0)</f>
        <v>0</v>
      </c>
      <c r="O41" s="50" cm="1">
        <f t="array" ref="O41">_xlfn.IFNA(IF($F$8,INDEX(index_return!$B$2:$J$103,$I41,MATCH('Index Selection'!$E$8,index_return!$B$1:$J$1,0)),0)*$G$8,0)</f>
        <v>0</v>
      </c>
      <c r="P41" s="50" cm="1">
        <f t="array" ref="P41">_xlfn.IFNA(IF($F$9,INDEX(index_return!$B$2:$J$103,$I41,MATCH('Index Selection'!$E$9,index_return!$B$1:$J$1,0)),0)*$G$9,0)</f>
        <v>0</v>
      </c>
      <c r="Q41" s="50" cm="1">
        <f t="array" ref="Q41">_xlfn.IFNA(IF($F$10,INDEX(index_return!$B$2:$J$103,$I41,MATCH('Index Selection'!$E$10,index_return!$B$1:$J$1,0)),0)*$G$10,0)</f>
        <v>0</v>
      </c>
      <c r="R41" s="50" cm="1">
        <f t="array" ref="R41">_xlfn.IFNA(IF($F$11,INDEX(index_return!$B$2:$J$103,$I41,MATCH('Index Selection'!$E$11,index_return!$B$1:$J$1,0)),0)*$G$11,0)</f>
        <v>0</v>
      </c>
      <c r="S41" s="52">
        <f t="shared" si="1"/>
        <v>0.24602677201713347</v>
      </c>
    </row>
    <row r="42" spans="9:19" ht="15" thickBot="1">
      <c r="I42" s="21">
        <v>40</v>
      </c>
      <c r="J42" s="50" cm="1">
        <f t="array" ref="J42">_xlfn.IFNA(IF($F$3,INDEX(index_return!$B$2:$J$103,$I42,MATCH('Index Selection'!$E$3,index_return!$B$1:$J$1,0)),0)*$G$3,0)</f>
        <v>7.4078582367199858E-2</v>
      </c>
      <c r="K42" s="50" cm="1">
        <f t="array" ref="K42">_xlfn.IFNA(IF($F$4,INDEX(index_return!$B$2:$J$103,$I42,MATCH('Index Selection'!$E$4,index_return!$B$1:$J$1,0)),0)*$G$4,0)</f>
        <v>0.142966342119874</v>
      </c>
      <c r="L42" s="50" cm="1">
        <f t="array" ref="L42">_xlfn.IFNA(IF($F$5,INDEX(index_return!$B$2:$J$103,$I42,MATCH('Index Selection'!$E$5,index_return!$B$1:$J$1,0)),0)*$G$5,0)</f>
        <v>0</v>
      </c>
      <c r="M42" s="50" cm="1">
        <f t="array" ref="M42">_xlfn.IFNA(IF($F$6,INDEX(index_return!$B$2:$J$103,$I42,MATCH('Index Selection'!$E$6,index_return!$B$1:$J$1,0)),0)*$G$6,0)</f>
        <v>0</v>
      </c>
      <c r="N42" s="50" cm="1">
        <f t="array" ref="N42">_xlfn.IFNA(IF($F$7,INDEX(index_return!$B$2:$J$103,$I42,MATCH('Index Selection'!$E$7,index_return!$B$1:$J$1,0)),0)*$G$7,0)</f>
        <v>0</v>
      </c>
      <c r="O42" s="50" cm="1">
        <f t="array" ref="O42">_xlfn.IFNA(IF($F$8,INDEX(index_return!$B$2:$J$103,$I42,MATCH('Index Selection'!$E$8,index_return!$B$1:$J$1,0)),0)*$G$8,0)</f>
        <v>0</v>
      </c>
      <c r="P42" s="50" cm="1">
        <f t="array" ref="P42">_xlfn.IFNA(IF($F$9,INDEX(index_return!$B$2:$J$103,$I42,MATCH('Index Selection'!$E$9,index_return!$B$1:$J$1,0)),0)*$G$9,0)</f>
        <v>0</v>
      </c>
      <c r="Q42" s="50" cm="1">
        <f t="array" ref="Q42">_xlfn.IFNA(IF($F$10,INDEX(index_return!$B$2:$J$103,$I42,MATCH('Index Selection'!$E$10,index_return!$B$1:$J$1,0)),0)*$G$10,0)</f>
        <v>0</v>
      </c>
      <c r="R42" s="50" cm="1">
        <f t="array" ref="R42">_xlfn.IFNA(IF($F$11,INDEX(index_return!$B$2:$J$103,$I42,MATCH('Index Selection'!$E$11,index_return!$B$1:$J$1,0)),0)*$G$11,0)</f>
        <v>0</v>
      </c>
      <c r="S42" s="52">
        <f t="shared" si="1"/>
        <v>0.21704492448707385</v>
      </c>
    </row>
    <row r="43" spans="9:19" ht="15" thickBot="1">
      <c r="I43" s="21">
        <v>41</v>
      </c>
      <c r="J43" s="50" cm="1">
        <f t="array" ref="J43">_xlfn.IFNA(IF($F$3,INDEX(index_return!$B$2:$J$103,$I43,MATCH('Index Selection'!$E$3,index_return!$B$1:$J$1,0)),0)*$G$3,0)</f>
        <v>1.301848493994031E-2</v>
      </c>
      <c r="K43" s="50" cm="1">
        <f t="array" ref="K43">_xlfn.IFNA(IF($F$4,INDEX(index_return!$B$2:$J$103,$I43,MATCH('Index Selection'!$E$4,index_return!$B$1:$J$1,0)),0)*$G$4,0)</f>
        <v>1.7733802843017565E-2</v>
      </c>
      <c r="L43" s="50" cm="1">
        <f t="array" ref="L43">_xlfn.IFNA(IF($F$5,INDEX(index_return!$B$2:$J$103,$I43,MATCH('Index Selection'!$E$5,index_return!$B$1:$J$1,0)),0)*$G$5,0)</f>
        <v>0</v>
      </c>
      <c r="M43" s="50" cm="1">
        <f t="array" ref="M43">_xlfn.IFNA(IF($F$6,INDEX(index_return!$B$2:$J$103,$I43,MATCH('Index Selection'!$E$6,index_return!$B$1:$J$1,0)),0)*$G$6,0)</f>
        <v>0</v>
      </c>
      <c r="N43" s="50" cm="1">
        <f t="array" ref="N43">_xlfn.IFNA(IF($F$7,INDEX(index_return!$B$2:$J$103,$I43,MATCH('Index Selection'!$E$7,index_return!$B$1:$J$1,0)),0)*$G$7,0)</f>
        <v>0</v>
      </c>
      <c r="O43" s="50" cm="1">
        <f t="array" ref="O43">_xlfn.IFNA(IF($F$8,INDEX(index_return!$B$2:$J$103,$I43,MATCH('Index Selection'!$E$8,index_return!$B$1:$J$1,0)),0)*$G$8,0)</f>
        <v>0</v>
      </c>
      <c r="P43" s="50" cm="1">
        <f t="array" ref="P43">_xlfn.IFNA(IF($F$9,INDEX(index_return!$B$2:$J$103,$I43,MATCH('Index Selection'!$E$9,index_return!$B$1:$J$1,0)),0)*$G$9,0)</f>
        <v>0</v>
      </c>
      <c r="Q43" s="50" cm="1">
        <f t="array" ref="Q43">_xlfn.IFNA(IF($F$10,INDEX(index_return!$B$2:$J$103,$I43,MATCH('Index Selection'!$E$10,index_return!$B$1:$J$1,0)),0)*$G$10,0)</f>
        <v>0</v>
      </c>
      <c r="R43" s="50" cm="1">
        <f t="array" ref="R43">_xlfn.IFNA(IF($F$11,INDEX(index_return!$B$2:$J$103,$I43,MATCH('Index Selection'!$E$11,index_return!$B$1:$J$1,0)),0)*$G$11,0)</f>
        <v>0</v>
      </c>
      <c r="S43" s="52">
        <f t="shared" si="1"/>
        <v>3.0752287782957875E-2</v>
      </c>
    </row>
    <row r="44" spans="9:19" ht="15" thickBot="1">
      <c r="I44" s="21">
        <v>42</v>
      </c>
      <c r="J44" s="50" cm="1">
        <f t="array" ref="J44">_xlfn.IFNA(IF($F$3,INDEX(index_return!$B$2:$J$103,$I44,MATCH('Index Selection'!$E$3,index_return!$B$1:$J$1,0)),0)*$G$3,0)</f>
        <v>3.0477750254006113E-2</v>
      </c>
      <c r="K44" s="50" cm="1">
        <f t="array" ref="K44">_xlfn.IFNA(IF($F$4,INDEX(index_return!$B$2:$J$103,$I44,MATCH('Index Selection'!$E$4,index_return!$B$1:$J$1,0)),0)*$G$4,0)</f>
        <v>9.6110924105125201E-2</v>
      </c>
      <c r="L44" s="50" cm="1">
        <f t="array" ref="L44">_xlfn.IFNA(IF($F$5,INDEX(index_return!$B$2:$J$103,$I44,MATCH('Index Selection'!$E$5,index_return!$B$1:$J$1,0)),0)*$G$5,0)</f>
        <v>0</v>
      </c>
      <c r="M44" s="50" cm="1">
        <f t="array" ref="M44">_xlfn.IFNA(IF($F$6,INDEX(index_return!$B$2:$J$103,$I44,MATCH('Index Selection'!$E$6,index_return!$B$1:$J$1,0)),0)*$G$6,0)</f>
        <v>0</v>
      </c>
      <c r="N44" s="50" cm="1">
        <f t="array" ref="N44">_xlfn.IFNA(IF($F$7,INDEX(index_return!$B$2:$J$103,$I44,MATCH('Index Selection'!$E$7,index_return!$B$1:$J$1,0)),0)*$G$7,0)</f>
        <v>0</v>
      </c>
      <c r="O44" s="50" cm="1">
        <f t="array" ref="O44">_xlfn.IFNA(IF($F$8,INDEX(index_return!$B$2:$J$103,$I44,MATCH('Index Selection'!$E$8,index_return!$B$1:$J$1,0)),0)*$G$8,0)</f>
        <v>0</v>
      </c>
      <c r="P44" s="50" cm="1">
        <f t="array" ref="P44">_xlfn.IFNA(IF($F$9,INDEX(index_return!$B$2:$J$103,$I44,MATCH('Index Selection'!$E$9,index_return!$B$1:$J$1,0)),0)*$G$9,0)</f>
        <v>0</v>
      </c>
      <c r="Q44" s="50" cm="1">
        <f t="array" ref="Q44">_xlfn.IFNA(IF($F$10,INDEX(index_return!$B$2:$J$103,$I44,MATCH('Index Selection'!$E$10,index_return!$B$1:$J$1,0)),0)*$G$10,0)</f>
        <v>0</v>
      </c>
      <c r="R44" s="50" cm="1">
        <f t="array" ref="R44">_xlfn.IFNA(IF($F$11,INDEX(index_return!$B$2:$J$103,$I44,MATCH('Index Selection'!$E$11,index_return!$B$1:$J$1,0)),0)*$G$11,0)</f>
        <v>0</v>
      </c>
      <c r="S44" s="52">
        <f t="shared" si="1"/>
        <v>0.12658867435913132</v>
      </c>
    </row>
    <row r="45" spans="9:19" ht="15" thickBot="1">
      <c r="I45" s="21">
        <v>43</v>
      </c>
      <c r="J45" s="50" cm="1">
        <f t="array" ref="J45">_xlfn.IFNA(IF($F$3,INDEX(index_return!$B$2:$J$103,$I45,MATCH('Index Selection'!$E$3,index_return!$B$1:$J$1,0)),0)*$G$3,0)</f>
        <v>0.15212985252004446</v>
      </c>
      <c r="K45" s="50" cm="1">
        <f t="array" ref="K45">_xlfn.IFNA(IF($F$4,INDEX(index_return!$B$2:$J$103,$I45,MATCH('Index Selection'!$E$4,index_return!$B$1:$J$1,0)),0)*$G$4,0)</f>
        <v>0.29208553022423384</v>
      </c>
      <c r="L45" s="50" cm="1">
        <f t="array" ref="L45">_xlfn.IFNA(IF($F$5,INDEX(index_return!$B$2:$J$103,$I45,MATCH('Index Selection'!$E$5,index_return!$B$1:$J$1,0)),0)*$G$5,0)</f>
        <v>0</v>
      </c>
      <c r="M45" s="50" cm="1">
        <f t="array" ref="M45">_xlfn.IFNA(IF($F$6,INDEX(index_return!$B$2:$J$103,$I45,MATCH('Index Selection'!$E$6,index_return!$B$1:$J$1,0)),0)*$G$6,0)</f>
        <v>0</v>
      </c>
      <c r="N45" s="50" cm="1">
        <f t="array" ref="N45">_xlfn.IFNA(IF($F$7,INDEX(index_return!$B$2:$J$103,$I45,MATCH('Index Selection'!$E$7,index_return!$B$1:$J$1,0)),0)*$G$7,0)</f>
        <v>0</v>
      </c>
      <c r="O45" s="50" cm="1">
        <f t="array" ref="O45">_xlfn.IFNA(IF($F$8,INDEX(index_return!$B$2:$J$103,$I45,MATCH('Index Selection'!$E$8,index_return!$B$1:$J$1,0)),0)*$G$8,0)</f>
        <v>0</v>
      </c>
      <c r="P45" s="50" cm="1">
        <f t="array" ref="P45">_xlfn.IFNA(IF($F$9,INDEX(index_return!$B$2:$J$103,$I45,MATCH('Index Selection'!$E$9,index_return!$B$1:$J$1,0)),0)*$G$9,0)</f>
        <v>0</v>
      </c>
      <c r="Q45" s="50" cm="1">
        <f t="array" ref="Q45">_xlfn.IFNA(IF($F$10,INDEX(index_return!$B$2:$J$103,$I45,MATCH('Index Selection'!$E$10,index_return!$B$1:$J$1,0)),0)*$G$10,0)</f>
        <v>0</v>
      </c>
      <c r="R45" s="50" cm="1">
        <f t="array" ref="R45">_xlfn.IFNA(IF($F$11,INDEX(index_return!$B$2:$J$103,$I45,MATCH('Index Selection'!$E$11,index_return!$B$1:$J$1,0)),0)*$G$11,0)</f>
        <v>0</v>
      </c>
      <c r="S45" s="52">
        <f t="shared" si="1"/>
        <v>0.4442153827442783</v>
      </c>
    </row>
    <row r="46" spans="9:19" ht="15" thickBot="1">
      <c r="I46" s="21">
        <v>44</v>
      </c>
      <c r="J46" s="50" cm="1">
        <f t="array" ref="J46">_xlfn.IFNA(IF($F$3,INDEX(index_return!$B$2:$J$103,$I46,MATCH('Index Selection'!$E$3,index_return!$B$1:$J$1,0)),0)*$G$3,0)</f>
        <v>-0.32777110880714977</v>
      </c>
      <c r="K46" s="50" cm="1">
        <f t="array" ref="K46">_xlfn.IFNA(IF($F$4,INDEX(index_return!$B$2:$J$103,$I46,MATCH('Index Selection'!$E$4,index_return!$B$1:$J$1,0)),0)*$G$4,0)</f>
        <v>-0.4123091239157286</v>
      </c>
      <c r="L46" s="50" cm="1">
        <f t="array" ref="L46">_xlfn.IFNA(IF($F$5,INDEX(index_return!$B$2:$J$103,$I46,MATCH('Index Selection'!$E$5,index_return!$B$1:$J$1,0)),0)*$G$5,0)</f>
        <v>0</v>
      </c>
      <c r="M46" s="50" cm="1">
        <f t="array" ref="M46">_xlfn.IFNA(IF($F$6,INDEX(index_return!$B$2:$J$103,$I46,MATCH('Index Selection'!$E$6,index_return!$B$1:$J$1,0)),0)*$G$6,0)</f>
        <v>0</v>
      </c>
      <c r="N46" s="50" cm="1">
        <f t="array" ref="N46">_xlfn.IFNA(IF($F$7,INDEX(index_return!$B$2:$J$103,$I46,MATCH('Index Selection'!$E$7,index_return!$B$1:$J$1,0)),0)*$G$7,0)</f>
        <v>0</v>
      </c>
      <c r="O46" s="50" cm="1">
        <f t="array" ref="O46">_xlfn.IFNA(IF($F$8,INDEX(index_return!$B$2:$J$103,$I46,MATCH('Index Selection'!$E$8,index_return!$B$1:$J$1,0)),0)*$G$8,0)</f>
        <v>0</v>
      </c>
      <c r="P46" s="50" cm="1">
        <f t="array" ref="P46">_xlfn.IFNA(IF($F$9,INDEX(index_return!$B$2:$J$103,$I46,MATCH('Index Selection'!$E$9,index_return!$B$1:$J$1,0)),0)*$G$9,0)</f>
        <v>0</v>
      </c>
      <c r="Q46" s="50" cm="1">
        <f t="array" ref="Q46">_xlfn.IFNA(IF($F$10,INDEX(index_return!$B$2:$J$103,$I46,MATCH('Index Selection'!$E$10,index_return!$B$1:$J$1,0)),0)*$G$10,0)</f>
        <v>0</v>
      </c>
      <c r="R46" s="50" cm="1">
        <f t="array" ref="R46">_xlfn.IFNA(IF($F$11,INDEX(index_return!$B$2:$J$103,$I46,MATCH('Index Selection'!$E$11,index_return!$B$1:$J$1,0)),0)*$G$11,0)</f>
        <v>0</v>
      </c>
      <c r="S46" s="52">
        <f t="shared" si="1"/>
        <v>-0.74008023272287837</v>
      </c>
    </row>
    <row r="47" spans="9:19" ht="15" thickBot="1">
      <c r="I47" s="21">
        <v>45</v>
      </c>
      <c r="J47" s="50" cm="1">
        <f t="array" ref="J47">_xlfn.IFNA(IF($F$3,INDEX(index_return!$B$2:$J$103,$I47,MATCH('Index Selection'!$E$3,index_return!$B$1:$J$1,0)),0)*$G$3,0)</f>
        <v>1.4488963337035237E-2</v>
      </c>
      <c r="K47" s="50" cm="1">
        <f t="array" ref="K47">_xlfn.IFNA(IF($F$4,INDEX(index_return!$B$2:$J$103,$I47,MATCH('Index Selection'!$E$4,index_return!$B$1:$J$1,0)),0)*$G$4,0)</f>
        <v>5.7871388044489262E-2</v>
      </c>
      <c r="L47" s="50" cm="1">
        <f t="array" ref="L47">_xlfn.IFNA(IF($F$5,INDEX(index_return!$B$2:$J$103,$I47,MATCH('Index Selection'!$E$5,index_return!$B$1:$J$1,0)),0)*$G$5,0)</f>
        <v>0</v>
      </c>
      <c r="M47" s="50" cm="1">
        <f t="array" ref="M47">_xlfn.IFNA(IF($F$6,INDEX(index_return!$B$2:$J$103,$I47,MATCH('Index Selection'!$E$6,index_return!$B$1:$J$1,0)),0)*$G$6,0)</f>
        <v>0</v>
      </c>
      <c r="N47" s="50" cm="1">
        <f t="array" ref="N47">_xlfn.IFNA(IF($F$7,INDEX(index_return!$B$2:$J$103,$I47,MATCH('Index Selection'!$E$7,index_return!$B$1:$J$1,0)),0)*$G$7,0)</f>
        <v>0</v>
      </c>
      <c r="O47" s="50" cm="1">
        <f t="array" ref="O47">_xlfn.IFNA(IF($F$8,INDEX(index_return!$B$2:$J$103,$I47,MATCH('Index Selection'!$E$8,index_return!$B$1:$J$1,0)),0)*$G$8,0)</f>
        <v>0</v>
      </c>
      <c r="P47" s="50" cm="1">
        <f t="array" ref="P47">_xlfn.IFNA(IF($F$9,INDEX(index_return!$B$2:$J$103,$I47,MATCH('Index Selection'!$E$9,index_return!$B$1:$J$1,0)),0)*$G$9,0)</f>
        <v>0</v>
      </c>
      <c r="Q47" s="50" cm="1">
        <f t="array" ref="Q47">_xlfn.IFNA(IF($F$10,INDEX(index_return!$B$2:$J$103,$I47,MATCH('Index Selection'!$E$10,index_return!$B$1:$J$1,0)),0)*$G$10,0)</f>
        <v>0</v>
      </c>
      <c r="R47" s="50" cm="1">
        <f t="array" ref="R47">_xlfn.IFNA(IF($F$11,INDEX(index_return!$B$2:$J$103,$I47,MATCH('Index Selection'!$E$11,index_return!$B$1:$J$1,0)),0)*$G$11,0)</f>
        <v>0</v>
      </c>
      <c r="S47" s="52">
        <f t="shared" si="1"/>
        <v>7.2360351381524496E-2</v>
      </c>
    </row>
    <row r="48" spans="9:19" ht="15" thickBot="1">
      <c r="I48" s="21">
        <v>46</v>
      </c>
      <c r="J48" s="50" cm="1">
        <f t="array" ref="J48">_xlfn.IFNA(IF($F$3,INDEX(index_return!$B$2:$J$103,$I48,MATCH('Index Selection'!$E$3,index_return!$B$1:$J$1,0)),0)*$G$3,0)</f>
        <v>5.4551576543710734E-2</v>
      </c>
      <c r="K48" s="50" cm="1">
        <f t="array" ref="K48">_xlfn.IFNA(IF($F$4,INDEX(index_return!$B$2:$J$103,$I48,MATCH('Index Selection'!$E$4,index_return!$B$1:$J$1,0)),0)*$G$4,0)</f>
        <v>2.2012118425836769E-2</v>
      </c>
      <c r="L48" s="50" cm="1">
        <f t="array" ref="L48">_xlfn.IFNA(IF($F$5,INDEX(index_return!$B$2:$J$103,$I48,MATCH('Index Selection'!$E$5,index_return!$B$1:$J$1,0)),0)*$G$5,0)</f>
        <v>0</v>
      </c>
      <c r="M48" s="50" cm="1">
        <f t="array" ref="M48">_xlfn.IFNA(IF($F$6,INDEX(index_return!$B$2:$J$103,$I48,MATCH('Index Selection'!$E$6,index_return!$B$1:$J$1,0)),0)*$G$6,0)</f>
        <v>0</v>
      </c>
      <c r="N48" s="50" cm="1">
        <f t="array" ref="N48">_xlfn.IFNA(IF($F$7,INDEX(index_return!$B$2:$J$103,$I48,MATCH('Index Selection'!$E$7,index_return!$B$1:$J$1,0)),0)*$G$7,0)</f>
        <v>0</v>
      </c>
      <c r="O48" s="50" cm="1">
        <f t="array" ref="O48">_xlfn.IFNA(IF($F$8,INDEX(index_return!$B$2:$J$103,$I48,MATCH('Index Selection'!$E$8,index_return!$B$1:$J$1,0)),0)*$G$8,0)</f>
        <v>0</v>
      </c>
      <c r="P48" s="50" cm="1">
        <f t="array" ref="P48">_xlfn.IFNA(IF($F$9,INDEX(index_return!$B$2:$J$103,$I48,MATCH('Index Selection'!$E$9,index_return!$B$1:$J$1,0)),0)*$G$9,0)</f>
        <v>0</v>
      </c>
      <c r="Q48" s="50" cm="1">
        <f t="array" ref="Q48">_xlfn.IFNA(IF($F$10,INDEX(index_return!$B$2:$J$103,$I48,MATCH('Index Selection'!$E$10,index_return!$B$1:$J$1,0)),0)*$G$10,0)</f>
        <v>0</v>
      </c>
      <c r="R48" s="50" cm="1">
        <f t="array" ref="R48">_xlfn.IFNA(IF($F$11,INDEX(index_return!$B$2:$J$103,$I48,MATCH('Index Selection'!$E$11,index_return!$B$1:$J$1,0)),0)*$G$11,0)</f>
        <v>0</v>
      </c>
      <c r="S48" s="52">
        <f t="shared" si="1"/>
        <v>7.6563694969547499E-2</v>
      </c>
    </row>
    <row r="49" spans="9:19" ht="15" thickBot="1">
      <c r="I49" s="21">
        <v>47</v>
      </c>
      <c r="J49" s="50" cm="1">
        <f t="array" ref="J49">_xlfn.IFNA(IF($F$3,INDEX(index_return!$B$2:$J$103,$I49,MATCH('Index Selection'!$E$3,index_return!$B$1:$J$1,0)),0)*$G$3,0)</f>
        <v>0.11380947946383935</v>
      </c>
      <c r="K49" s="50" cm="1">
        <f t="array" ref="K49">_xlfn.IFNA(IF($F$4,INDEX(index_return!$B$2:$J$103,$I49,MATCH('Index Selection'!$E$4,index_return!$B$1:$J$1,0)),0)*$G$4,0)</f>
        <v>0.17482052609892679</v>
      </c>
      <c r="L49" s="50" cm="1">
        <f t="array" ref="L49">_xlfn.IFNA(IF($F$5,INDEX(index_return!$B$2:$J$103,$I49,MATCH('Index Selection'!$E$5,index_return!$B$1:$J$1,0)),0)*$G$5,0)</f>
        <v>0</v>
      </c>
      <c r="M49" s="50" cm="1">
        <f t="array" ref="M49">_xlfn.IFNA(IF($F$6,INDEX(index_return!$B$2:$J$103,$I49,MATCH('Index Selection'!$E$6,index_return!$B$1:$J$1,0)),0)*$G$6,0)</f>
        <v>0</v>
      </c>
      <c r="N49" s="50" cm="1">
        <f t="array" ref="N49">_xlfn.IFNA(IF($F$7,INDEX(index_return!$B$2:$J$103,$I49,MATCH('Index Selection'!$E$7,index_return!$B$1:$J$1,0)),0)*$G$7,0)</f>
        <v>0</v>
      </c>
      <c r="O49" s="50" cm="1">
        <f t="array" ref="O49">_xlfn.IFNA(IF($F$8,INDEX(index_return!$B$2:$J$103,$I49,MATCH('Index Selection'!$E$8,index_return!$B$1:$J$1,0)),0)*$G$8,0)</f>
        <v>0</v>
      </c>
      <c r="P49" s="50" cm="1">
        <f t="array" ref="P49">_xlfn.IFNA(IF($F$9,INDEX(index_return!$B$2:$J$103,$I49,MATCH('Index Selection'!$E$9,index_return!$B$1:$J$1,0)),0)*$G$9,0)</f>
        <v>0</v>
      </c>
      <c r="Q49" s="50" cm="1">
        <f t="array" ref="Q49">_xlfn.IFNA(IF($F$10,INDEX(index_return!$B$2:$J$103,$I49,MATCH('Index Selection'!$E$10,index_return!$B$1:$J$1,0)),0)*$G$10,0)</f>
        <v>0</v>
      </c>
      <c r="R49" s="50" cm="1">
        <f t="array" ref="R49">_xlfn.IFNA(IF($F$11,INDEX(index_return!$B$2:$J$103,$I49,MATCH('Index Selection'!$E$11,index_return!$B$1:$J$1,0)),0)*$G$11,0)</f>
        <v>0</v>
      </c>
      <c r="S49" s="52">
        <f t="shared" si="1"/>
        <v>0.28863000556276613</v>
      </c>
    </row>
    <row r="50" spans="9:19" ht="15" thickBot="1">
      <c r="I50" s="21">
        <v>48</v>
      </c>
      <c r="J50" s="50" cm="1">
        <f t="array" ref="J50">_xlfn.IFNA(IF($F$3,INDEX(index_return!$B$2:$J$103,$I50,MATCH('Index Selection'!$E$3,index_return!$B$1:$J$1,0)),0)*$G$3,0)</f>
        <v>6.5893155357102676E-2</v>
      </c>
      <c r="K50" s="50" cm="1">
        <f t="array" ref="K50">_xlfn.IFNA(IF($F$4,INDEX(index_return!$B$2:$J$103,$I50,MATCH('Index Selection'!$E$4,index_return!$B$1:$J$1,0)),0)*$G$4,0)</f>
        <v>0.10072370935014653</v>
      </c>
      <c r="L50" s="50" cm="1">
        <f t="array" ref="L50">_xlfn.IFNA(IF($F$5,INDEX(index_return!$B$2:$J$103,$I50,MATCH('Index Selection'!$E$5,index_return!$B$1:$J$1,0)),0)*$G$5,0)</f>
        <v>0</v>
      </c>
      <c r="M50" s="50" cm="1">
        <f t="array" ref="M50">_xlfn.IFNA(IF($F$6,INDEX(index_return!$B$2:$J$103,$I50,MATCH('Index Selection'!$E$6,index_return!$B$1:$J$1,0)),0)*$G$6,0)</f>
        <v>0</v>
      </c>
      <c r="N50" s="50" cm="1">
        <f t="array" ref="N50">_xlfn.IFNA(IF($F$7,INDEX(index_return!$B$2:$J$103,$I50,MATCH('Index Selection'!$E$7,index_return!$B$1:$J$1,0)),0)*$G$7,0)</f>
        <v>0</v>
      </c>
      <c r="O50" s="50" cm="1">
        <f t="array" ref="O50">_xlfn.IFNA(IF($F$8,INDEX(index_return!$B$2:$J$103,$I50,MATCH('Index Selection'!$E$8,index_return!$B$1:$J$1,0)),0)*$G$8,0)</f>
        <v>0</v>
      </c>
      <c r="P50" s="50" cm="1">
        <f t="array" ref="P50">_xlfn.IFNA(IF($F$9,INDEX(index_return!$B$2:$J$103,$I50,MATCH('Index Selection'!$E$9,index_return!$B$1:$J$1,0)),0)*$G$9,0)</f>
        <v>0</v>
      </c>
      <c r="Q50" s="50" cm="1">
        <f t="array" ref="Q50">_xlfn.IFNA(IF($F$10,INDEX(index_return!$B$2:$J$103,$I50,MATCH('Index Selection'!$E$10,index_return!$B$1:$J$1,0)),0)*$G$10,0)</f>
        <v>0</v>
      </c>
      <c r="R50" s="50" cm="1">
        <f t="array" ref="R50">_xlfn.IFNA(IF($F$11,INDEX(index_return!$B$2:$J$103,$I50,MATCH('Index Selection'!$E$11,index_return!$B$1:$J$1,0)),0)*$G$11,0)</f>
        <v>0</v>
      </c>
      <c r="S50" s="52">
        <f t="shared" si="1"/>
        <v>0.16661686470724921</v>
      </c>
    </row>
    <row r="51" spans="9:19" ht="15" thickBot="1">
      <c r="I51" s="21">
        <v>49</v>
      </c>
      <c r="J51" s="50" cm="1">
        <f t="array" ref="J51">_xlfn.IFNA(IF($F$3,INDEX(index_return!$B$2:$J$103,$I51,MATCH('Index Selection'!$E$3,index_return!$B$1:$J$1,0)),0)*$G$3,0)</f>
        <v>-4.0928966500356365E-2</v>
      </c>
      <c r="K51" s="50" cm="1">
        <f t="array" ref="K51">_xlfn.IFNA(IF($F$4,INDEX(index_return!$B$2:$J$103,$I51,MATCH('Index Selection'!$E$4,index_return!$B$1:$J$1,0)),0)*$G$4,0)</f>
        <v>-2.6972259727436644E-2</v>
      </c>
      <c r="L51" s="50" cm="1">
        <f t="array" ref="L51">_xlfn.IFNA(IF($F$5,INDEX(index_return!$B$2:$J$103,$I51,MATCH('Index Selection'!$E$5,index_return!$B$1:$J$1,0)),0)*$G$5,0)</f>
        <v>0</v>
      </c>
      <c r="M51" s="50" cm="1">
        <f t="array" ref="M51">_xlfn.IFNA(IF($F$6,INDEX(index_return!$B$2:$J$103,$I51,MATCH('Index Selection'!$E$6,index_return!$B$1:$J$1,0)),0)*$G$6,0)</f>
        <v>0</v>
      </c>
      <c r="N51" s="50" cm="1">
        <f t="array" ref="N51">_xlfn.IFNA(IF($F$7,INDEX(index_return!$B$2:$J$103,$I51,MATCH('Index Selection'!$E$7,index_return!$B$1:$J$1,0)),0)*$G$7,0)</f>
        <v>0</v>
      </c>
      <c r="O51" s="50" cm="1">
        <f t="array" ref="O51">_xlfn.IFNA(IF($F$8,INDEX(index_return!$B$2:$J$103,$I51,MATCH('Index Selection'!$E$8,index_return!$B$1:$J$1,0)),0)*$G$8,0)</f>
        <v>0</v>
      </c>
      <c r="P51" s="50" cm="1">
        <f t="array" ref="P51">_xlfn.IFNA(IF($F$9,INDEX(index_return!$B$2:$J$103,$I51,MATCH('Index Selection'!$E$9,index_return!$B$1:$J$1,0)),0)*$G$9,0)</f>
        <v>0</v>
      </c>
      <c r="Q51" s="50" cm="1">
        <f t="array" ref="Q51">_xlfn.IFNA(IF($F$10,INDEX(index_return!$B$2:$J$103,$I51,MATCH('Index Selection'!$E$10,index_return!$B$1:$J$1,0)),0)*$G$10,0)</f>
        <v>0</v>
      </c>
      <c r="R51" s="50" cm="1">
        <f t="array" ref="R51">_xlfn.IFNA(IF($F$11,INDEX(index_return!$B$2:$J$103,$I51,MATCH('Index Selection'!$E$11,index_return!$B$1:$J$1,0)),0)*$G$11,0)</f>
        <v>0</v>
      </c>
      <c r="S51" s="52">
        <f t="shared" si="1"/>
        <v>-6.7901226227793016E-2</v>
      </c>
    </row>
    <row r="52" spans="9:19" ht="15" thickBot="1">
      <c r="I52" s="21">
        <v>50</v>
      </c>
      <c r="J52" s="50" cm="1">
        <f t="array" ref="J52">_xlfn.IFNA(IF($F$3,INDEX(index_return!$B$2:$J$103,$I52,MATCH('Index Selection'!$E$3,index_return!$B$1:$J$1,0)),0)*$G$3,0)</f>
        <v>0.11163523945529505</v>
      </c>
      <c r="K52" s="50" cm="1">
        <f t="array" ref="K52">_xlfn.IFNA(IF($F$4,INDEX(index_return!$B$2:$J$103,$I52,MATCH('Index Selection'!$E$4,index_return!$B$1:$J$1,0)),0)*$G$4,0)</f>
        <v>0.13439153256183842</v>
      </c>
      <c r="L52" s="50" cm="1">
        <f t="array" ref="L52">_xlfn.IFNA(IF($F$5,INDEX(index_return!$B$2:$J$103,$I52,MATCH('Index Selection'!$E$5,index_return!$B$1:$J$1,0)),0)*$G$5,0)</f>
        <v>0</v>
      </c>
      <c r="M52" s="50" cm="1">
        <f t="array" ref="M52">_xlfn.IFNA(IF($F$6,INDEX(index_return!$B$2:$J$103,$I52,MATCH('Index Selection'!$E$6,index_return!$B$1:$J$1,0)),0)*$G$6,0)</f>
        <v>0</v>
      </c>
      <c r="N52" s="50" cm="1">
        <f t="array" ref="N52">_xlfn.IFNA(IF($F$7,INDEX(index_return!$B$2:$J$103,$I52,MATCH('Index Selection'!$E$7,index_return!$B$1:$J$1,0)),0)*$G$7,0)</f>
        <v>0</v>
      </c>
      <c r="O52" s="50" cm="1">
        <f t="array" ref="O52">_xlfn.IFNA(IF($F$8,INDEX(index_return!$B$2:$J$103,$I52,MATCH('Index Selection'!$E$8,index_return!$B$1:$J$1,0)),0)*$G$8,0)</f>
        <v>0</v>
      </c>
      <c r="P52" s="50" cm="1">
        <f t="array" ref="P52">_xlfn.IFNA(IF($F$9,INDEX(index_return!$B$2:$J$103,$I52,MATCH('Index Selection'!$E$9,index_return!$B$1:$J$1,0)),0)*$G$9,0)</f>
        <v>0</v>
      </c>
      <c r="Q52" s="50" cm="1">
        <f t="array" ref="Q52">_xlfn.IFNA(IF($F$10,INDEX(index_return!$B$2:$J$103,$I52,MATCH('Index Selection'!$E$10,index_return!$B$1:$J$1,0)),0)*$G$10,0)</f>
        <v>0</v>
      </c>
      <c r="R52" s="50" cm="1">
        <f t="array" ref="R52">_xlfn.IFNA(IF($F$11,INDEX(index_return!$B$2:$J$103,$I52,MATCH('Index Selection'!$E$11,index_return!$B$1:$J$1,0)),0)*$G$11,0)</f>
        <v>0</v>
      </c>
      <c r="S52" s="52">
        <f t="shared" si="1"/>
        <v>0.24602677201713347</v>
      </c>
    </row>
    <row r="53" spans="9:19" ht="15" thickBot="1">
      <c r="I53" s="21">
        <v>51</v>
      </c>
      <c r="J53" s="50" cm="1">
        <f t="array" ref="J53">_xlfn.IFNA(IF($F$3,INDEX(index_return!$B$2:$J$103,$I53,MATCH('Index Selection'!$E$3,index_return!$B$1:$J$1,0)),0)*$G$3,0)</f>
        <v>7.4078582367199858E-2</v>
      </c>
      <c r="K53" s="50" cm="1">
        <f t="array" ref="K53">_xlfn.IFNA(IF($F$4,INDEX(index_return!$B$2:$J$103,$I53,MATCH('Index Selection'!$E$4,index_return!$B$1:$J$1,0)),0)*$G$4,0)</f>
        <v>0.142966342119874</v>
      </c>
      <c r="L53" s="50" cm="1">
        <f t="array" ref="L53">_xlfn.IFNA(IF($F$5,INDEX(index_return!$B$2:$J$103,$I53,MATCH('Index Selection'!$E$5,index_return!$B$1:$J$1,0)),0)*$G$5,0)</f>
        <v>0</v>
      </c>
      <c r="M53" s="50" cm="1">
        <f t="array" ref="M53">_xlfn.IFNA(IF($F$6,INDEX(index_return!$B$2:$J$103,$I53,MATCH('Index Selection'!$E$6,index_return!$B$1:$J$1,0)),0)*$G$6,0)</f>
        <v>0</v>
      </c>
      <c r="N53" s="50" cm="1">
        <f t="array" ref="N53">_xlfn.IFNA(IF($F$7,INDEX(index_return!$B$2:$J$103,$I53,MATCH('Index Selection'!$E$7,index_return!$B$1:$J$1,0)),0)*$G$7,0)</f>
        <v>0</v>
      </c>
      <c r="O53" s="50" cm="1">
        <f t="array" ref="O53">_xlfn.IFNA(IF($F$8,INDEX(index_return!$B$2:$J$103,$I53,MATCH('Index Selection'!$E$8,index_return!$B$1:$J$1,0)),0)*$G$8,0)</f>
        <v>0</v>
      </c>
      <c r="P53" s="50" cm="1">
        <f t="array" ref="P53">_xlfn.IFNA(IF($F$9,INDEX(index_return!$B$2:$J$103,$I53,MATCH('Index Selection'!$E$9,index_return!$B$1:$J$1,0)),0)*$G$9,0)</f>
        <v>0</v>
      </c>
      <c r="Q53" s="50" cm="1">
        <f t="array" ref="Q53">_xlfn.IFNA(IF($F$10,INDEX(index_return!$B$2:$J$103,$I53,MATCH('Index Selection'!$E$10,index_return!$B$1:$J$1,0)),0)*$G$10,0)</f>
        <v>0</v>
      </c>
      <c r="R53" s="50" cm="1">
        <f t="array" ref="R53">_xlfn.IFNA(IF($F$11,INDEX(index_return!$B$2:$J$103,$I53,MATCH('Index Selection'!$E$11,index_return!$B$1:$J$1,0)),0)*$G$11,0)</f>
        <v>0</v>
      </c>
      <c r="S53" s="52">
        <f t="shared" si="1"/>
        <v>0.21704492448707385</v>
      </c>
    </row>
    <row r="54" spans="9:19" ht="15" thickBot="1">
      <c r="I54" s="21">
        <v>52</v>
      </c>
      <c r="J54" s="50" cm="1">
        <f t="array" ref="J54">_xlfn.IFNA(IF($F$3,INDEX(index_return!$B$2:$J$103,$I54,MATCH('Index Selection'!$E$3,index_return!$B$1:$J$1,0)),0)*$G$3,0)</f>
        <v>1.301848493994031E-2</v>
      </c>
      <c r="K54" s="50" cm="1">
        <f t="array" ref="K54">_xlfn.IFNA(IF($F$4,INDEX(index_return!$B$2:$J$103,$I54,MATCH('Index Selection'!$E$4,index_return!$B$1:$J$1,0)),0)*$G$4,0)</f>
        <v>1.7733802843017565E-2</v>
      </c>
      <c r="L54" s="50" cm="1">
        <f t="array" ref="L54">_xlfn.IFNA(IF($F$5,INDEX(index_return!$B$2:$J$103,$I54,MATCH('Index Selection'!$E$5,index_return!$B$1:$J$1,0)),0)*$G$5,0)</f>
        <v>0</v>
      </c>
      <c r="M54" s="50" cm="1">
        <f t="array" ref="M54">_xlfn.IFNA(IF($F$6,INDEX(index_return!$B$2:$J$103,$I54,MATCH('Index Selection'!$E$6,index_return!$B$1:$J$1,0)),0)*$G$6,0)</f>
        <v>0</v>
      </c>
      <c r="N54" s="50" cm="1">
        <f t="array" ref="N54">_xlfn.IFNA(IF($F$7,INDEX(index_return!$B$2:$J$103,$I54,MATCH('Index Selection'!$E$7,index_return!$B$1:$J$1,0)),0)*$G$7,0)</f>
        <v>0</v>
      </c>
      <c r="O54" s="50" cm="1">
        <f t="array" ref="O54">_xlfn.IFNA(IF($F$8,INDEX(index_return!$B$2:$J$103,$I54,MATCH('Index Selection'!$E$8,index_return!$B$1:$J$1,0)),0)*$G$8,0)</f>
        <v>0</v>
      </c>
      <c r="P54" s="50" cm="1">
        <f t="array" ref="P54">_xlfn.IFNA(IF($F$9,INDEX(index_return!$B$2:$J$103,$I54,MATCH('Index Selection'!$E$9,index_return!$B$1:$J$1,0)),0)*$G$9,0)</f>
        <v>0</v>
      </c>
      <c r="Q54" s="50" cm="1">
        <f t="array" ref="Q54">_xlfn.IFNA(IF($F$10,INDEX(index_return!$B$2:$J$103,$I54,MATCH('Index Selection'!$E$10,index_return!$B$1:$J$1,0)),0)*$G$10,0)</f>
        <v>0</v>
      </c>
      <c r="R54" s="50" cm="1">
        <f t="array" ref="R54">_xlfn.IFNA(IF($F$11,INDEX(index_return!$B$2:$J$103,$I54,MATCH('Index Selection'!$E$11,index_return!$B$1:$J$1,0)),0)*$G$11,0)</f>
        <v>0</v>
      </c>
      <c r="S54" s="52">
        <f>SUM(J54:R54)</f>
        <v>3.0752287782957875E-2</v>
      </c>
    </row>
    <row r="55" spans="9:19" ht="15" thickBot="1">
      <c r="I55" s="21">
        <v>53</v>
      </c>
      <c r="J55" s="50" cm="1">
        <f t="array" ref="J55">_xlfn.IFNA(IF($F$3,INDEX(index_return!$B$2:$J$103,$I55,MATCH('Index Selection'!$E$3,index_return!$B$1:$J$1,0)),0)*$G$3,0)</f>
        <v>3.0477750254006113E-2</v>
      </c>
      <c r="K55" s="50" cm="1">
        <f t="array" ref="K55">_xlfn.IFNA(IF($F$4,INDEX(index_return!$B$2:$J$103,$I55,MATCH('Index Selection'!$E$4,index_return!$B$1:$J$1,0)),0)*$G$4,0)</f>
        <v>9.6110924105125201E-2</v>
      </c>
      <c r="L55" s="50" cm="1">
        <f t="array" ref="L55">_xlfn.IFNA(IF($F$5,INDEX(index_return!$B$2:$J$103,$I55,MATCH('Index Selection'!$E$5,index_return!$B$1:$J$1,0)),0)*$G$5,0)</f>
        <v>0</v>
      </c>
      <c r="M55" s="50" cm="1">
        <f t="array" ref="M55">_xlfn.IFNA(IF($F$6,INDEX(index_return!$B$2:$J$103,$I55,MATCH('Index Selection'!$E$6,index_return!$B$1:$J$1,0)),0)*$G$6,0)</f>
        <v>0</v>
      </c>
      <c r="N55" s="50" cm="1">
        <f t="array" ref="N55">_xlfn.IFNA(IF($F$7,INDEX(index_return!$B$2:$J$103,$I55,MATCH('Index Selection'!$E$7,index_return!$B$1:$J$1,0)),0)*$G$7,0)</f>
        <v>0</v>
      </c>
      <c r="O55" s="50" cm="1">
        <f t="array" ref="O55">_xlfn.IFNA(IF($F$8,INDEX(index_return!$B$2:$J$103,$I55,MATCH('Index Selection'!$E$8,index_return!$B$1:$J$1,0)),0)*$G$8,0)</f>
        <v>0</v>
      </c>
      <c r="P55" s="50" cm="1">
        <f t="array" ref="P55">_xlfn.IFNA(IF($F$9,INDEX(index_return!$B$2:$J$103,$I55,MATCH('Index Selection'!$E$9,index_return!$B$1:$J$1,0)),0)*$G$9,0)</f>
        <v>0</v>
      </c>
      <c r="Q55" s="50" cm="1">
        <f t="array" ref="Q55">_xlfn.IFNA(IF($F$10,INDEX(index_return!$B$2:$J$103,$I55,MATCH('Index Selection'!$E$10,index_return!$B$1:$J$1,0)),0)*$G$10,0)</f>
        <v>0</v>
      </c>
      <c r="R55" s="50" cm="1">
        <f t="array" ref="R55">_xlfn.IFNA(IF($F$11,INDEX(index_return!$B$2:$J$103,$I55,MATCH('Index Selection'!$E$11,index_return!$B$1:$J$1,0)),0)*$G$11,0)</f>
        <v>0</v>
      </c>
      <c r="S55" s="52">
        <f t="shared" ref="S55:S104" si="2">SUM(J55:R55)</f>
        <v>0.12658867435913132</v>
      </c>
    </row>
    <row r="56" spans="9:19" ht="15" thickBot="1">
      <c r="I56" s="21">
        <v>54</v>
      </c>
      <c r="J56" s="50" cm="1">
        <f t="array" ref="J56">_xlfn.IFNA(IF($F$3,INDEX(index_return!$B$2:$J$103,$I56,MATCH('Index Selection'!$E$3,index_return!$B$1:$J$1,0)),0)*$G$3,0)</f>
        <v>0.15212985252004446</v>
      </c>
      <c r="K56" s="50" cm="1">
        <f t="array" ref="K56">_xlfn.IFNA(IF($F$4,INDEX(index_return!$B$2:$J$103,$I56,MATCH('Index Selection'!$E$4,index_return!$B$1:$J$1,0)),0)*$G$4,0)</f>
        <v>0.29208553022423384</v>
      </c>
      <c r="L56" s="50" cm="1">
        <f t="array" ref="L56">_xlfn.IFNA(IF($F$5,INDEX(index_return!$B$2:$J$103,$I56,MATCH('Index Selection'!$E$5,index_return!$B$1:$J$1,0)),0)*$G$5,0)</f>
        <v>0</v>
      </c>
      <c r="M56" s="50" cm="1">
        <f t="array" ref="M56">_xlfn.IFNA(IF($F$6,INDEX(index_return!$B$2:$J$103,$I56,MATCH('Index Selection'!$E$6,index_return!$B$1:$J$1,0)),0)*$G$6,0)</f>
        <v>0</v>
      </c>
      <c r="N56" s="50" cm="1">
        <f t="array" ref="N56">_xlfn.IFNA(IF($F$7,INDEX(index_return!$B$2:$J$103,$I56,MATCH('Index Selection'!$E$7,index_return!$B$1:$J$1,0)),0)*$G$7,0)</f>
        <v>0</v>
      </c>
      <c r="O56" s="50" cm="1">
        <f t="array" ref="O56">_xlfn.IFNA(IF($F$8,INDEX(index_return!$B$2:$J$103,$I56,MATCH('Index Selection'!$E$8,index_return!$B$1:$J$1,0)),0)*$G$8,0)</f>
        <v>0</v>
      </c>
      <c r="P56" s="50" cm="1">
        <f t="array" ref="P56">_xlfn.IFNA(IF($F$9,INDEX(index_return!$B$2:$J$103,$I56,MATCH('Index Selection'!$E$9,index_return!$B$1:$J$1,0)),0)*$G$9,0)</f>
        <v>0</v>
      </c>
      <c r="Q56" s="50" cm="1">
        <f t="array" ref="Q56">_xlfn.IFNA(IF($F$10,INDEX(index_return!$B$2:$J$103,$I56,MATCH('Index Selection'!$E$10,index_return!$B$1:$J$1,0)),0)*$G$10,0)</f>
        <v>0</v>
      </c>
      <c r="R56" s="50" cm="1">
        <f t="array" ref="R56">_xlfn.IFNA(IF($F$11,INDEX(index_return!$B$2:$J$103,$I56,MATCH('Index Selection'!$E$11,index_return!$B$1:$J$1,0)),0)*$G$11,0)</f>
        <v>0</v>
      </c>
      <c r="S56" s="52">
        <f t="shared" si="2"/>
        <v>0.4442153827442783</v>
      </c>
    </row>
    <row r="57" spans="9:19" ht="15" thickBot="1">
      <c r="I57" s="21">
        <v>55</v>
      </c>
      <c r="J57" s="50" cm="1">
        <f t="array" ref="J57">_xlfn.IFNA(IF($F$3,INDEX(index_return!$B$2:$J$103,$I57,MATCH('Index Selection'!$E$3,index_return!$B$1:$J$1,0)),0)*$G$3,0)</f>
        <v>-0.32777110880714977</v>
      </c>
      <c r="K57" s="50" cm="1">
        <f t="array" ref="K57">_xlfn.IFNA(IF($F$4,INDEX(index_return!$B$2:$J$103,$I57,MATCH('Index Selection'!$E$4,index_return!$B$1:$J$1,0)),0)*$G$4,0)</f>
        <v>-0.4123091239157286</v>
      </c>
      <c r="L57" s="50" cm="1">
        <f t="array" ref="L57">_xlfn.IFNA(IF($F$5,INDEX(index_return!$B$2:$J$103,$I57,MATCH('Index Selection'!$E$5,index_return!$B$1:$J$1,0)),0)*$G$5,0)</f>
        <v>0</v>
      </c>
      <c r="M57" s="50" cm="1">
        <f t="array" ref="M57">_xlfn.IFNA(IF($F$6,INDEX(index_return!$B$2:$J$103,$I57,MATCH('Index Selection'!$E$6,index_return!$B$1:$J$1,0)),0)*$G$6,0)</f>
        <v>0</v>
      </c>
      <c r="N57" s="50" cm="1">
        <f t="array" ref="N57">_xlfn.IFNA(IF($F$7,INDEX(index_return!$B$2:$J$103,$I57,MATCH('Index Selection'!$E$7,index_return!$B$1:$J$1,0)),0)*$G$7,0)</f>
        <v>0</v>
      </c>
      <c r="O57" s="50" cm="1">
        <f t="array" ref="O57">_xlfn.IFNA(IF($F$8,INDEX(index_return!$B$2:$J$103,$I57,MATCH('Index Selection'!$E$8,index_return!$B$1:$J$1,0)),0)*$G$8,0)</f>
        <v>0</v>
      </c>
      <c r="P57" s="50" cm="1">
        <f t="array" ref="P57">_xlfn.IFNA(IF($F$9,INDEX(index_return!$B$2:$J$103,$I57,MATCH('Index Selection'!$E$9,index_return!$B$1:$J$1,0)),0)*$G$9,0)</f>
        <v>0</v>
      </c>
      <c r="Q57" s="50" cm="1">
        <f t="array" ref="Q57">_xlfn.IFNA(IF($F$10,INDEX(index_return!$B$2:$J$103,$I57,MATCH('Index Selection'!$E$10,index_return!$B$1:$J$1,0)),0)*$G$10,0)</f>
        <v>0</v>
      </c>
      <c r="R57" s="50" cm="1">
        <f t="array" ref="R57">_xlfn.IFNA(IF($F$11,INDEX(index_return!$B$2:$J$103,$I57,MATCH('Index Selection'!$E$11,index_return!$B$1:$J$1,0)),0)*$G$11,0)</f>
        <v>0</v>
      </c>
      <c r="S57" s="52">
        <f t="shared" si="2"/>
        <v>-0.74008023272287837</v>
      </c>
    </row>
    <row r="58" spans="9:19" ht="15" thickBot="1">
      <c r="I58" s="21">
        <v>56</v>
      </c>
      <c r="J58" s="50" cm="1">
        <f t="array" ref="J58">_xlfn.IFNA(IF($F$3,INDEX(index_return!$B$2:$J$103,$I58,MATCH('Index Selection'!$E$3,index_return!$B$1:$J$1,0)),0)*$G$3,0)</f>
        <v>1.4488963337035237E-2</v>
      </c>
      <c r="K58" s="50" cm="1">
        <f t="array" ref="K58">_xlfn.IFNA(IF($F$4,INDEX(index_return!$B$2:$J$103,$I58,MATCH('Index Selection'!$E$4,index_return!$B$1:$J$1,0)),0)*$G$4,0)</f>
        <v>5.7871388044489262E-2</v>
      </c>
      <c r="L58" s="50" cm="1">
        <f t="array" ref="L58">_xlfn.IFNA(IF($F$5,INDEX(index_return!$B$2:$J$103,$I58,MATCH('Index Selection'!$E$5,index_return!$B$1:$J$1,0)),0)*$G$5,0)</f>
        <v>0</v>
      </c>
      <c r="M58" s="50" cm="1">
        <f t="array" ref="M58">_xlfn.IFNA(IF($F$6,INDEX(index_return!$B$2:$J$103,$I58,MATCH('Index Selection'!$E$6,index_return!$B$1:$J$1,0)),0)*$G$6,0)</f>
        <v>0</v>
      </c>
      <c r="N58" s="50" cm="1">
        <f t="array" ref="N58">_xlfn.IFNA(IF($F$7,INDEX(index_return!$B$2:$J$103,$I58,MATCH('Index Selection'!$E$7,index_return!$B$1:$J$1,0)),0)*$G$7,0)</f>
        <v>0</v>
      </c>
      <c r="O58" s="50" cm="1">
        <f t="array" ref="O58">_xlfn.IFNA(IF($F$8,INDEX(index_return!$B$2:$J$103,$I58,MATCH('Index Selection'!$E$8,index_return!$B$1:$J$1,0)),0)*$G$8,0)</f>
        <v>0</v>
      </c>
      <c r="P58" s="50" cm="1">
        <f t="array" ref="P58">_xlfn.IFNA(IF($F$9,INDEX(index_return!$B$2:$J$103,$I58,MATCH('Index Selection'!$E$9,index_return!$B$1:$J$1,0)),0)*$G$9,0)</f>
        <v>0</v>
      </c>
      <c r="Q58" s="50" cm="1">
        <f t="array" ref="Q58">_xlfn.IFNA(IF($F$10,INDEX(index_return!$B$2:$J$103,$I58,MATCH('Index Selection'!$E$10,index_return!$B$1:$J$1,0)),0)*$G$10,0)</f>
        <v>0</v>
      </c>
      <c r="R58" s="50" cm="1">
        <f t="array" ref="R58">_xlfn.IFNA(IF($F$11,INDEX(index_return!$B$2:$J$103,$I58,MATCH('Index Selection'!$E$11,index_return!$B$1:$J$1,0)),0)*$G$11,0)</f>
        <v>0</v>
      </c>
      <c r="S58" s="52">
        <f t="shared" si="2"/>
        <v>7.2360351381524496E-2</v>
      </c>
    </row>
    <row r="59" spans="9:19" ht="15" thickBot="1">
      <c r="I59" s="21">
        <v>57</v>
      </c>
      <c r="J59" s="50" cm="1">
        <f t="array" ref="J59">_xlfn.IFNA(IF($F$3,INDEX(index_return!$B$2:$J$103,$I59,MATCH('Index Selection'!$E$3,index_return!$B$1:$J$1,0)),0)*$G$3,0)</f>
        <v>5.4551576543710734E-2</v>
      </c>
      <c r="K59" s="50" cm="1">
        <f t="array" ref="K59">_xlfn.IFNA(IF($F$4,INDEX(index_return!$B$2:$J$103,$I59,MATCH('Index Selection'!$E$4,index_return!$B$1:$J$1,0)),0)*$G$4,0)</f>
        <v>2.2012118425836769E-2</v>
      </c>
      <c r="L59" s="50" cm="1">
        <f t="array" ref="L59">_xlfn.IFNA(IF($F$5,INDEX(index_return!$B$2:$J$103,$I59,MATCH('Index Selection'!$E$5,index_return!$B$1:$J$1,0)),0)*$G$5,0)</f>
        <v>0</v>
      </c>
      <c r="M59" s="50" cm="1">
        <f t="array" ref="M59">_xlfn.IFNA(IF($F$6,INDEX(index_return!$B$2:$J$103,$I59,MATCH('Index Selection'!$E$6,index_return!$B$1:$J$1,0)),0)*$G$6,0)</f>
        <v>0</v>
      </c>
      <c r="N59" s="50" cm="1">
        <f t="array" ref="N59">_xlfn.IFNA(IF($F$7,INDEX(index_return!$B$2:$J$103,$I59,MATCH('Index Selection'!$E$7,index_return!$B$1:$J$1,0)),0)*$G$7,0)</f>
        <v>0</v>
      </c>
      <c r="O59" s="50" cm="1">
        <f t="array" ref="O59">_xlfn.IFNA(IF($F$8,INDEX(index_return!$B$2:$J$103,$I59,MATCH('Index Selection'!$E$8,index_return!$B$1:$J$1,0)),0)*$G$8,0)</f>
        <v>0</v>
      </c>
      <c r="P59" s="50" cm="1">
        <f t="array" ref="P59">_xlfn.IFNA(IF($F$9,INDEX(index_return!$B$2:$J$103,$I59,MATCH('Index Selection'!$E$9,index_return!$B$1:$J$1,0)),0)*$G$9,0)</f>
        <v>0</v>
      </c>
      <c r="Q59" s="50" cm="1">
        <f t="array" ref="Q59">_xlfn.IFNA(IF($F$10,INDEX(index_return!$B$2:$J$103,$I59,MATCH('Index Selection'!$E$10,index_return!$B$1:$J$1,0)),0)*$G$10,0)</f>
        <v>0</v>
      </c>
      <c r="R59" s="50" cm="1">
        <f t="array" ref="R59">_xlfn.IFNA(IF($F$11,INDEX(index_return!$B$2:$J$103,$I59,MATCH('Index Selection'!$E$11,index_return!$B$1:$J$1,0)),0)*$G$11,0)</f>
        <v>0</v>
      </c>
      <c r="S59" s="52">
        <f t="shared" si="2"/>
        <v>7.6563694969547499E-2</v>
      </c>
    </row>
    <row r="60" spans="9:19" ht="15" thickBot="1">
      <c r="I60" s="21">
        <v>58</v>
      </c>
      <c r="J60" s="50" cm="1">
        <f t="array" ref="J60">_xlfn.IFNA(IF($F$3,INDEX(index_return!$B$2:$J$103,$I60,MATCH('Index Selection'!$E$3,index_return!$B$1:$J$1,0)),0)*$G$3,0)</f>
        <v>0.11380947946383935</v>
      </c>
      <c r="K60" s="50" cm="1">
        <f t="array" ref="K60">_xlfn.IFNA(IF($F$4,INDEX(index_return!$B$2:$J$103,$I60,MATCH('Index Selection'!$E$4,index_return!$B$1:$J$1,0)),0)*$G$4,0)</f>
        <v>0.17482052609892679</v>
      </c>
      <c r="L60" s="50" cm="1">
        <f t="array" ref="L60">_xlfn.IFNA(IF($F$5,INDEX(index_return!$B$2:$J$103,$I60,MATCH('Index Selection'!$E$5,index_return!$B$1:$J$1,0)),0)*$G$5,0)</f>
        <v>0</v>
      </c>
      <c r="M60" s="50" cm="1">
        <f t="array" ref="M60">_xlfn.IFNA(IF($F$6,INDEX(index_return!$B$2:$J$103,$I60,MATCH('Index Selection'!$E$6,index_return!$B$1:$J$1,0)),0)*$G$6,0)</f>
        <v>0</v>
      </c>
      <c r="N60" s="50" cm="1">
        <f t="array" ref="N60">_xlfn.IFNA(IF($F$7,INDEX(index_return!$B$2:$J$103,$I60,MATCH('Index Selection'!$E$7,index_return!$B$1:$J$1,0)),0)*$G$7,0)</f>
        <v>0</v>
      </c>
      <c r="O60" s="50" cm="1">
        <f t="array" ref="O60">_xlfn.IFNA(IF($F$8,INDEX(index_return!$B$2:$J$103,$I60,MATCH('Index Selection'!$E$8,index_return!$B$1:$J$1,0)),0)*$G$8,0)</f>
        <v>0</v>
      </c>
      <c r="P60" s="50" cm="1">
        <f t="array" ref="P60">_xlfn.IFNA(IF($F$9,INDEX(index_return!$B$2:$J$103,$I60,MATCH('Index Selection'!$E$9,index_return!$B$1:$J$1,0)),0)*$G$9,0)</f>
        <v>0</v>
      </c>
      <c r="Q60" s="50" cm="1">
        <f t="array" ref="Q60">_xlfn.IFNA(IF($F$10,INDEX(index_return!$B$2:$J$103,$I60,MATCH('Index Selection'!$E$10,index_return!$B$1:$J$1,0)),0)*$G$10,0)</f>
        <v>0</v>
      </c>
      <c r="R60" s="50" cm="1">
        <f t="array" ref="R60">_xlfn.IFNA(IF($F$11,INDEX(index_return!$B$2:$J$103,$I60,MATCH('Index Selection'!$E$11,index_return!$B$1:$J$1,0)),0)*$G$11,0)</f>
        <v>0</v>
      </c>
      <c r="S60" s="52">
        <f t="shared" si="2"/>
        <v>0.28863000556276613</v>
      </c>
    </row>
    <row r="61" spans="9:19" ht="15" thickBot="1">
      <c r="I61" s="21">
        <v>59</v>
      </c>
      <c r="J61" s="50" cm="1">
        <f t="array" ref="J61">_xlfn.IFNA(IF($F$3,INDEX(index_return!$B$2:$J$103,$I61,MATCH('Index Selection'!$E$3,index_return!$B$1:$J$1,0)),0)*$G$3,0)</f>
        <v>6.5893155357102676E-2</v>
      </c>
      <c r="K61" s="50" cm="1">
        <f t="array" ref="K61">_xlfn.IFNA(IF($F$4,INDEX(index_return!$B$2:$J$103,$I61,MATCH('Index Selection'!$E$4,index_return!$B$1:$J$1,0)),0)*$G$4,0)</f>
        <v>0.10072370935014653</v>
      </c>
      <c r="L61" s="50" cm="1">
        <f t="array" ref="L61">_xlfn.IFNA(IF($F$5,INDEX(index_return!$B$2:$J$103,$I61,MATCH('Index Selection'!$E$5,index_return!$B$1:$J$1,0)),0)*$G$5,0)</f>
        <v>0</v>
      </c>
      <c r="M61" s="50" cm="1">
        <f t="array" ref="M61">_xlfn.IFNA(IF($F$6,INDEX(index_return!$B$2:$J$103,$I61,MATCH('Index Selection'!$E$6,index_return!$B$1:$J$1,0)),0)*$G$6,0)</f>
        <v>0</v>
      </c>
      <c r="N61" s="50" cm="1">
        <f t="array" ref="N61">_xlfn.IFNA(IF($F$7,INDEX(index_return!$B$2:$J$103,$I61,MATCH('Index Selection'!$E$7,index_return!$B$1:$J$1,0)),0)*$G$7,0)</f>
        <v>0</v>
      </c>
      <c r="O61" s="50" cm="1">
        <f t="array" ref="O61">_xlfn.IFNA(IF($F$8,INDEX(index_return!$B$2:$J$103,$I61,MATCH('Index Selection'!$E$8,index_return!$B$1:$J$1,0)),0)*$G$8,0)</f>
        <v>0</v>
      </c>
      <c r="P61" s="50" cm="1">
        <f t="array" ref="P61">_xlfn.IFNA(IF($F$9,INDEX(index_return!$B$2:$J$103,$I61,MATCH('Index Selection'!$E$9,index_return!$B$1:$J$1,0)),0)*$G$9,0)</f>
        <v>0</v>
      </c>
      <c r="Q61" s="50" cm="1">
        <f t="array" ref="Q61">_xlfn.IFNA(IF($F$10,INDEX(index_return!$B$2:$J$103,$I61,MATCH('Index Selection'!$E$10,index_return!$B$1:$J$1,0)),0)*$G$10,0)</f>
        <v>0</v>
      </c>
      <c r="R61" s="50" cm="1">
        <f t="array" ref="R61">_xlfn.IFNA(IF($F$11,INDEX(index_return!$B$2:$J$103,$I61,MATCH('Index Selection'!$E$11,index_return!$B$1:$J$1,0)),0)*$G$11,0)</f>
        <v>0</v>
      </c>
      <c r="S61" s="52">
        <f t="shared" si="2"/>
        <v>0.16661686470724921</v>
      </c>
    </row>
    <row r="62" spans="9:19" ht="15" thickBot="1">
      <c r="I62" s="21">
        <v>60</v>
      </c>
      <c r="J62" s="50" cm="1">
        <f t="array" ref="J62">_xlfn.IFNA(IF($F$3,INDEX(index_return!$B$2:$J$103,$I62,MATCH('Index Selection'!$E$3,index_return!$B$1:$J$1,0)),0)*$G$3,0)</f>
        <v>-4.0928966500356365E-2</v>
      </c>
      <c r="K62" s="50" cm="1">
        <f t="array" ref="K62">_xlfn.IFNA(IF($F$4,INDEX(index_return!$B$2:$J$103,$I62,MATCH('Index Selection'!$E$4,index_return!$B$1:$J$1,0)),0)*$G$4,0)</f>
        <v>-2.6972259727436644E-2</v>
      </c>
      <c r="L62" s="50" cm="1">
        <f t="array" ref="L62">_xlfn.IFNA(IF($F$5,INDEX(index_return!$B$2:$J$103,$I62,MATCH('Index Selection'!$E$5,index_return!$B$1:$J$1,0)),0)*$G$5,0)</f>
        <v>0</v>
      </c>
      <c r="M62" s="50" cm="1">
        <f t="array" ref="M62">_xlfn.IFNA(IF($F$6,INDEX(index_return!$B$2:$J$103,$I62,MATCH('Index Selection'!$E$6,index_return!$B$1:$J$1,0)),0)*$G$6,0)</f>
        <v>0</v>
      </c>
      <c r="N62" s="50" cm="1">
        <f t="array" ref="N62">_xlfn.IFNA(IF($F$7,INDEX(index_return!$B$2:$J$103,$I62,MATCH('Index Selection'!$E$7,index_return!$B$1:$J$1,0)),0)*$G$7,0)</f>
        <v>0</v>
      </c>
      <c r="O62" s="50" cm="1">
        <f t="array" ref="O62">_xlfn.IFNA(IF($F$8,INDEX(index_return!$B$2:$J$103,$I62,MATCH('Index Selection'!$E$8,index_return!$B$1:$J$1,0)),0)*$G$8,0)</f>
        <v>0</v>
      </c>
      <c r="P62" s="50" cm="1">
        <f t="array" ref="P62">_xlfn.IFNA(IF($F$9,INDEX(index_return!$B$2:$J$103,$I62,MATCH('Index Selection'!$E$9,index_return!$B$1:$J$1,0)),0)*$G$9,0)</f>
        <v>0</v>
      </c>
      <c r="Q62" s="50" cm="1">
        <f t="array" ref="Q62">_xlfn.IFNA(IF($F$10,INDEX(index_return!$B$2:$J$103,$I62,MATCH('Index Selection'!$E$10,index_return!$B$1:$J$1,0)),0)*$G$10,0)</f>
        <v>0</v>
      </c>
      <c r="R62" s="50" cm="1">
        <f t="array" ref="R62">_xlfn.IFNA(IF($F$11,INDEX(index_return!$B$2:$J$103,$I62,MATCH('Index Selection'!$E$11,index_return!$B$1:$J$1,0)),0)*$G$11,0)</f>
        <v>0</v>
      </c>
      <c r="S62" s="52">
        <f t="shared" si="2"/>
        <v>-6.7901226227793016E-2</v>
      </c>
    </row>
    <row r="63" spans="9:19" ht="15" thickBot="1">
      <c r="I63" s="21">
        <v>61</v>
      </c>
      <c r="J63" s="50" cm="1">
        <f t="array" ref="J63">_xlfn.IFNA(IF($F$3,INDEX(index_return!$B$2:$J$103,$I63,MATCH('Index Selection'!$E$3,index_return!$B$1:$J$1,0)),0)*$G$3,0)</f>
        <v>0.11163523945529505</v>
      </c>
      <c r="K63" s="50" cm="1">
        <f t="array" ref="K63">_xlfn.IFNA(IF($F$4,INDEX(index_return!$B$2:$J$103,$I63,MATCH('Index Selection'!$E$4,index_return!$B$1:$J$1,0)),0)*$G$4,0)</f>
        <v>0.13439153256183842</v>
      </c>
      <c r="L63" s="50" cm="1">
        <f t="array" ref="L63">_xlfn.IFNA(IF($F$5,INDEX(index_return!$B$2:$J$103,$I63,MATCH('Index Selection'!$E$5,index_return!$B$1:$J$1,0)),0)*$G$5,0)</f>
        <v>0</v>
      </c>
      <c r="M63" s="50" cm="1">
        <f t="array" ref="M63">_xlfn.IFNA(IF($F$6,INDEX(index_return!$B$2:$J$103,$I63,MATCH('Index Selection'!$E$6,index_return!$B$1:$J$1,0)),0)*$G$6,0)</f>
        <v>0</v>
      </c>
      <c r="N63" s="50" cm="1">
        <f t="array" ref="N63">_xlfn.IFNA(IF($F$7,INDEX(index_return!$B$2:$J$103,$I63,MATCH('Index Selection'!$E$7,index_return!$B$1:$J$1,0)),0)*$G$7,0)</f>
        <v>0</v>
      </c>
      <c r="O63" s="50" cm="1">
        <f t="array" ref="O63">_xlfn.IFNA(IF($F$8,INDEX(index_return!$B$2:$J$103,$I63,MATCH('Index Selection'!$E$8,index_return!$B$1:$J$1,0)),0)*$G$8,0)</f>
        <v>0</v>
      </c>
      <c r="P63" s="50" cm="1">
        <f t="array" ref="P63">_xlfn.IFNA(IF($F$9,INDEX(index_return!$B$2:$J$103,$I63,MATCH('Index Selection'!$E$9,index_return!$B$1:$J$1,0)),0)*$G$9,0)</f>
        <v>0</v>
      </c>
      <c r="Q63" s="50" cm="1">
        <f t="array" ref="Q63">_xlfn.IFNA(IF($F$10,INDEX(index_return!$B$2:$J$103,$I63,MATCH('Index Selection'!$E$10,index_return!$B$1:$J$1,0)),0)*$G$10,0)</f>
        <v>0</v>
      </c>
      <c r="R63" s="50" cm="1">
        <f t="array" ref="R63">_xlfn.IFNA(IF($F$11,INDEX(index_return!$B$2:$J$103,$I63,MATCH('Index Selection'!$E$11,index_return!$B$1:$J$1,0)),0)*$G$11,0)</f>
        <v>0</v>
      </c>
      <c r="S63" s="52">
        <f t="shared" si="2"/>
        <v>0.24602677201713347</v>
      </c>
    </row>
    <row r="64" spans="9:19" ht="15" thickBot="1">
      <c r="I64" s="21">
        <v>62</v>
      </c>
      <c r="J64" s="50" cm="1">
        <f t="array" ref="J64">_xlfn.IFNA(IF($F$3,INDEX(index_return!$B$2:$J$103,$I64,MATCH('Index Selection'!$E$3,index_return!$B$1:$J$1,0)),0)*$G$3,0)</f>
        <v>7.4078582367199858E-2</v>
      </c>
      <c r="K64" s="50" cm="1">
        <f t="array" ref="K64">_xlfn.IFNA(IF($F$4,INDEX(index_return!$B$2:$J$103,$I64,MATCH('Index Selection'!$E$4,index_return!$B$1:$J$1,0)),0)*$G$4,0)</f>
        <v>0.142966342119874</v>
      </c>
      <c r="L64" s="50" cm="1">
        <f t="array" ref="L64">_xlfn.IFNA(IF($F$5,INDEX(index_return!$B$2:$J$103,$I64,MATCH('Index Selection'!$E$5,index_return!$B$1:$J$1,0)),0)*$G$5,0)</f>
        <v>0</v>
      </c>
      <c r="M64" s="50" cm="1">
        <f t="array" ref="M64">_xlfn.IFNA(IF($F$6,INDEX(index_return!$B$2:$J$103,$I64,MATCH('Index Selection'!$E$6,index_return!$B$1:$J$1,0)),0)*$G$6,0)</f>
        <v>0</v>
      </c>
      <c r="N64" s="50" cm="1">
        <f t="array" ref="N64">_xlfn.IFNA(IF($F$7,INDEX(index_return!$B$2:$J$103,$I64,MATCH('Index Selection'!$E$7,index_return!$B$1:$J$1,0)),0)*$G$7,0)</f>
        <v>0</v>
      </c>
      <c r="O64" s="50" cm="1">
        <f t="array" ref="O64">_xlfn.IFNA(IF($F$8,INDEX(index_return!$B$2:$J$103,$I64,MATCH('Index Selection'!$E$8,index_return!$B$1:$J$1,0)),0)*$G$8,0)</f>
        <v>0</v>
      </c>
      <c r="P64" s="50" cm="1">
        <f t="array" ref="P64">_xlfn.IFNA(IF($F$9,INDEX(index_return!$B$2:$J$103,$I64,MATCH('Index Selection'!$E$9,index_return!$B$1:$J$1,0)),0)*$G$9,0)</f>
        <v>0</v>
      </c>
      <c r="Q64" s="50" cm="1">
        <f t="array" ref="Q64">_xlfn.IFNA(IF($F$10,INDEX(index_return!$B$2:$J$103,$I64,MATCH('Index Selection'!$E$10,index_return!$B$1:$J$1,0)),0)*$G$10,0)</f>
        <v>0</v>
      </c>
      <c r="R64" s="50" cm="1">
        <f t="array" ref="R64">_xlfn.IFNA(IF($F$11,INDEX(index_return!$B$2:$J$103,$I64,MATCH('Index Selection'!$E$11,index_return!$B$1:$J$1,0)),0)*$G$11,0)</f>
        <v>0</v>
      </c>
      <c r="S64" s="52">
        <f t="shared" si="2"/>
        <v>0.21704492448707385</v>
      </c>
    </row>
    <row r="65" spans="9:19" ht="15" thickBot="1">
      <c r="I65" s="21">
        <v>63</v>
      </c>
      <c r="J65" s="50" cm="1">
        <f t="array" ref="J65">_xlfn.IFNA(IF($F$3,INDEX(index_return!$B$2:$J$103,$I65,MATCH('Index Selection'!$E$3,index_return!$B$1:$J$1,0)),0)*$G$3,0)</f>
        <v>1.301848493994031E-2</v>
      </c>
      <c r="K65" s="50" cm="1">
        <f t="array" ref="K65">_xlfn.IFNA(IF($F$4,INDEX(index_return!$B$2:$J$103,$I65,MATCH('Index Selection'!$E$4,index_return!$B$1:$J$1,0)),0)*$G$4,0)</f>
        <v>1.7733802843017565E-2</v>
      </c>
      <c r="L65" s="50" cm="1">
        <f t="array" ref="L65">_xlfn.IFNA(IF($F$5,INDEX(index_return!$B$2:$J$103,$I65,MATCH('Index Selection'!$E$5,index_return!$B$1:$J$1,0)),0)*$G$5,0)</f>
        <v>0</v>
      </c>
      <c r="M65" s="50" cm="1">
        <f t="array" ref="M65">_xlfn.IFNA(IF($F$6,INDEX(index_return!$B$2:$J$103,$I65,MATCH('Index Selection'!$E$6,index_return!$B$1:$J$1,0)),0)*$G$6,0)</f>
        <v>0</v>
      </c>
      <c r="N65" s="50" cm="1">
        <f t="array" ref="N65">_xlfn.IFNA(IF($F$7,INDEX(index_return!$B$2:$J$103,$I65,MATCH('Index Selection'!$E$7,index_return!$B$1:$J$1,0)),0)*$G$7,0)</f>
        <v>0</v>
      </c>
      <c r="O65" s="50" cm="1">
        <f t="array" ref="O65">_xlfn.IFNA(IF($F$8,INDEX(index_return!$B$2:$J$103,$I65,MATCH('Index Selection'!$E$8,index_return!$B$1:$J$1,0)),0)*$G$8,0)</f>
        <v>0</v>
      </c>
      <c r="P65" s="50" cm="1">
        <f t="array" ref="P65">_xlfn.IFNA(IF($F$9,INDEX(index_return!$B$2:$J$103,$I65,MATCH('Index Selection'!$E$9,index_return!$B$1:$J$1,0)),0)*$G$9,0)</f>
        <v>0</v>
      </c>
      <c r="Q65" s="50" cm="1">
        <f t="array" ref="Q65">_xlfn.IFNA(IF($F$10,INDEX(index_return!$B$2:$J$103,$I65,MATCH('Index Selection'!$E$10,index_return!$B$1:$J$1,0)),0)*$G$10,0)</f>
        <v>0</v>
      </c>
      <c r="R65" s="50" cm="1">
        <f t="array" ref="R65">_xlfn.IFNA(IF($F$11,INDEX(index_return!$B$2:$J$103,$I65,MATCH('Index Selection'!$E$11,index_return!$B$1:$J$1,0)),0)*$G$11,0)</f>
        <v>0</v>
      </c>
      <c r="S65" s="52">
        <f t="shared" si="2"/>
        <v>3.0752287782957875E-2</v>
      </c>
    </row>
    <row r="66" spans="9:19" ht="15" thickBot="1">
      <c r="I66" s="21">
        <v>64</v>
      </c>
      <c r="J66" s="50" cm="1">
        <f t="array" ref="J66">_xlfn.IFNA(IF($F$3,INDEX(index_return!$B$2:$J$103,$I66,MATCH('Index Selection'!$E$3,index_return!$B$1:$J$1,0)),0)*$G$3,0)</f>
        <v>3.0477750254006113E-2</v>
      </c>
      <c r="K66" s="50" cm="1">
        <f t="array" ref="K66">_xlfn.IFNA(IF($F$4,INDEX(index_return!$B$2:$J$103,$I66,MATCH('Index Selection'!$E$4,index_return!$B$1:$J$1,0)),0)*$G$4,0)</f>
        <v>9.6110924105125201E-2</v>
      </c>
      <c r="L66" s="50" cm="1">
        <f t="array" ref="L66">_xlfn.IFNA(IF($F$5,INDEX(index_return!$B$2:$J$103,$I66,MATCH('Index Selection'!$E$5,index_return!$B$1:$J$1,0)),0)*$G$5,0)</f>
        <v>0</v>
      </c>
      <c r="M66" s="50" cm="1">
        <f t="array" ref="M66">_xlfn.IFNA(IF($F$6,INDEX(index_return!$B$2:$J$103,$I66,MATCH('Index Selection'!$E$6,index_return!$B$1:$J$1,0)),0)*$G$6,0)</f>
        <v>0</v>
      </c>
      <c r="N66" s="50" cm="1">
        <f t="array" ref="N66">_xlfn.IFNA(IF($F$7,INDEX(index_return!$B$2:$J$103,$I66,MATCH('Index Selection'!$E$7,index_return!$B$1:$J$1,0)),0)*$G$7,0)</f>
        <v>0</v>
      </c>
      <c r="O66" s="50" cm="1">
        <f t="array" ref="O66">_xlfn.IFNA(IF($F$8,INDEX(index_return!$B$2:$J$103,$I66,MATCH('Index Selection'!$E$8,index_return!$B$1:$J$1,0)),0)*$G$8,0)</f>
        <v>0</v>
      </c>
      <c r="P66" s="50" cm="1">
        <f t="array" ref="P66">_xlfn.IFNA(IF($F$9,INDEX(index_return!$B$2:$J$103,$I66,MATCH('Index Selection'!$E$9,index_return!$B$1:$J$1,0)),0)*$G$9,0)</f>
        <v>0</v>
      </c>
      <c r="Q66" s="50" cm="1">
        <f t="array" ref="Q66">_xlfn.IFNA(IF($F$10,INDEX(index_return!$B$2:$J$103,$I66,MATCH('Index Selection'!$E$10,index_return!$B$1:$J$1,0)),0)*$G$10,0)</f>
        <v>0</v>
      </c>
      <c r="R66" s="50" cm="1">
        <f t="array" ref="R66">_xlfn.IFNA(IF($F$11,INDEX(index_return!$B$2:$J$103,$I66,MATCH('Index Selection'!$E$11,index_return!$B$1:$J$1,0)),0)*$G$11,0)</f>
        <v>0</v>
      </c>
      <c r="S66" s="52">
        <f t="shared" si="2"/>
        <v>0.12658867435913132</v>
      </c>
    </row>
    <row r="67" spans="9:19" ht="15" thickBot="1">
      <c r="I67" s="21">
        <v>65</v>
      </c>
      <c r="J67" s="50" cm="1">
        <f t="array" ref="J67">_xlfn.IFNA(IF($F$3,INDEX(index_return!$B$2:$J$103,$I67,MATCH('Index Selection'!$E$3,index_return!$B$1:$J$1,0)),0)*$G$3,0)</f>
        <v>0.15212985252004446</v>
      </c>
      <c r="K67" s="50" cm="1">
        <f t="array" ref="K67">_xlfn.IFNA(IF($F$4,INDEX(index_return!$B$2:$J$103,$I67,MATCH('Index Selection'!$E$4,index_return!$B$1:$J$1,0)),0)*$G$4,0)</f>
        <v>0.29208553022423384</v>
      </c>
      <c r="L67" s="50" cm="1">
        <f t="array" ref="L67">_xlfn.IFNA(IF($F$5,INDEX(index_return!$B$2:$J$103,$I67,MATCH('Index Selection'!$E$5,index_return!$B$1:$J$1,0)),0)*$G$5,0)</f>
        <v>0</v>
      </c>
      <c r="M67" s="50" cm="1">
        <f t="array" ref="M67">_xlfn.IFNA(IF($F$6,INDEX(index_return!$B$2:$J$103,$I67,MATCH('Index Selection'!$E$6,index_return!$B$1:$J$1,0)),0)*$G$6,0)</f>
        <v>0</v>
      </c>
      <c r="N67" s="50" cm="1">
        <f t="array" ref="N67">_xlfn.IFNA(IF($F$7,INDEX(index_return!$B$2:$J$103,$I67,MATCH('Index Selection'!$E$7,index_return!$B$1:$J$1,0)),0)*$G$7,0)</f>
        <v>0</v>
      </c>
      <c r="O67" s="50" cm="1">
        <f t="array" ref="O67">_xlfn.IFNA(IF($F$8,INDEX(index_return!$B$2:$J$103,$I67,MATCH('Index Selection'!$E$8,index_return!$B$1:$J$1,0)),0)*$G$8,0)</f>
        <v>0</v>
      </c>
      <c r="P67" s="50" cm="1">
        <f t="array" ref="P67">_xlfn.IFNA(IF($F$9,INDEX(index_return!$B$2:$J$103,$I67,MATCH('Index Selection'!$E$9,index_return!$B$1:$J$1,0)),0)*$G$9,0)</f>
        <v>0</v>
      </c>
      <c r="Q67" s="50" cm="1">
        <f t="array" ref="Q67">_xlfn.IFNA(IF($F$10,INDEX(index_return!$B$2:$J$103,$I67,MATCH('Index Selection'!$E$10,index_return!$B$1:$J$1,0)),0)*$G$10,0)</f>
        <v>0</v>
      </c>
      <c r="R67" s="50" cm="1">
        <f t="array" ref="R67">_xlfn.IFNA(IF($F$11,INDEX(index_return!$B$2:$J$103,$I67,MATCH('Index Selection'!$E$11,index_return!$B$1:$J$1,0)),0)*$G$11,0)</f>
        <v>0</v>
      </c>
      <c r="S67" s="52">
        <f t="shared" si="2"/>
        <v>0.4442153827442783</v>
      </c>
    </row>
    <row r="68" spans="9:19" ht="15" thickBot="1">
      <c r="I68" s="21">
        <v>66</v>
      </c>
      <c r="J68" s="50" cm="1">
        <f t="array" ref="J68">_xlfn.IFNA(IF($F$3,INDEX(index_return!$B$2:$J$103,$I68,MATCH('Index Selection'!$E$3,index_return!$B$1:$J$1,0)),0)*$G$3,0)</f>
        <v>-0.32777110880714977</v>
      </c>
      <c r="K68" s="50" cm="1">
        <f t="array" ref="K68">_xlfn.IFNA(IF($F$4,INDEX(index_return!$B$2:$J$103,$I68,MATCH('Index Selection'!$E$4,index_return!$B$1:$J$1,0)),0)*$G$4,0)</f>
        <v>-0.4123091239157286</v>
      </c>
      <c r="L68" s="50" cm="1">
        <f t="array" ref="L68">_xlfn.IFNA(IF($F$5,INDEX(index_return!$B$2:$J$103,$I68,MATCH('Index Selection'!$E$5,index_return!$B$1:$J$1,0)),0)*$G$5,0)</f>
        <v>0</v>
      </c>
      <c r="M68" s="50" cm="1">
        <f t="array" ref="M68">_xlfn.IFNA(IF($F$6,INDEX(index_return!$B$2:$J$103,$I68,MATCH('Index Selection'!$E$6,index_return!$B$1:$J$1,0)),0)*$G$6,0)</f>
        <v>0</v>
      </c>
      <c r="N68" s="50" cm="1">
        <f t="array" ref="N68">_xlfn.IFNA(IF($F$7,INDEX(index_return!$B$2:$J$103,$I68,MATCH('Index Selection'!$E$7,index_return!$B$1:$J$1,0)),0)*$G$7,0)</f>
        <v>0</v>
      </c>
      <c r="O68" s="50" cm="1">
        <f t="array" ref="O68">_xlfn.IFNA(IF($F$8,INDEX(index_return!$B$2:$J$103,$I68,MATCH('Index Selection'!$E$8,index_return!$B$1:$J$1,0)),0)*$G$8,0)</f>
        <v>0</v>
      </c>
      <c r="P68" s="50" cm="1">
        <f t="array" ref="P68">_xlfn.IFNA(IF($F$9,INDEX(index_return!$B$2:$J$103,$I68,MATCH('Index Selection'!$E$9,index_return!$B$1:$J$1,0)),0)*$G$9,0)</f>
        <v>0</v>
      </c>
      <c r="Q68" s="50" cm="1">
        <f t="array" ref="Q68">_xlfn.IFNA(IF($F$10,INDEX(index_return!$B$2:$J$103,$I68,MATCH('Index Selection'!$E$10,index_return!$B$1:$J$1,0)),0)*$G$10,0)</f>
        <v>0</v>
      </c>
      <c r="R68" s="50" cm="1">
        <f t="array" ref="R68">_xlfn.IFNA(IF($F$11,INDEX(index_return!$B$2:$J$103,$I68,MATCH('Index Selection'!$E$11,index_return!$B$1:$J$1,0)),0)*$G$11,0)</f>
        <v>0</v>
      </c>
      <c r="S68" s="52">
        <f t="shared" si="2"/>
        <v>-0.74008023272287837</v>
      </c>
    </row>
    <row r="69" spans="9:19" ht="15" thickBot="1">
      <c r="I69" s="21">
        <v>67</v>
      </c>
      <c r="J69" s="50" cm="1">
        <f t="array" ref="J69">_xlfn.IFNA(IF($F$3,INDEX(index_return!$B$2:$J$103,$I69,MATCH('Index Selection'!$E$3,index_return!$B$1:$J$1,0)),0)*$G$3,0)</f>
        <v>1.4488963337035237E-2</v>
      </c>
      <c r="K69" s="50" cm="1">
        <f t="array" ref="K69">_xlfn.IFNA(IF($F$4,INDEX(index_return!$B$2:$J$103,$I69,MATCH('Index Selection'!$E$4,index_return!$B$1:$J$1,0)),0)*$G$4,0)</f>
        <v>5.7871388044489262E-2</v>
      </c>
      <c r="L69" s="50" cm="1">
        <f t="array" ref="L69">_xlfn.IFNA(IF($F$5,INDEX(index_return!$B$2:$J$103,$I69,MATCH('Index Selection'!$E$5,index_return!$B$1:$J$1,0)),0)*$G$5,0)</f>
        <v>0</v>
      </c>
      <c r="M69" s="50" cm="1">
        <f t="array" ref="M69">_xlfn.IFNA(IF($F$6,INDEX(index_return!$B$2:$J$103,$I69,MATCH('Index Selection'!$E$6,index_return!$B$1:$J$1,0)),0)*$G$6,0)</f>
        <v>0</v>
      </c>
      <c r="N69" s="50" cm="1">
        <f t="array" ref="N69">_xlfn.IFNA(IF($F$7,INDEX(index_return!$B$2:$J$103,$I69,MATCH('Index Selection'!$E$7,index_return!$B$1:$J$1,0)),0)*$G$7,0)</f>
        <v>0</v>
      </c>
      <c r="O69" s="50" cm="1">
        <f t="array" ref="O69">_xlfn.IFNA(IF($F$8,INDEX(index_return!$B$2:$J$103,$I69,MATCH('Index Selection'!$E$8,index_return!$B$1:$J$1,0)),0)*$G$8,0)</f>
        <v>0</v>
      </c>
      <c r="P69" s="50" cm="1">
        <f t="array" ref="P69">_xlfn.IFNA(IF($F$9,INDEX(index_return!$B$2:$J$103,$I69,MATCH('Index Selection'!$E$9,index_return!$B$1:$J$1,0)),0)*$G$9,0)</f>
        <v>0</v>
      </c>
      <c r="Q69" s="50" cm="1">
        <f t="array" ref="Q69">_xlfn.IFNA(IF($F$10,INDEX(index_return!$B$2:$J$103,$I69,MATCH('Index Selection'!$E$10,index_return!$B$1:$J$1,0)),0)*$G$10,0)</f>
        <v>0</v>
      </c>
      <c r="R69" s="50" cm="1">
        <f t="array" ref="R69">_xlfn.IFNA(IF($F$11,INDEX(index_return!$B$2:$J$103,$I69,MATCH('Index Selection'!$E$11,index_return!$B$1:$J$1,0)),0)*$G$11,0)</f>
        <v>0</v>
      </c>
      <c r="S69" s="52">
        <f t="shared" si="2"/>
        <v>7.2360351381524496E-2</v>
      </c>
    </row>
    <row r="70" spans="9:19" ht="15" thickBot="1">
      <c r="I70" s="21">
        <v>68</v>
      </c>
      <c r="J70" s="50" cm="1">
        <f t="array" ref="J70">_xlfn.IFNA(IF($F$3,INDEX(index_return!$B$2:$J$103,$I70,MATCH('Index Selection'!$E$3,index_return!$B$1:$J$1,0)),0)*$G$3,0)</f>
        <v>5.4551576543710734E-2</v>
      </c>
      <c r="K70" s="50" cm="1">
        <f t="array" ref="K70">_xlfn.IFNA(IF($F$4,INDEX(index_return!$B$2:$J$103,$I70,MATCH('Index Selection'!$E$4,index_return!$B$1:$J$1,0)),0)*$G$4,0)</f>
        <v>2.2012118425836769E-2</v>
      </c>
      <c r="L70" s="50" cm="1">
        <f t="array" ref="L70">_xlfn.IFNA(IF($F$5,INDEX(index_return!$B$2:$J$103,$I70,MATCH('Index Selection'!$E$5,index_return!$B$1:$J$1,0)),0)*$G$5,0)</f>
        <v>0</v>
      </c>
      <c r="M70" s="50" cm="1">
        <f t="array" ref="M70">_xlfn.IFNA(IF($F$6,INDEX(index_return!$B$2:$J$103,$I70,MATCH('Index Selection'!$E$6,index_return!$B$1:$J$1,0)),0)*$G$6,0)</f>
        <v>0</v>
      </c>
      <c r="N70" s="50" cm="1">
        <f t="array" ref="N70">_xlfn.IFNA(IF($F$7,INDEX(index_return!$B$2:$J$103,$I70,MATCH('Index Selection'!$E$7,index_return!$B$1:$J$1,0)),0)*$G$7,0)</f>
        <v>0</v>
      </c>
      <c r="O70" s="50" cm="1">
        <f t="array" ref="O70">_xlfn.IFNA(IF($F$8,INDEX(index_return!$B$2:$J$103,$I70,MATCH('Index Selection'!$E$8,index_return!$B$1:$J$1,0)),0)*$G$8,0)</f>
        <v>0</v>
      </c>
      <c r="P70" s="50" cm="1">
        <f t="array" ref="P70">_xlfn.IFNA(IF($F$9,INDEX(index_return!$B$2:$J$103,$I70,MATCH('Index Selection'!$E$9,index_return!$B$1:$J$1,0)),0)*$G$9,0)</f>
        <v>0</v>
      </c>
      <c r="Q70" s="50" cm="1">
        <f t="array" ref="Q70">_xlfn.IFNA(IF($F$10,INDEX(index_return!$B$2:$J$103,$I70,MATCH('Index Selection'!$E$10,index_return!$B$1:$J$1,0)),0)*$G$10,0)</f>
        <v>0</v>
      </c>
      <c r="R70" s="50" cm="1">
        <f t="array" ref="R70">_xlfn.IFNA(IF($F$11,INDEX(index_return!$B$2:$J$103,$I70,MATCH('Index Selection'!$E$11,index_return!$B$1:$J$1,0)),0)*$G$11,0)</f>
        <v>0</v>
      </c>
      <c r="S70" s="52">
        <f t="shared" si="2"/>
        <v>7.6563694969547499E-2</v>
      </c>
    </row>
    <row r="71" spans="9:19" ht="15" thickBot="1">
      <c r="I71" s="21">
        <v>69</v>
      </c>
      <c r="J71" s="50" cm="1">
        <f t="array" ref="J71">_xlfn.IFNA(IF($F$3,INDEX(index_return!$B$2:$J$103,$I71,MATCH('Index Selection'!$E$3,index_return!$B$1:$J$1,0)),0)*$G$3,0)</f>
        <v>0.11380947946383935</v>
      </c>
      <c r="K71" s="50" cm="1">
        <f t="array" ref="K71">_xlfn.IFNA(IF($F$4,INDEX(index_return!$B$2:$J$103,$I71,MATCH('Index Selection'!$E$4,index_return!$B$1:$J$1,0)),0)*$G$4,0)</f>
        <v>0.17482052609892679</v>
      </c>
      <c r="L71" s="50" cm="1">
        <f t="array" ref="L71">_xlfn.IFNA(IF($F$5,INDEX(index_return!$B$2:$J$103,$I71,MATCH('Index Selection'!$E$5,index_return!$B$1:$J$1,0)),0)*$G$5,0)</f>
        <v>0</v>
      </c>
      <c r="M71" s="50" cm="1">
        <f t="array" ref="M71">_xlfn.IFNA(IF($F$6,INDEX(index_return!$B$2:$J$103,$I71,MATCH('Index Selection'!$E$6,index_return!$B$1:$J$1,0)),0)*$G$6,0)</f>
        <v>0</v>
      </c>
      <c r="N71" s="50" cm="1">
        <f t="array" ref="N71">_xlfn.IFNA(IF($F$7,INDEX(index_return!$B$2:$J$103,$I71,MATCH('Index Selection'!$E$7,index_return!$B$1:$J$1,0)),0)*$G$7,0)</f>
        <v>0</v>
      </c>
      <c r="O71" s="50" cm="1">
        <f t="array" ref="O71">_xlfn.IFNA(IF($F$8,INDEX(index_return!$B$2:$J$103,$I71,MATCH('Index Selection'!$E$8,index_return!$B$1:$J$1,0)),0)*$G$8,0)</f>
        <v>0</v>
      </c>
      <c r="P71" s="50" cm="1">
        <f t="array" ref="P71">_xlfn.IFNA(IF($F$9,INDEX(index_return!$B$2:$J$103,$I71,MATCH('Index Selection'!$E$9,index_return!$B$1:$J$1,0)),0)*$G$9,0)</f>
        <v>0</v>
      </c>
      <c r="Q71" s="50" cm="1">
        <f t="array" ref="Q71">_xlfn.IFNA(IF($F$10,INDEX(index_return!$B$2:$J$103,$I71,MATCH('Index Selection'!$E$10,index_return!$B$1:$J$1,0)),0)*$G$10,0)</f>
        <v>0</v>
      </c>
      <c r="R71" s="50" cm="1">
        <f t="array" ref="R71">_xlfn.IFNA(IF($F$11,INDEX(index_return!$B$2:$J$103,$I71,MATCH('Index Selection'!$E$11,index_return!$B$1:$J$1,0)),0)*$G$11,0)</f>
        <v>0</v>
      </c>
      <c r="S71" s="52">
        <f t="shared" si="2"/>
        <v>0.28863000556276613</v>
      </c>
    </row>
    <row r="72" spans="9:19" ht="15" thickBot="1">
      <c r="I72" s="21">
        <v>70</v>
      </c>
      <c r="J72" s="50" cm="1">
        <f t="array" ref="J72">_xlfn.IFNA(IF($F$3,INDEX(index_return!$B$2:$J$103,$I72,MATCH('Index Selection'!$E$3,index_return!$B$1:$J$1,0)),0)*$G$3,0)</f>
        <v>6.5893155357102676E-2</v>
      </c>
      <c r="K72" s="50" cm="1">
        <f t="array" ref="K72">_xlfn.IFNA(IF($F$4,INDEX(index_return!$B$2:$J$103,$I72,MATCH('Index Selection'!$E$4,index_return!$B$1:$J$1,0)),0)*$G$4,0)</f>
        <v>0.10072370935014653</v>
      </c>
      <c r="L72" s="50" cm="1">
        <f t="array" ref="L72">_xlfn.IFNA(IF($F$5,INDEX(index_return!$B$2:$J$103,$I72,MATCH('Index Selection'!$E$5,index_return!$B$1:$J$1,0)),0)*$G$5,0)</f>
        <v>0</v>
      </c>
      <c r="M72" s="50" cm="1">
        <f t="array" ref="M72">_xlfn.IFNA(IF($F$6,INDEX(index_return!$B$2:$J$103,$I72,MATCH('Index Selection'!$E$6,index_return!$B$1:$J$1,0)),0)*$G$6,0)</f>
        <v>0</v>
      </c>
      <c r="N72" s="50" cm="1">
        <f t="array" ref="N72">_xlfn.IFNA(IF($F$7,INDEX(index_return!$B$2:$J$103,$I72,MATCH('Index Selection'!$E$7,index_return!$B$1:$J$1,0)),0)*$G$7,0)</f>
        <v>0</v>
      </c>
      <c r="O72" s="50" cm="1">
        <f t="array" ref="O72">_xlfn.IFNA(IF($F$8,INDEX(index_return!$B$2:$J$103,$I72,MATCH('Index Selection'!$E$8,index_return!$B$1:$J$1,0)),0)*$G$8,0)</f>
        <v>0</v>
      </c>
      <c r="P72" s="50" cm="1">
        <f t="array" ref="P72">_xlfn.IFNA(IF($F$9,INDEX(index_return!$B$2:$J$103,$I72,MATCH('Index Selection'!$E$9,index_return!$B$1:$J$1,0)),0)*$G$9,0)</f>
        <v>0</v>
      </c>
      <c r="Q72" s="50" cm="1">
        <f t="array" ref="Q72">_xlfn.IFNA(IF($F$10,INDEX(index_return!$B$2:$J$103,$I72,MATCH('Index Selection'!$E$10,index_return!$B$1:$J$1,0)),0)*$G$10,0)</f>
        <v>0</v>
      </c>
      <c r="R72" s="50" cm="1">
        <f t="array" ref="R72">_xlfn.IFNA(IF($F$11,INDEX(index_return!$B$2:$J$103,$I72,MATCH('Index Selection'!$E$11,index_return!$B$1:$J$1,0)),0)*$G$11,0)</f>
        <v>0</v>
      </c>
      <c r="S72" s="52">
        <f t="shared" si="2"/>
        <v>0.16661686470724921</v>
      </c>
    </row>
    <row r="73" spans="9:19" ht="15" thickBot="1">
      <c r="I73" s="21">
        <v>71</v>
      </c>
      <c r="J73" s="50" cm="1">
        <f t="array" ref="J73">_xlfn.IFNA(IF($F$3,INDEX(index_return!$B$2:$J$103,$I73,MATCH('Index Selection'!$E$3,index_return!$B$1:$J$1,0)),0)*$G$3,0)</f>
        <v>-4.0928966500356365E-2</v>
      </c>
      <c r="K73" s="50" cm="1">
        <f t="array" ref="K73">_xlfn.IFNA(IF($F$4,INDEX(index_return!$B$2:$J$103,$I73,MATCH('Index Selection'!$E$4,index_return!$B$1:$J$1,0)),0)*$G$4,0)</f>
        <v>-2.6972259727436644E-2</v>
      </c>
      <c r="L73" s="50" cm="1">
        <f t="array" ref="L73">_xlfn.IFNA(IF($F$5,INDEX(index_return!$B$2:$J$103,$I73,MATCH('Index Selection'!$E$5,index_return!$B$1:$J$1,0)),0)*$G$5,0)</f>
        <v>0</v>
      </c>
      <c r="M73" s="50" cm="1">
        <f t="array" ref="M73">_xlfn.IFNA(IF($F$6,INDEX(index_return!$B$2:$J$103,$I73,MATCH('Index Selection'!$E$6,index_return!$B$1:$J$1,0)),0)*$G$6,0)</f>
        <v>0</v>
      </c>
      <c r="N73" s="50" cm="1">
        <f t="array" ref="N73">_xlfn.IFNA(IF($F$7,INDEX(index_return!$B$2:$J$103,$I73,MATCH('Index Selection'!$E$7,index_return!$B$1:$J$1,0)),0)*$G$7,0)</f>
        <v>0</v>
      </c>
      <c r="O73" s="50" cm="1">
        <f t="array" ref="O73">_xlfn.IFNA(IF($F$8,INDEX(index_return!$B$2:$J$103,$I73,MATCH('Index Selection'!$E$8,index_return!$B$1:$J$1,0)),0)*$G$8,0)</f>
        <v>0</v>
      </c>
      <c r="P73" s="50" cm="1">
        <f t="array" ref="P73">_xlfn.IFNA(IF($F$9,INDEX(index_return!$B$2:$J$103,$I73,MATCH('Index Selection'!$E$9,index_return!$B$1:$J$1,0)),0)*$G$9,0)</f>
        <v>0</v>
      </c>
      <c r="Q73" s="50" cm="1">
        <f t="array" ref="Q73">_xlfn.IFNA(IF($F$10,INDEX(index_return!$B$2:$J$103,$I73,MATCH('Index Selection'!$E$10,index_return!$B$1:$J$1,0)),0)*$G$10,0)</f>
        <v>0</v>
      </c>
      <c r="R73" s="50" cm="1">
        <f t="array" ref="R73">_xlfn.IFNA(IF($F$11,INDEX(index_return!$B$2:$J$103,$I73,MATCH('Index Selection'!$E$11,index_return!$B$1:$J$1,0)),0)*$G$11,0)</f>
        <v>0</v>
      </c>
      <c r="S73" s="52">
        <f t="shared" si="2"/>
        <v>-6.7901226227793016E-2</v>
      </c>
    </row>
    <row r="74" spans="9:19" ht="15" thickBot="1">
      <c r="I74" s="21">
        <v>72</v>
      </c>
      <c r="J74" s="50" cm="1">
        <f t="array" ref="J74">_xlfn.IFNA(IF($F$3,INDEX(index_return!$B$2:$J$103,$I74,MATCH('Index Selection'!$E$3,index_return!$B$1:$J$1,0)),0)*$G$3,0)</f>
        <v>0.11163523945529505</v>
      </c>
      <c r="K74" s="50" cm="1">
        <f t="array" ref="K74">_xlfn.IFNA(IF($F$4,INDEX(index_return!$B$2:$J$103,$I74,MATCH('Index Selection'!$E$4,index_return!$B$1:$J$1,0)),0)*$G$4,0)</f>
        <v>0.13439153256183842</v>
      </c>
      <c r="L74" s="50" cm="1">
        <f t="array" ref="L74">_xlfn.IFNA(IF($F$5,INDEX(index_return!$B$2:$J$103,$I74,MATCH('Index Selection'!$E$5,index_return!$B$1:$J$1,0)),0)*$G$5,0)</f>
        <v>0</v>
      </c>
      <c r="M74" s="50" cm="1">
        <f t="array" ref="M74">_xlfn.IFNA(IF($F$6,INDEX(index_return!$B$2:$J$103,$I74,MATCH('Index Selection'!$E$6,index_return!$B$1:$J$1,0)),0)*$G$6,0)</f>
        <v>0</v>
      </c>
      <c r="N74" s="50" cm="1">
        <f t="array" ref="N74">_xlfn.IFNA(IF($F$7,INDEX(index_return!$B$2:$J$103,$I74,MATCH('Index Selection'!$E$7,index_return!$B$1:$J$1,0)),0)*$G$7,0)</f>
        <v>0</v>
      </c>
      <c r="O74" s="50" cm="1">
        <f t="array" ref="O74">_xlfn.IFNA(IF($F$8,INDEX(index_return!$B$2:$J$103,$I74,MATCH('Index Selection'!$E$8,index_return!$B$1:$J$1,0)),0)*$G$8,0)</f>
        <v>0</v>
      </c>
      <c r="P74" s="50" cm="1">
        <f t="array" ref="P74">_xlfn.IFNA(IF($F$9,INDEX(index_return!$B$2:$J$103,$I74,MATCH('Index Selection'!$E$9,index_return!$B$1:$J$1,0)),0)*$G$9,0)</f>
        <v>0</v>
      </c>
      <c r="Q74" s="50" cm="1">
        <f t="array" ref="Q74">_xlfn.IFNA(IF($F$10,INDEX(index_return!$B$2:$J$103,$I74,MATCH('Index Selection'!$E$10,index_return!$B$1:$J$1,0)),0)*$G$10,0)</f>
        <v>0</v>
      </c>
      <c r="R74" s="50" cm="1">
        <f t="array" ref="R74">_xlfn.IFNA(IF($F$11,INDEX(index_return!$B$2:$J$103,$I74,MATCH('Index Selection'!$E$11,index_return!$B$1:$J$1,0)),0)*$G$11,0)</f>
        <v>0</v>
      </c>
      <c r="S74" s="52">
        <f t="shared" si="2"/>
        <v>0.24602677201713347</v>
      </c>
    </row>
    <row r="75" spans="9:19" ht="15" thickBot="1">
      <c r="I75" s="21">
        <v>73</v>
      </c>
      <c r="J75" s="50" cm="1">
        <f t="array" ref="J75">_xlfn.IFNA(IF($F$3,INDEX(index_return!$B$2:$J$103,$I75,MATCH('Index Selection'!$E$3,index_return!$B$1:$J$1,0)),0)*$G$3,0)</f>
        <v>7.4078582367199858E-2</v>
      </c>
      <c r="K75" s="50" cm="1">
        <f t="array" ref="K75">_xlfn.IFNA(IF($F$4,INDEX(index_return!$B$2:$J$103,$I75,MATCH('Index Selection'!$E$4,index_return!$B$1:$J$1,0)),0)*$G$4,0)</f>
        <v>0.142966342119874</v>
      </c>
      <c r="L75" s="50" cm="1">
        <f t="array" ref="L75">_xlfn.IFNA(IF($F$5,INDEX(index_return!$B$2:$J$103,$I75,MATCH('Index Selection'!$E$5,index_return!$B$1:$J$1,0)),0)*$G$5,0)</f>
        <v>0</v>
      </c>
      <c r="M75" s="50" cm="1">
        <f t="array" ref="M75">_xlfn.IFNA(IF($F$6,INDEX(index_return!$B$2:$J$103,$I75,MATCH('Index Selection'!$E$6,index_return!$B$1:$J$1,0)),0)*$G$6,0)</f>
        <v>0</v>
      </c>
      <c r="N75" s="50" cm="1">
        <f t="array" ref="N75">_xlfn.IFNA(IF($F$7,INDEX(index_return!$B$2:$J$103,$I75,MATCH('Index Selection'!$E$7,index_return!$B$1:$J$1,0)),0)*$G$7,0)</f>
        <v>0</v>
      </c>
      <c r="O75" s="50" cm="1">
        <f t="array" ref="O75">_xlfn.IFNA(IF($F$8,INDEX(index_return!$B$2:$J$103,$I75,MATCH('Index Selection'!$E$8,index_return!$B$1:$J$1,0)),0)*$G$8,0)</f>
        <v>0</v>
      </c>
      <c r="P75" s="50" cm="1">
        <f t="array" ref="P75">_xlfn.IFNA(IF($F$9,INDEX(index_return!$B$2:$J$103,$I75,MATCH('Index Selection'!$E$9,index_return!$B$1:$J$1,0)),0)*$G$9,0)</f>
        <v>0</v>
      </c>
      <c r="Q75" s="50" cm="1">
        <f t="array" ref="Q75">_xlfn.IFNA(IF($F$10,INDEX(index_return!$B$2:$J$103,$I75,MATCH('Index Selection'!$E$10,index_return!$B$1:$J$1,0)),0)*$G$10,0)</f>
        <v>0</v>
      </c>
      <c r="R75" s="50" cm="1">
        <f t="array" ref="R75">_xlfn.IFNA(IF($F$11,INDEX(index_return!$B$2:$J$103,$I75,MATCH('Index Selection'!$E$11,index_return!$B$1:$J$1,0)),0)*$G$11,0)</f>
        <v>0</v>
      </c>
      <c r="S75" s="52">
        <f t="shared" si="2"/>
        <v>0.21704492448707385</v>
      </c>
    </row>
    <row r="76" spans="9:19" ht="15" thickBot="1">
      <c r="I76" s="21">
        <v>74</v>
      </c>
      <c r="J76" s="50" cm="1">
        <f t="array" ref="J76">_xlfn.IFNA(IF($F$3,INDEX(index_return!$B$2:$J$103,$I76,MATCH('Index Selection'!$E$3,index_return!$B$1:$J$1,0)),0)*$G$3,0)</f>
        <v>1.301848493994031E-2</v>
      </c>
      <c r="K76" s="50" cm="1">
        <f t="array" ref="K76">_xlfn.IFNA(IF($F$4,INDEX(index_return!$B$2:$J$103,$I76,MATCH('Index Selection'!$E$4,index_return!$B$1:$J$1,0)),0)*$G$4,0)</f>
        <v>1.7733802843017565E-2</v>
      </c>
      <c r="L76" s="50" cm="1">
        <f t="array" ref="L76">_xlfn.IFNA(IF($F$5,INDEX(index_return!$B$2:$J$103,$I76,MATCH('Index Selection'!$E$5,index_return!$B$1:$J$1,0)),0)*$G$5,0)</f>
        <v>0</v>
      </c>
      <c r="M76" s="50" cm="1">
        <f t="array" ref="M76">_xlfn.IFNA(IF($F$6,INDEX(index_return!$B$2:$J$103,$I76,MATCH('Index Selection'!$E$6,index_return!$B$1:$J$1,0)),0)*$G$6,0)</f>
        <v>0</v>
      </c>
      <c r="N76" s="50" cm="1">
        <f t="array" ref="N76">_xlfn.IFNA(IF($F$7,INDEX(index_return!$B$2:$J$103,$I76,MATCH('Index Selection'!$E$7,index_return!$B$1:$J$1,0)),0)*$G$7,0)</f>
        <v>0</v>
      </c>
      <c r="O76" s="50" cm="1">
        <f t="array" ref="O76">_xlfn.IFNA(IF($F$8,INDEX(index_return!$B$2:$J$103,$I76,MATCH('Index Selection'!$E$8,index_return!$B$1:$J$1,0)),0)*$G$8,0)</f>
        <v>0</v>
      </c>
      <c r="P76" s="50" cm="1">
        <f t="array" ref="P76">_xlfn.IFNA(IF($F$9,INDEX(index_return!$B$2:$J$103,$I76,MATCH('Index Selection'!$E$9,index_return!$B$1:$J$1,0)),0)*$G$9,0)</f>
        <v>0</v>
      </c>
      <c r="Q76" s="50" cm="1">
        <f t="array" ref="Q76">_xlfn.IFNA(IF($F$10,INDEX(index_return!$B$2:$J$103,$I76,MATCH('Index Selection'!$E$10,index_return!$B$1:$J$1,0)),0)*$G$10,0)</f>
        <v>0</v>
      </c>
      <c r="R76" s="50" cm="1">
        <f t="array" ref="R76">_xlfn.IFNA(IF($F$11,INDEX(index_return!$B$2:$J$103,$I76,MATCH('Index Selection'!$E$11,index_return!$B$1:$J$1,0)),0)*$G$11,0)</f>
        <v>0</v>
      </c>
      <c r="S76" s="52">
        <f t="shared" si="2"/>
        <v>3.0752287782957875E-2</v>
      </c>
    </row>
    <row r="77" spans="9:19" ht="15" thickBot="1">
      <c r="I77" s="21">
        <v>75</v>
      </c>
      <c r="J77" s="50" cm="1">
        <f t="array" ref="J77">_xlfn.IFNA(IF($F$3,INDEX(index_return!$B$2:$J$103,$I77,MATCH('Index Selection'!$E$3,index_return!$B$1:$J$1,0)),0)*$G$3,0)</f>
        <v>3.0477750254006113E-2</v>
      </c>
      <c r="K77" s="50" cm="1">
        <f t="array" ref="K77">_xlfn.IFNA(IF($F$4,INDEX(index_return!$B$2:$J$103,$I77,MATCH('Index Selection'!$E$4,index_return!$B$1:$J$1,0)),0)*$G$4,0)</f>
        <v>9.6110924105125201E-2</v>
      </c>
      <c r="L77" s="50" cm="1">
        <f t="array" ref="L77">_xlfn.IFNA(IF($F$5,INDEX(index_return!$B$2:$J$103,$I77,MATCH('Index Selection'!$E$5,index_return!$B$1:$J$1,0)),0)*$G$5,0)</f>
        <v>0</v>
      </c>
      <c r="M77" s="50" cm="1">
        <f t="array" ref="M77">_xlfn.IFNA(IF($F$6,INDEX(index_return!$B$2:$J$103,$I77,MATCH('Index Selection'!$E$6,index_return!$B$1:$J$1,0)),0)*$G$6,0)</f>
        <v>0</v>
      </c>
      <c r="N77" s="50" cm="1">
        <f t="array" ref="N77">_xlfn.IFNA(IF($F$7,INDEX(index_return!$B$2:$J$103,$I77,MATCH('Index Selection'!$E$7,index_return!$B$1:$J$1,0)),0)*$G$7,0)</f>
        <v>0</v>
      </c>
      <c r="O77" s="50" cm="1">
        <f t="array" ref="O77">_xlfn.IFNA(IF($F$8,INDEX(index_return!$B$2:$J$103,$I77,MATCH('Index Selection'!$E$8,index_return!$B$1:$J$1,0)),0)*$G$8,0)</f>
        <v>0</v>
      </c>
      <c r="P77" s="50" cm="1">
        <f t="array" ref="P77">_xlfn.IFNA(IF($F$9,INDEX(index_return!$B$2:$J$103,$I77,MATCH('Index Selection'!$E$9,index_return!$B$1:$J$1,0)),0)*$G$9,0)</f>
        <v>0</v>
      </c>
      <c r="Q77" s="50" cm="1">
        <f t="array" ref="Q77">_xlfn.IFNA(IF($F$10,INDEX(index_return!$B$2:$J$103,$I77,MATCH('Index Selection'!$E$10,index_return!$B$1:$J$1,0)),0)*$G$10,0)</f>
        <v>0</v>
      </c>
      <c r="R77" s="50" cm="1">
        <f t="array" ref="R77">_xlfn.IFNA(IF($F$11,INDEX(index_return!$B$2:$J$103,$I77,MATCH('Index Selection'!$E$11,index_return!$B$1:$J$1,0)),0)*$G$11,0)</f>
        <v>0</v>
      </c>
      <c r="S77" s="52">
        <f t="shared" si="2"/>
        <v>0.12658867435913132</v>
      </c>
    </row>
    <row r="78" spans="9:19" ht="15" thickBot="1">
      <c r="I78" s="21">
        <v>76</v>
      </c>
      <c r="J78" s="50" cm="1">
        <f t="array" ref="J78">_xlfn.IFNA(IF($F$3,INDEX(index_return!$B$2:$J$103,$I78,MATCH('Index Selection'!$E$3,index_return!$B$1:$J$1,0)),0)*$G$3,0)</f>
        <v>0.15212985252004446</v>
      </c>
      <c r="K78" s="50" cm="1">
        <f t="array" ref="K78">_xlfn.IFNA(IF($F$4,INDEX(index_return!$B$2:$J$103,$I78,MATCH('Index Selection'!$E$4,index_return!$B$1:$J$1,0)),0)*$G$4,0)</f>
        <v>0.29208553022423384</v>
      </c>
      <c r="L78" s="50" cm="1">
        <f t="array" ref="L78">_xlfn.IFNA(IF($F$5,INDEX(index_return!$B$2:$J$103,$I78,MATCH('Index Selection'!$E$5,index_return!$B$1:$J$1,0)),0)*$G$5,0)</f>
        <v>0</v>
      </c>
      <c r="M78" s="50" cm="1">
        <f t="array" ref="M78">_xlfn.IFNA(IF($F$6,INDEX(index_return!$B$2:$J$103,$I78,MATCH('Index Selection'!$E$6,index_return!$B$1:$J$1,0)),0)*$G$6,0)</f>
        <v>0</v>
      </c>
      <c r="N78" s="50" cm="1">
        <f t="array" ref="N78">_xlfn.IFNA(IF($F$7,INDEX(index_return!$B$2:$J$103,$I78,MATCH('Index Selection'!$E$7,index_return!$B$1:$J$1,0)),0)*$G$7,0)</f>
        <v>0</v>
      </c>
      <c r="O78" s="50" cm="1">
        <f t="array" ref="O78">_xlfn.IFNA(IF($F$8,INDEX(index_return!$B$2:$J$103,$I78,MATCH('Index Selection'!$E$8,index_return!$B$1:$J$1,0)),0)*$G$8,0)</f>
        <v>0</v>
      </c>
      <c r="P78" s="50" cm="1">
        <f t="array" ref="P78">_xlfn.IFNA(IF($F$9,INDEX(index_return!$B$2:$J$103,$I78,MATCH('Index Selection'!$E$9,index_return!$B$1:$J$1,0)),0)*$G$9,0)</f>
        <v>0</v>
      </c>
      <c r="Q78" s="50" cm="1">
        <f t="array" ref="Q78">_xlfn.IFNA(IF($F$10,INDEX(index_return!$B$2:$J$103,$I78,MATCH('Index Selection'!$E$10,index_return!$B$1:$J$1,0)),0)*$G$10,0)</f>
        <v>0</v>
      </c>
      <c r="R78" s="50" cm="1">
        <f t="array" ref="R78">_xlfn.IFNA(IF($F$11,INDEX(index_return!$B$2:$J$103,$I78,MATCH('Index Selection'!$E$11,index_return!$B$1:$J$1,0)),0)*$G$11,0)</f>
        <v>0</v>
      </c>
      <c r="S78" s="52">
        <f t="shared" si="2"/>
        <v>0.4442153827442783</v>
      </c>
    </row>
    <row r="79" spans="9:19" ht="15" thickBot="1">
      <c r="I79" s="21">
        <v>77</v>
      </c>
      <c r="J79" s="50" cm="1">
        <f t="array" ref="J79">_xlfn.IFNA(IF($F$3,INDEX(index_return!$B$2:$J$103,$I79,MATCH('Index Selection'!$E$3,index_return!$B$1:$J$1,0)),0)*$G$3,0)</f>
        <v>-0.32777110880714977</v>
      </c>
      <c r="K79" s="50" cm="1">
        <f t="array" ref="K79">_xlfn.IFNA(IF($F$4,INDEX(index_return!$B$2:$J$103,$I79,MATCH('Index Selection'!$E$4,index_return!$B$1:$J$1,0)),0)*$G$4,0)</f>
        <v>-0.4123091239157286</v>
      </c>
      <c r="L79" s="50" cm="1">
        <f t="array" ref="L79">_xlfn.IFNA(IF($F$5,INDEX(index_return!$B$2:$J$103,$I79,MATCH('Index Selection'!$E$5,index_return!$B$1:$J$1,0)),0)*$G$5,0)</f>
        <v>0</v>
      </c>
      <c r="M79" s="50" cm="1">
        <f t="array" ref="M79">_xlfn.IFNA(IF($F$6,INDEX(index_return!$B$2:$J$103,$I79,MATCH('Index Selection'!$E$6,index_return!$B$1:$J$1,0)),0)*$G$6,0)</f>
        <v>0</v>
      </c>
      <c r="N79" s="50" cm="1">
        <f t="array" ref="N79">_xlfn.IFNA(IF($F$7,INDEX(index_return!$B$2:$J$103,$I79,MATCH('Index Selection'!$E$7,index_return!$B$1:$J$1,0)),0)*$G$7,0)</f>
        <v>0</v>
      </c>
      <c r="O79" s="50" cm="1">
        <f t="array" ref="O79">_xlfn.IFNA(IF($F$8,INDEX(index_return!$B$2:$J$103,$I79,MATCH('Index Selection'!$E$8,index_return!$B$1:$J$1,0)),0)*$G$8,0)</f>
        <v>0</v>
      </c>
      <c r="P79" s="50" cm="1">
        <f t="array" ref="P79">_xlfn.IFNA(IF($F$9,INDEX(index_return!$B$2:$J$103,$I79,MATCH('Index Selection'!$E$9,index_return!$B$1:$J$1,0)),0)*$G$9,0)</f>
        <v>0</v>
      </c>
      <c r="Q79" s="50" cm="1">
        <f t="array" ref="Q79">_xlfn.IFNA(IF($F$10,INDEX(index_return!$B$2:$J$103,$I79,MATCH('Index Selection'!$E$10,index_return!$B$1:$J$1,0)),0)*$G$10,0)</f>
        <v>0</v>
      </c>
      <c r="R79" s="50" cm="1">
        <f t="array" ref="R79">_xlfn.IFNA(IF($F$11,INDEX(index_return!$B$2:$J$103,$I79,MATCH('Index Selection'!$E$11,index_return!$B$1:$J$1,0)),0)*$G$11,0)</f>
        <v>0</v>
      </c>
      <c r="S79" s="52">
        <f t="shared" si="2"/>
        <v>-0.74008023272287837</v>
      </c>
    </row>
    <row r="80" spans="9:19" ht="15" thickBot="1">
      <c r="I80" s="21">
        <v>78</v>
      </c>
      <c r="J80" s="50" cm="1">
        <f t="array" ref="J80">_xlfn.IFNA(IF($F$3,INDEX(index_return!$B$2:$J$103,$I80,MATCH('Index Selection'!$E$3,index_return!$B$1:$J$1,0)),0)*$G$3,0)</f>
        <v>1.4488963337035237E-2</v>
      </c>
      <c r="K80" s="50" cm="1">
        <f t="array" ref="K80">_xlfn.IFNA(IF($F$4,INDEX(index_return!$B$2:$J$103,$I80,MATCH('Index Selection'!$E$4,index_return!$B$1:$J$1,0)),0)*$G$4,0)</f>
        <v>5.7871388044489262E-2</v>
      </c>
      <c r="L80" s="50" cm="1">
        <f t="array" ref="L80">_xlfn.IFNA(IF($F$5,INDEX(index_return!$B$2:$J$103,$I80,MATCH('Index Selection'!$E$5,index_return!$B$1:$J$1,0)),0)*$G$5,0)</f>
        <v>0</v>
      </c>
      <c r="M80" s="50" cm="1">
        <f t="array" ref="M80">_xlfn.IFNA(IF($F$6,INDEX(index_return!$B$2:$J$103,$I80,MATCH('Index Selection'!$E$6,index_return!$B$1:$J$1,0)),0)*$G$6,0)</f>
        <v>0</v>
      </c>
      <c r="N80" s="50" cm="1">
        <f t="array" ref="N80">_xlfn.IFNA(IF($F$7,INDEX(index_return!$B$2:$J$103,$I80,MATCH('Index Selection'!$E$7,index_return!$B$1:$J$1,0)),0)*$G$7,0)</f>
        <v>0</v>
      </c>
      <c r="O80" s="50" cm="1">
        <f t="array" ref="O80">_xlfn.IFNA(IF($F$8,INDEX(index_return!$B$2:$J$103,$I80,MATCH('Index Selection'!$E$8,index_return!$B$1:$J$1,0)),0)*$G$8,0)</f>
        <v>0</v>
      </c>
      <c r="P80" s="50" cm="1">
        <f t="array" ref="P80">_xlfn.IFNA(IF($F$9,INDEX(index_return!$B$2:$J$103,$I80,MATCH('Index Selection'!$E$9,index_return!$B$1:$J$1,0)),0)*$G$9,0)</f>
        <v>0</v>
      </c>
      <c r="Q80" s="50" cm="1">
        <f t="array" ref="Q80">_xlfn.IFNA(IF($F$10,INDEX(index_return!$B$2:$J$103,$I80,MATCH('Index Selection'!$E$10,index_return!$B$1:$J$1,0)),0)*$G$10,0)</f>
        <v>0</v>
      </c>
      <c r="R80" s="50" cm="1">
        <f t="array" ref="R80">_xlfn.IFNA(IF($F$11,INDEX(index_return!$B$2:$J$103,$I80,MATCH('Index Selection'!$E$11,index_return!$B$1:$J$1,0)),0)*$G$11,0)</f>
        <v>0</v>
      </c>
      <c r="S80" s="52">
        <f t="shared" si="2"/>
        <v>7.2360351381524496E-2</v>
      </c>
    </row>
    <row r="81" spans="9:19" ht="15" thickBot="1">
      <c r="I81" s="21">
        <v>79</v>
      </c>
      <c r="J81" s="50" cm="1">
        <f t="array" ref="J81">_xlfn.IFNA(IF($F$3,INDEX(index_return!$B$2:$J$103,$I81,MATCH('Index Selection'!$E$3,index_return!$B$1:$J$1,0)),0)*$G$3,0)</f>
        <v>5.4551576543710734E-2</v>
      </c>
      <c r="K81" s="50" cm="1">
        <f t="array" ref="K81">_xlfn.IFNA(IF($F$4,INDEX(index_return!$B$2:$J$103,$I81,MATCH('Index Selection'!$E$4,index_return!$B$1:$J$1,0)),0)*$G$4,0)</f>
        <v>2.2012118425836769E-2</v>
      </c>
      <c r="L81" s="50" cm="1">
        <f t="array" ref="L81">_xlfn.IFNA(IF($F$5,INDEX(index_return!$B$2:$J$103,$I81,MATCH('Index Selection'!$E$5,index_return!$B$1:$J$1,0)),0)*$G$5,0)</f>
        <v>0</v>
      </c>
      <c r="M81" s="50" cm="1">
        <f t="array" ref="M81">_xlfn.IFNA(IF($F$6,INDEX(index_return!$B$2:$J$103,$I81,MATCH('Index Selection'!$E$6,index_return!$B$1:$J$1,0)),0)*$G$6,0)</f>
        <v>0</v>
      </c>
      <c r="N81" s="50" cm="1">
        <f t="array" ref="N81">_xlfn.IFNA(IF($F$7,INDEX(index_return!$B$2:$J$103,$I81,MATCH('Index Selection'!$E$7,index_return!$B$1:$J$1,0)),0)*$G$7,0)</f>
        <v>0</v>
      </c>
      <c r="O81" s="50" cm="1">
        <f t="array" ref="O81">_xlfn.IFNA(IF($F$8,INDEX(index_return!$B$2:$J$103,$I81,MATCH('Index Selection'!$E$8,index_return!$B$1:$J$1,0)),0)*$G$8,0)</f>
        <v>0</v>
      </c>
      <c r="P81" s="50" cm="1">
        <f t="array" ref="P81">_xlfn.IFNA(IF($F$9,INDEX(index_return!$B$2:$J$103,$I81,MATCH('Index Selection'!$E$9,index_return!$B$1:$J$1,0)),0)*$G$9,0)</f>
        <v>0</v>
      </c>
      <c r="Q81" s="50" cm="1">
        <f t="array" ref="Q81">_xlfn.IFNA(IF($F$10,INDEX(index_return!$B$2:$J$103,$I81,MATCH('Index Selection'!$E$10,index_return!$B$1:$J$1,0)),0)*$G$10,0)</f>
        <v>0</v>
      </c>
      <c r="R81" s="50" cm="1">
        <f t="array" ref="R81">_xlfn.IFNA(IF($F$11,INDEX(index_return!$B$2:$J$103,$I81,MATCH('Index Selection'!$E$11,index_return!$B$1:$J$1,0)),0)*$G$11,0)</f>
        <v>0</v>
      </c>
      <c r="S81" s="52">
        <f t="shared" si="2"/>
        <v>7.6563694969547499E-2</v>
      </c>
    </row>
    <row r="82" spans="9:19" ht="15" thickBot="1">
      <c r="I82" s="21">
        <v>80</v>
      </c>
      <c r="J82" s="50" cm="1">
        <f t="array" ref="J82">_xlfn.IFNA(IF($F$3,INDEX(index_return!$B$2:$J$103,$I82,MATCH('Index Selection'!$E$3,index_return!$B$1:$J$1,0)),0)*$G$3,0)</f>
        <v>0.11380947946383935</v>
      </c>
      <c r="K82" s="50" cm="1">
        <f t="array" ref="K82">_xlfn.IFNA(IF($F$4,INDEX(index_return!$B$2:$J$103,$I82,MATCH('Index Selection'!$E$4,index_return!$B$1:$J$1,0)),0)*$G$4,0)</f>
        <v>0.17482052609892679</v>
      </c>
      <c r="L82" s="50" cm="1">
        <f t="array" ref="L82">_xlfn.IFNA(IF($F$5,INDEX(index_return!$B$2:$J$103,$I82,MATCH('Index Selection'!$E$5,index_return!$B$1:$J$1,0)),0)*$G$5,0)</f>
        <v>0</v>
      </c>
      <c r="M82" s="50" cm="1">
        <f t="array" ref="M82">_xlfn.IFNA(IF($F$6,INDEX(index_return!$B$2:$J$103,$I82,MATCH('Index Selection'!$E$6,index_return!$B$1:$J$1,0)),0)*$G$6,0)</f>
        <v>0</v>
      </c>
      <c r="N82" s="50" cm="1">
        <f t="array" ref="N82">_xlfn.IFNA(IF($F$7,INDEX(index_return!$B$2:$J$103,$I82,MATCH('Index Selection'!$E$7,index_return!$B$1:$J$1,0)),0)*$G$7,0)</f>
        <v>0</v>
      </c>
      <c r="O82" s="50" cm="1">
        <f t="array" ref="O82">_xlfn.IFNA(IF($F$8,INDEX(index_return!$B$2:$J$103,$I82,MATCH('Index Selection'!$E$8,index_return!$B$1:$J$1,0)),0)*$G$8,0)</f>
        <v>0</v>
      </c>
      <c r="P82" s="50" cm="1">
        <f t="array" ref="P82">_xlfn.IFNA(IF($F$9,INDEX(index_return!$B$2:$J$103,$I82,MATCH('Index Selection'!$E$9,index_return!$B$1:$J$1,0)),0)*$G$9,0)</f>
        <v>0</v>
      </c>
      <c r="Q82" s="50" cm="1">
        <f t="array" ref="Q82">_xlfn.IFNA(IF($F$10,INDEX(index_return!$B$2:$J$103,$I82,MATCH('Index Selection'!$E$10,index_return!$B$1:$J$1,0)),0)*$G$10,0)</f>
        <v>0</v>
      </c>
      <c r="R82" s="50" cm="1">
        <f t="array" ref="R82">_xlfn.IFNA(IF($F$11,INDEX(index_return!$B$2:$J$103,$I82,MATCH('Index Selection'!$E$11,index_return!$B$1:$J$1,0)),0)*$G$11,0)</f>
        <v>0</v>
      </c>
      <c r="S82" s="52">
        <f t="shared" si="2"/>
        <v>0.28863000556276613</v>
      </c>
    </row>
    <row r="83" spans="9:19" ht="15" thickBot="1">
      <c r="I83" s="21">
        <v>81</v>
      </c>
      <c r="J83" s="50" cm="1">
        <f t="array" ref="J83">_xlfn.IFNA(IF($F$3,INDEX(index_return!$B$2:$J$103,$I83,MATCH('Index Selection'!$E$3,index_return!$B$1:$J$1,0)),0)*$G$3,0)</f>
        <v>6.5893155357102676E-2</v>
      </c>
      <c r="K83" s="50" cm="1">
        <f t="array" ref="K83">_xlfn.IFNA(IF($F$4,INDEX(index_return!$B$2:$J$103,$I83,MATCH('Index Selection'!$E$4,index_return!$B$1:$J$1,0)),0)*$G$4,0)</f>
        <v>0.10072370935014653</v>
      </c>
      <c r="L83" s="50" cm="1">
        <f t="array" ref="L83">_xlfn.IFNA(IF($F$5,INDEX(index_return!$B$2:$J$103,$I83,MATCH('Index Selection'!$E$5,index_return!$B$1:$J$1,0)),0)*$G$5,0)</f>
        <v>0</v>
      </c>
      <c r="M83" s="50" cm="1">
        <f t="array" ref="M83">_xlfn.IFNA(IF($F$6,INDEX(index_return!$B$2:$J$103,$I83,MATCH('Index Selection'!$E$6,index_return!$B$1:$J$1,0)),0)*$G$6,0)</f>
        <v>0</v>
      </c>
      <c r="N83" s="50" cm="1">
        <f t="array" ref="N83">_xlfn.IFNA(IF($F$7,INDEX(index_return!$B$2:$J$103,$I83,MATCH('Index Selection'!$E$7,index_return!$B$1:$J$1,0)),0)*$G$7,0)</f>
        <v>0</v>
      </c>
      <c r="O83" s="50" cm="1">
        <f t="array" ref="O83">_xlfn.IFNA(IF($F$8,INDEX(index_return!$B$2:$J$103,$I83,MATCH('Index Selection'!$E$8,index_return!$B$1:$J$1,0)),0)*$G$8,0)</f>
        <v>0</v>
      </c>
      <c r="P83" s="50" cm="1">
        <f t="array" ref="P83">_xlfn.IFNA(IF($F$9,INDEX(index_return!$B$2:$J$103,$I83,MATCH('Index Selection'!$E$9,index_return!$B$1:$J$1,0)),0)*$G$9,0)</f>
        <v>0</v>
      </c>
      <c r="Q83" s="50" cm="1">
        <f t="array" ref="Q83">_xlfn.IFNA(IF($F$10,INDEX(index_return!$B$2:$J$103,$I83,MATCH('Index Selection'!$E$10,index_return!$B$1:$J$1,0)),0)*$G$10,0)</f>
        <v>0</v>
      </c>
      <c r="R83" s="50" cm="1">
        <f t="array" ref="R83">_xlfn.IFNA(IF($F$11,INDEX(index_return!$B$2:$J$103,$I83,MATCH('Index Selection'!$E$11,index_return!$B$1:$J$1,0)),0)*$G$11,0)</f>
        <v>0</v>
      </c>
      <c r="S83" s="52">
        <f t="shared" si="2"/>
        <v>0.16661686470724921</v>
      </c>
    </row>
    <row r="84" spans="9:19" ht="15" thickBot="1">
      <c r="I84" s="21">
        <v>82</v>
      </c>
      <c r="J84" s="50" cm="1">
        <f t="array" ref="J84">_xlfn.IFNA(IF($F$3,INDEX(index_return!$B$2:$J$103,$I84,MATCH('Index Selection'!$E$3,index_return!$B$1:$J$1,0)),0)*$G$3,0)</f>
        <v>-4.0928966500356365E-2</v>
      </c>
      <c r="K84" s="50" cm="1">
        <f t="array" ref="K84">_xlfn.IFNA(IF($F$4,INDEX(index_return!$B$2:$J$103,$I84,MATCH('Index Selection'!$E$4,index_return!$B$1:$J$1,0)),0)*$G$4,0)</f>
        <v>-2.6972259727436644E-2</v>
      </c>
      <c r="L84" s="50" cm="1">
        <f t="array" ref="L84">_xlfn.IFNA(IF($F$5,INDEX(index_return!$B$2:$J$103,$I84,MATCH('Index Selection'!$E$5,index_return!$B$1:$J$1,0)),0)*$G$5,0)</f>
        <v>0</v>
      </c>
      <c r="M84" s="50" cm="1">
        <f t="array" ref="M84">_xlfn.IFNA(IF($F$6,INDEX(index_return!$B$2:$J$103,$I84,MATCH('Index Selection'!$E$6,index_return!$B$1:$J$1,0)),0)*$G$6,0)</f>
        <v>0</v>
      </c>
      <c r="N84" s="50" cm="1">
        <f t="array" ref="N84">_xlfn.IFNA(IF($F$7,INDEX(index_return!$B$2:$J$103,$I84,MATCH('Index Selection'!$E$7,index_return!$B$1:$J$1,0)),0)*$G$7,0)</f>
        <v>0</v>
      </c>
      <c r="O84" s="50" cm="1">
        <f t="array" ref="O84">_xlfn.IFNA(IF($F$8,INDEX(index_return!$B$2:$J$103,$I84,MATCH('Index Selection'!$E$8,index_return!$B$1:$J$1,0)),0)*$G$8,0)</f>
        <v>0</v>
      </c>
      <c r="P84" s="50" cm="1">
        <f t="array" ref="P84">_xlfn.IFNA(IF($F$9,INDEX(index_return!$B$2:$J$103,$I84,MATCH('Index Selection'!$E$9,index_return!$B$1:$J$1,0)),0)*$G$9,0)</f>
        <v>0</v>
      </c>
      <c r="Q84" s="50" cm="1">
        <f t="array" ref="Q84">_xlfn.IFNA(IF($F$10,INDEX(index_return!$B$2:$J$103,$I84,MATCH('Index Selection'!$E$10,index_return!$B$1:$J$1,0)),0)*$G$10,0)</f>
        <v>0</v>
      </c>
      <c r="R84" s="50" cm="1">
        <f t="array" ref="R84">_xlfn.IFNA(IF($F$11,INDEX(index_return!$B$2:$J$103,$I84,MATCH('Index Selection'!$E$11,index_return!$B$1:$J$1,0)),0)*$G$11,0)</f>
        <v>0</v>
      </c>
      <c r="S84" s="52">
        <f t="shared" si="2"/>
        <v>-6.7901226227793016E-2</v>
      </c>
    </row>
    <row r="85" spans="9:19" ht="15" thickBot="1">
      <c r="I85" s="21">
        <v>83</v>
      </c>
      <c r="J85" s="50" cm="1">
        <f t="array" ref="J85">_xlfn.IFNA(IF($F$3,INDEX(index_return!$B$2:$J$103,$I85,MATCH('Index Selection'!$E$3,index_return!$B$1:$J$1,0)),0)*$G$3,0)</f>
        <v>0.11163523945529505</v>
      </c>
      <c r="K85" s="50" cm="1">
        <f t="array" ref="K85">_xlfn.IFNA(IF($F$4,INDEX(index_return!$B$2:$J$103,$I85,MATCH('Index Selection'!$E$4,index_return!$B$1:$J$1,0)),0)*$G$4,0)</f>
        <v>0.13439153256183842</v>
      </c>
      <c r="L85" s="50" cm="1">
        <f t="array" ref="L85">_xlfn.IFNA(IF($F$5,INDEX(index_return!$B$2:$J$103,$I85,MATCH('Index Selection'!$E$5,index_return!$B$1:$J$1,0)),0)*$G$5,0)</f>
        <v>0</v>
      </c>
      <c r="M85" s="50" cm="1">
        <f t="array" ref="M85">_xlfn.IFNA(IF($F$6,INDEX(index_return!$B$2:$J$103,$I85,MATCH('Index Selection'!$E$6,index_return!$B$1:$J$1,0)),0)*$G$6,0)</f>
        <v>0</v>
      </c>
      <c r="N85" s="50" cm="1">
        <f t="array" ref="N85">_xlfn.IFNA(IF($F$7,INDEX(index_return!$B$2:$J$103,$I85,MATCH('Index Selection'!$E$7,index_return!$B$1:$J$1,0)),0)*$G$7,0)</f>
        <v>0</v>
      </c>
      <c r="O85" s="50" cm="1">
        <f t="array" ref="O85">_xlfn.IFNA(IF($F$8,INDEX(index_return!$B$2:$J$103,$I85,MATCH('Index Selection'!$E$8,index_return!$B$1:$J$1,0)),0)*$G$8,0)</f>
        <v>0</v>
      </c>
      <c r="P85" s="50" cm="1">
        <f t="array" ref="P85">_xlfn.IFNA(IF($F$9,INDEX(index_return!$B$2:$J$103,$I85,MATCH('Index Selection'!$E$9,index_return!$B$1:$J$1,0)),0)*$G$9,0)</f>
        <v>0</v>
      </c>
      <c r="Q85" s="50" cm="1">
        <f t="array" ref="Q85">_xlfn.IFNA(IF($F$10,INDEX(index_return!$B$2:$J$103,$I85,MATCH('Index Selection'!$E$10,index_return!$B$1:$J$1,0)),0)*$G$10,0)</f>
        <v>0</v>
      </c>
      <c r="R85" s="50" cm="1">
        <f t="array" ref="R85">_xlfn.IFNA(IF($F$11,INDEX(index_return!$B$2:$J$103,$I85,MATCH('Index Selection'!$E$11,index_return!$B$1:$J$1,0)),0)*$G$11,0)</f>
        <v>0</v>
      </c>
      <c r="S85" s="52">
        <f t="shared" si="2"/>
        <v>0.24602677201713347</v>
      </c>
    </row>
    <row r="86" spans="9:19" ht="15" thickBot="1">
      <c r="I86" s="21">
        <v>84</v>
      </c>
      <c r="J86" s="50" cm="1">
        <f t="array" ref="J86">_xlfn.IFNA(IF($F$3,INDEX(index_return!$B$2:$J$103,$I86,MATCH('Index Selection'!$E$3,index_return!$B$1:$J$1,0)),0)*$G$3,0)</f>
        <v>7.4078582367199858E-2</v>
      </c>
      <c r="K86" s="50" cm="1">
        <f t="array" ref="K86">_xlfn.IFNA(IF($F$4,INDEX(index_return!$B$2:$J$103,$I86,MATCH('Index Selection'!$E$4,index_return!$B$1:$J$1,0)),0)*$G$4,0)</f>
        <v>0.142966342119874</v>
      </c>
      <c r="L86" s="50" cm="1">
        <f t="array" ref="L86">_xlfn.IFNA(IF($F$5,INDEX(index_return!$B$2:$J$103,$I86,MATCH('Index Selection'!$E$5,index_return!$B$1:$J$1,0)),0)*$G$5,0)</f>
        <v>0</v>
      </c>
      <c r="M86" s="50" cm="1">
        <f t="array" ref="M86">_xlfn.IFNA(IF($F$6,INDEX(index_return!$B$2:$J$103,$I86,MATCH('Index Selection'!$E$6,index_return!$B$1:$J$1,0)),0)*$G$6,0)</f>
        <v>0</v>
      </c>
      <c r="N86" s="50" cm="1">
        <f t="array" ref="N86">_xlfn.IFNA(IF($F$7,INDEX(index_return!$B$2:$J$103,$I86,MATCH('Index Selection'!$E$7,index_return!$B$1:$J$1,0)),0)*$G$7,0)</f>
        <v>0</v>
      </c>
      <c r="O86" s="50" cm="1">
        <f t="array" ref="O86">_xlfn.IFNA(IF($F$8,INDEX(index_return!$B$2:$J$103,$I86,MATCH('Index Selection'!$E$8,index_return!$B$1:$J$1,0)),0)*$G$8,0)</f>
        <v>0</v>
      </c>
      <c r="P86" s="50" cm="1">
        <f t="array" ref="P86">_xlfn.IFNA(IF($F$9,INDEX(index_return!$B$2:$J$103,$I86,MATCH('Index Selection'!$E$9,index_return!$B$1:$J$1,0)),0)*$G$9,0)</f>
        <v>0</v>
      </c>
      <c r="Q86" s="50" cm="1">
        <f t="array" ref="Q86">_xlfn.IFNA(IF($F$10,INDEX(index_return!$B$2:$J$103,$I86,MATCH('Index Selection'!$E$10,index_return!$B$1:$J$1,0)),0)*$G$10,0)</f>
        <v>0</v>
      </c>
      <c r="R86" s="50" cm="1">
        <f t="array" ref="R86">_xlfn.IFNA(IF($F$11,INDEX(index_return!$B$2:$J$103,$I86,MATCH('Index Selection'!$E$11,index_return!$B$1:$J$1,0)),0)*$G$11,0)</f>
        <v>0</v>
      </c>
      <c r="S86" s="52">
        <f t="shared" si="2"/>
        <v>0.21704492448707385</v>
      </c>
    </row>
    <row r="87" spans="9:19" ht="15" thickBot="1">
      <c r="I87" s="21">
        <v>85</v>
      </c>
      <c r="J87" s="50" cm="1">
        <f t="array" ref="J87">_xlfn.IFNA(IF($F$3,INDEX(index_return!$B$2:$J$103,$I87,MATCH('Index Selection'!$E$3,index_return!$B$1:$J$1,0)),0)*$G$3,0)</f>
        <v>1.301848493994031E-2</v>
      </c>
      <c r="K87" s="50" cm="1">
        <f t="array" ref="K87">_xlfn.IFNA(IF($F$4,INDEX(index_return!$B$2:$J$103,$I87,MATCH('Index Selection'!$E$4,index_return!$B$1:$J$1,0)),0)*$G$4,0)</f>
        <v>1.7733802843017565E-2</v>
      </c>
      <c r="L87" s="50" cm="1">
        <f t="array" ref="L87">_xlfn.IFNA(IF($F$5,INDEX(index_return!$B$2:$J$103,$I87,MATCH('Index Selection'!$E$5,index_return!$B$1:$J$1,0)),0)*$G$5,0)</f>
        <v>0</v>
      </c>
      <c r="M87" s="50" cm="1">
        <f t="array" ref="M87">_xlfn.IFNA(IF($F$6,INDEX(index_return!$B$2:$J$103,$I87,MATCH('Index Selection'!$E$6,index_return!$B$1:$J$1,0)),0)*$G$6,0)</f>
        <v>0</v>
      </c>
      <c r="N87" s="50" cm="1">
        <f t="array" ref="N87">_xlfn.IFNA(IF($F$7,INDEX(index_return!$B$2:$J$103,$I87,MATCH('Index Selection'!$E$7,index_return!$B$1:$J$1,0)),0)*$G$7,0)</f>
        <v>0</v>
      </c>
      <c r="O87" s="50" cm="1">
        <f t="array" ref="O87">_xlfn.IFNA(IF($F$8,INDEX(index_return!$B$2:$J$103,$I87,MATCH('Index Selection'!$E$8,index_return!$B$1:$J$1,0)),0)*$G$8,0)</f>
        <v>0</v>
      </c>
      <c r="P87" s="50" cm="1">
        <f t="array" ref="P87">_xlfn.IFNA(IF($F$9,INDEX(index_return!$B$2:$J$103,$I87,MATCH('Index Selection'!$E$9,index_return!$B$1:$J$1,0)),0)*$G$9,0)</f>
        <v>0</v>
      </c>
      <c r="Q87" s="50" cm="1">
        <f t="array" ref="Q87">_xlfn.IFNA(IF($F$10,INDEX(index_return!$B$2:$J$103,$I87,MATCH('Index Selection'!$E$10,index_return!$B$1:$J$1,0)),0)*$G$10,0)</f>
        <v>0</v>
      </c>
      <c r="R87" s="50" cm="1">
        <f t="array" ref="R87">_xlfn.IFNA(IF($F$11,INDEX(index_return!$B$2:$J$103,$I87,MATCH('Index Selection'!$E$11,index_return!$B$1:$J$1,0)),0)*$G$11,0)</f>
        <v>0</v>
      </c>
      <c r="S87" s="52">
        <f t="shared" si="2"/>
        <v>3.0752287782957875E-2</v>
      </c>
    </row>
    <row r="88" spans="9:19" ht="15" thickBot="1">
      <c r="I88" s="21">
        <v>86</v>
      </c>
      <c r="J88" s="50" cm="1">
        <f t="array" ref="J88">_xlfn.IFNA(IF($F$3,INDEX(index_return!$B$2:$J$103,$I88,MATCH('Index Selection'!$E$3,index_return!$B$1:$J$1,0)),0)*$G$3,0)</f>
        <v>3.0477750254006113E-2</v>
      </c>
      <c r="K88" s="50" cm="1">
        <f t="array" ref="K88">_xlfn.IFNA(IF($F$4,INDEX(index_return!$B$2:$J$103,$I88,MATCH('Index Selection'!$E$4,index_return!$B$1:$J$1,0)),0)*$G$4,0)</f>
        <v>9.6110924105125201E-2</v>
      </c>
      <c r="L88" s="50" cm="1">
        <f t="array" ref="L88">_xlfn.IFNA(IF($F$5,INDEX(index_return!$B$2:$J$103,$I88,MATCH('Index Selection'!$E$5,index_return!$B$1:$J$1,0)),0)*$G$5,0)</f>
        <v>0</v>
      </c>
      <c r="M88" s="50" cm="1">
        <f t="array" ref="M88">_xlfn.IFNA(IF($F$6,INDEX(index_return!$B$2:$J$103,$I88,MATCH('Index Selection'!$E$6,index_return!$B$1:$J$1,0)),0)*$G$6,0)</f>
        <v>0</v>
      </c>
      <c r="N88" s="50" cm="1">
        <f t="array" ref="N88">_xlfn.IFNA(IF($F$7,INDEX(index_return!$B$2:$J$103,$I88,MATCH('Index Selection'!$E$7,index_return!$B$1:$J$1,0)),0)*$G$7,0)</f>
        <v>0</v>
      </c>
      <c r="O88" s="50" cm="1">
        <f t="array" ref="O88">_xlfn.IFNA(IF($F$8,INDEX(index_return!$B$2:$J$103,$I88,MATCH('Index Selection'!$E$8,index_return!$B$1:$J$1,0)),0)*$G$8,0)</f>
        <v>0</v>
      </c>
      <c r="P88" s="50" cm="1">
        <f t="array" ref="P88">_xlfn.IFNA(IF($F$9,INDEX(index_return!$B$2:$J$103,$I88,MATCH('Index Selection'!$E$9,index_return!$B$1:$J$1,0)),0)*$G$9,0)</f>
        <v>0</v>
      </c>
      <c r="Q88" s="50" cm="1">
        <f t="array" ref="Q88">_xlfn.IFNA(IF($F$10,INDEX(index_return!$B$2:$J$103,$I88,MATCH('Index Selection'!$E$10,index_return!$B$1:$J$1,0)),0)*$G$10,0)</f>
        <v>0</v>
      </c>
      <c r="R88" s="50" cm="1">
        <f t="array" ref="R88">_xlfn.IFNA(IF($F$11,INDEX(index_return!$B$2:$J$103,$I88,MATCH('Index Selection'!$E$11,index_return!$B$1:$J$1,0)),0)*$G$11,0)</f>
        <v>0</v>
      </c>
      <c r="S88" s="52">
        <f t="shared" si="2"/>
        <v>0.12658867435913132</v>
      </c>
    </row>
    <row r="89" spans="9:19" ht="15" thickBot="1">
      <c r="I89" s="21">
        <v>87</v>
      </c>
      <c r="J89" s="50" cm="1">
        <f t="array" ref="J89">_xlfn.IFNA(IF($F$3,INDEX(index_return!$B$2:$J$103,$I89,MATCH('Index Selection'!$E$3,index_return!$B$1:$J$1,0)),0)*$G$3,0)</f>
        <v>0.15212985252004446</v>
      </c>
      <c r="K89" s="50" cm="1">
        <f t="array" ref="K89">_xlfn.IFNA(IF($F$4,INDEX(index_return!$B$2:$J$103,$I89,MATCH('Index Selection'!$E$4,index_return!$B$1:$J$1,0)),0)*$G$4,0)</f>
        <v>0.29208553022423384</v>
      </c>
      <c r="L89" s="50" cm="1">
        <f t="array" ref="L89">_xlfn.IFNA(IF($F$5,INDEX(index_return!$B$2:$J$103,$I89,MATCH('Index Selection'!$E$5,index_return!$B$1:$J$1,0)),0)*$G$5,0)</f>
        <v>0</v>
      </c>
      <c r="M89" s="50" cm="1">
        <f t="array" ref="M89">_xlfn.IFNA(IF($F$6,INDEX(index_return!$B$2:$J$103,$I89,MATCH('Index Selection'!$E$6,index_return!$B$1:$J$1,0)),0)*$G$6,0)</f>
        <v>0</v>
      </c>
      <c r="N89" s="50" cm="1">
        <f t="array" ref="N89">_xlfn.IFNA(IF($F$7,INDEX(index_return!$B$2:$J$103,$I89,MATCH('Index Selection'!$E$7,index_return!$B$1:$J$1,0)),0)*$G$7,0)</f>
        <v>0</v>
      </c>
      <c r="O89" s="50" cm="1">
        <f t="array" ref="O89">_xlfn.IFNA(IF($F$8,INDEX(index_return!$B$2:$J$103,$I89,MATCH('Index Selection'!$E$8,index_return!$B$1:$J$1,0)),0)*$G$8,0)</f>
        <v>0</v>
      </c>
      <c r="P89" s="50" cm="1">
        <f t="array" ref="P89">_xlfn.IFNA(IF($F$9,INDEX(index_return!$B$2:$J$103,$I89,MATCH('Index Selection'!$E$9,index_return!$B$1:$J$1,0)),0)*$G$9,0)</f>
        <v>0</v>
      </c>
      <c r="Q89" s="50" cm="1">
        <f t="array" ref="Q89">_xlfn.IFNA(IF($F$10,INDEX(index_return!$B$2:$J$103,$I89,MATCH('Index Selection'!$E$10,index_return!$B$1:$J$1,0)),0)*$G$10,0)</f>
        <v>0</v>
      </c>
      <c r="R89" s="50" cm="1">
        <f t="array" ref="R89">_xlfn.IFNA(IF($F$11,INDEX(index_return!$B$2:$J$103,$I89,MATCH('Index Selection'!$E$11,index_return!$B$1:$J$1,0)),0)*$G$11,0)</f>
        <v>0</v>
      </c>
      <c r="S89" s="52">
        <f t="shared" si="2"/>
        <v>0.4442153827442783</v>
      </c>
    </row>
    <row r="90" spans="9:19" ht="15" thickBot="1">
      <c r="I90" s="21">
        <v>88</v>
      </c>
      <c r="J90" s="50" cm="1">
        <f t="array" ref="J90">_xlfn.IFNA(IF($F$3,INDEX(index_return!$B$2:$J$103,$I90,MATCH('Index Selection'!$E$3,index_return!$B$1:$J$1,0)),0)*$G$3,0)</f>
        <v>-0.32777110880714977</v>
      </c>
      <c r="K90" s="50" cm="1">
        <f t="array" ref="K90">_xlfn.IFNA(IF($F$4,INDEX(index_return!$B$2:$J$103,$I90,MATCH('Index Selection'!$E$4,index_return!$B$1:$J$1,0)),0)*$G$4,0)</f>
        <v>-0.4123091239157286</v>
      </c>
      <c r="L90" s="50" cm="1">
        <f t="array" ref="L90">_xlfn.IFNA(IF($F$5,INDEX(index_return!$B$2:$J$103,$I90,MATCH('Index Selection'!$E$5,index_return!$B$1:$J$1,0)),0)*$G$5,0)</f>
        <v>0</v>
      </c>
      <c r="M90" s="50" cm="1">
        <f t="array" ref="M90">_xlfn.IFNA(IF($F$6,INDEX(index_return!$B$2:$J$103,$I90,MATCH('Index Selection'!$E$6,index_return!$B$1:$J$1,0)),0)*$G$6,0)</f>
        <v>0</v>
      </c>
      <c r="N90" s="50" cm="1">
        <f t="array" ref="N90">_xlfn.IFNA(IF($F$7,INDEX(index_return!$B$2:$J$103,$I90,MATCH('Index Selection'!$E$7,index_return!$B$1:$J$1,0)),0)*$G$7,0)</f>
        <v>0</v>
      </c>
      <c r="O90" s="50" cm="1">
        <f t="array" ref="O90">_xlfn.IFNA(IF($F$8,INDEX(index_return!$B$2:$J$103,$I90,MATCH('Index Selection'!$E$8,index_return!$B$1:$J$1,0)),0)*$G$8,0)</f>
        <v>0</v>
      </c>
      <c r="P90" s="50" cm="1">
        <f t="array" ref="P90">_xlfn.IFNA(IF($F$9,INDEX(index_return!$B$2:$J$103,$I90,MATCH('Index Selection'!$E$9,index_return!$B$1:$J$1,0)),0)*$G$9,0)</f>
        <v>0</v>
      </c>
      <c r="Q90" s="50" cm="1">
        <f t="array" ref="Q90">_xlfn.IFNA(IF($F$10,INDEX(index_return!$B$2:$J$103,$I90,MATCH('Index Selection'!$E$10,index_return!$B$1:$J$1,0)),0)*$G$10,0)</f>
        <v>0</v>
      </c>
      <c r="R90" s="50" cm="1">
        <f t="array" ref="R90">_xlfn.IFNA(IF($F$11,INDEX(index_return!$B$2:$J$103,$I90,MATCH('Index Selection'!$E$11,index_return!$B$1:$J$1,0)),0)*$G$11,0)</f>
        <v>0</v>
      </c>
      <c r="S90" s="52">
        <f t="shared" si="2"/>
        <v>-0.74008023272287837</v>
      </c>
    </row>
    <row r="91" spans="9:19" ht="15" thickBot="1">
      <c r="I91" s="21">
        <v>89</v>
      </c>
      <c r="J91" s="50" cm="1">
        <f t="array" ref="J91">_xlfn.IFNA(IF($F$3,INDEX(index_return!$B$2:$J$103,$I91,MATCH('Index Selection'!$E$3,index_return!$B$1:$J$1,0)),0)*$G$3,0)</f>
        <v>1.4488963337035237E-2</v>
      </c>
      <c r="K91" s="50" cm="1">
        <f t="array" ref="K91">_xlfn.IFNA(IF($F$4,INDEX(index_return!$B$2:$J$103,$I91,MATCH('Index Selection'!$E$4,index_return!$B$1:$J$1,0)),0)*$G$4,0)</f>
        <v>5.7871388044489262E-2</v>
      </c>
      <c r="L91" s="50" cm="1">
        <f t="array" ref="L91">_xlfn.IFNA(IF($F$5,INDEX(index_return!$B$2:$J$103,$I91,MATCH('Index Selection'!$E$5,index_return!$B$1:$J$1,0)),0)*$G$5,0)</f>
        <v>0</v>
      </c>
      <c r="M91" s="50" cm="1">
        <f t="array" ref="M91">_xlfn.IFNA(IF($F$6,INDEX(index_return!$B$2:$J$103,$I91,MATCH('Index Selection'!$E$6,index_return!$B$1:$J$1,0)),0)*$G$6,0)</f>
        <v>0</v>
      </c>
      <c r="N91" s="50" cm="1">
        <f t="array" ref="N91">_xlfn.IFNA(IF($F$7,INDEX(index_return!$B$2:$J$103,$I91,MATCH('Index Selection'!$E$7,index_return!$B$1:$J$1,0)),0)*$G$7,0)</f>
        <v>0</v>
      </c>
      <c r="O91" s="50" cm="1">
        <f t="array" ref="O91">_xlfn.IFNA(IF($F$8,INDEX(index_return!$B$2:$J$103,$I91,MATCH('Index Selection'!$E$8,index_return!$B$1:$J$1,0)),0)*$G$8,0)</f>
        <v>0</v>
      </c>
      <c r="P91" s="50" cm="1">
        <f t="array" ref="P91">_xlfn.IFNA(IF($F$9,INDEX(index_return!$B$2:$J$103,$I91,MATCH('Index Selection'!$E$9,index_return!$B$1:$J$1,0)),0)*$G$9,0)</f>
        <v>0</v>
      </c>
      <c r="Q91" s="50" cm="1">
        <f t="array" ref="Q91">_xlfn.IFNA(IF($F$10,INDEX(index_return!$B$2:$J$103,$I91,MATCH('Index Selection'!$E$10,index_return!$B$1:$J$1,0)),0)*$G$10,0)</f>
        <v>0</v>
      </c>
      <c r="R91" s="50" cm="1">
        <f t="array" ref="R91">_xlfn.IFNA(IF($F$11,INDEX(index_return!$B$2:$J$103,$I91,MATCH('Index Selection'!$E$11,index_return!$B$1:$J$1,0)),0)*$G$11,0)</f>
        <v>0</v>
      </c>
      <c r="S91" s="52">
        <f t="shared" si="2"/>
        <v>7.2360351381524496E-2</v>
      </c>
    </row>
    <row r="92" spans="9:19" ht="15" thickBot="1">
      <c r="I92" s="21">
        <v>90</v>
      </c>
      <c r="J92" s="50" cm="1">
        <f t="array" ref="J92">_xlfn.IFNA(IF($F$3,INDEX(index_return!$B$2:$J$103,$I92,MATCH('Index Selection'!$E$3,index_return!$B$1:$J$1,0)),0)*$G$3,0)</f>
        <v>5.4551576543710734E-2</v>
      </c>
      <c r="K92" s="50" cm="1">
        <f t="array" ref="K92">_xlfn.IFNA(IF($F$4,INDEX(index_return!$B$2:$J$103,$I92,MATCH('Index Selection'!$E$4,index_return!$B$1:$J$1,0)),0)*$G$4,0)</f>
        <v>2.2012118425836769E-2</v>
      </c>
      <c r="L92" s="50" cm="1">
        <f t="array" ref="L92">_xlfn.IFNA(IF($F$5,INDEX(index_return!$B$2:$J$103,$I92,MATCH('Index Selection'!$E$5,index_return!$B$1:$J$1,0)),0)*$G$5,0)</f>
        <v>0</v>
      </c>
      <c r="M92" s="50" cm="1">
        <f t="array" ref="M92">_xlfn.IFNA(IF($F$6,INDEX(index_return!$B$2:$J$103,$I92,MATCH('Index Selection'!$E$6,index_return!$B$1:$J$1,0)),0)*$G$6,0)</f>
        <v>0</v>
      </c>
      <c r="N92" s="50" cm="1">
        <f t="array" ref="N92">_xlfn.IFNA(IF($F$7,INDEX(index_return!$B$2:$J$103,$I92,MATCH('Index Selection'!$E$7,index_return!$B$1:$J$1,0)),0)*$G$7,0)</f>
        <v>0</v>
      </c>
      <c r="O92" s="50" cm="1">
        <f t="array" ref="O92">_xlfn.IFNA(IF($F$8,INDEX(index_return!$B$2:$J$103,$I92,MATCH('Index Selection'!$E$8,index_return!$B$1:$J$1,0)),0)*$G$8,0)</f>
        <v>0</v>
      </c>
      <c r="P92" s="50" cm="1">
        <f t="array" ref="P92">_xlfn.IFNA(IF($F$9,INDEX(index_return!$B$2:$J$103,$I92,MATCH('Index Selection'!$E$9,index_return!$B$1:$J$1,0)),0)*$G$9,0)</f>
        <v>0</v>
      </c>
      <c r="Q92" s="50" cm="1">
        <f t="array" ref="Q92">_xlfn.IFNA(IF($F$10,INDEX(index_return!$B$2:$J$103,$I92,MATCH('Index Selection'!$E$10,index_return!$B$1:$J$1,0)),0)*$G$10,0)</f>
        <v>0</v>
      </c>
      <c r="R92" s="50" cm="1">
        <f t="array" ref="R92">_xlfn.IFNA(IF($F$11,INDEX(index_return!$B$2:$J$103,$I92,MATCH('Index Selection'!$E$11,index_return!$B$1:$J$1,0)),0)*$G$11,0)</f>
        <v>0</v>
      </c>
      <c r="S92" s="52">
        <f t="shared" si="2"/>
        <v>7.6563694969547499E-2</v>
      </c>
    </row>
    <row r="93" spans="9:19" ht="15" thickBot="1">
      <c r="I93" s="21">
        <v>91</v>
      </c>
      <c r="J93" s="50" cm="1">
        <f t="array" ref="J93">_xlfn.IFNA(IF($F$3,INDEX(index_return!$B$2:$J$103,$I93,MATCH('Index Selection'!$E$3,index_return!$B$1:$J$1,0)),0)*$G$3,0)</f>
        <v>0.11380947946383935</v>
      </c>
      <c r="K93" s="50" cm="1">
        <f t="array" ref="K93">_xlfn.IFNA(IF($F$4,INDEX(index_return!$B$2:$J$103,$I93,MATCH('Index Selection'!$E$4,index_return!$B$1:$J$1,0)),0)*$G$4,0)</f>
        <v>0.17482052609892679</v>
      </c>
      <c r="L93" s="50" cm="1">
        <f t="array" ref="L93">_xlfn.IFNA(IF($F$5,INDEX(index_return!$B$2:$J$103,$I93,MATCH('Index Selection'!$E$5,index_return!$B$1:$J$1,0)),0)*$G$5,0)</f>
        <v>0</v>
      </c>
      <c r="M93" s="50" cm="1">
        <f t="array" ref="M93">_xlfn.IFNA(IF($F$6,INDEX(index_return!$B$2:$J$103,$I93,MATCH('Index Selection'!$E$6,index_return!$B$1:$J$1,0)),0)*$G$6,0)</f>
        <v>0</v>
      </c>
      <c r="N93" s="50" cm="1">
        <f t="array" ref="N93">_xlfn.IFNA(IF($F$7,INDEX(index_return!$B$2:$J$103,$I93,MATCH('Index Selection'!$E$7,index_return!$B$1:$J$1,0)),0)*$G$7,0)</f>
        <v>0</v>
      </c>
      <c r="O93" s="50" cm="1">
        <f t="array" ref="O93">_xlfn.IFNA(IF($F$8,INDEX(index_return!$B$2:$J$103,$I93,MATCH('Index Selection'!$E$8,index_return!$B$1:$J$1,0)),0)*$G$8,0)</f>
        <v>0</v>
      </c>
      <c r="P93" s="50" cm="1">
        <f t="array" ref="P93">_xlfn.IFNA(IF($F$9,INDEX(index_return!$B$2:$J$103,$I93,MATCH('Index Selection'!$E$9,index_return!$B$1:$J$1,0)),0)*$G$9,0)</f>
        <v>0</v>
      </c>
      <c r="Q93" s="50" cm="1">
        <f t="array" ref="Q93">_xlfn.IFNA(IF($F$10,INDEX(index_return!$B$2:$J$103,$I93,MATCH('Index Selection'!$E$10,index_return!$B$1:$J$1,0)),0)*$G$10,0)</f>
        <v>0</v>
      </c>
      <c r="R93" s="50" cm="1">
        <f t="array" ref="R93">_xlfn.IFNA(IF($F$11,INDEX(index_return!$B$2:$J$103,$I93,MATCH('Index Selection'!$E$11,index_return!$B$1:$J$1,0)),0)*$G$11,0)</f>
        <v>0</v>
      </c>
      <c r="S93" s="52">
        <f t="shared" si="2"/>
        <v>0.28863000556276613</v>
      </c>
    </row>
    <row r="94" spans="9:19" ht="15" thickBot="1">
      <c r="I94" s="21">
        <v>92</v>
      </c>
      <c r="J94" s="50" cm="1">
        <f t="array" ref="J94">_xlfn.IFNA(IF($F$3,INDEX(index_return!$B$2:$J$103,$I94,MATCH('Index Selection'!$E$3,index_return!$B$1:$J$1,0)),0)*$G$3,0)</f>
        <v>6.5893155357102676E-2</v>
      </c>
      <c r="K94" s="50" cm="1">
        <f t="array" ref="K94">_xlfn.IFNA(IF($F$4,INDEX(index_return!$B$2:$J$103,$I94,MATCH('Index Selection'!$E$4,index_return!$B$1:$J$1,0)),0)*$G$4,0)</f>
        <v>0.10072370935014653</v>
      </c>
      <c r="L94" s="50" cm="1">
        <f t="array" ref="L94">_xlfn.IFNA(IF($F$5,INDEX(index_return!$B$2:$J$103,$I94,MATCH('Index Selection'!$E$5,index_return!$B$1:$J$1,0)),0)*$G$5,0)</f>
        <v>0</v>
      </c>
      <c r="M94" s="50" cm="1">
        <f t="array" ref="M94">_xlfn.IFNA(IF($F$6,INDEX(index_return!$B$2:$J$103,$I94,MATCH('Index Selection'!$E$6,index_return!$B$1:$J$1,0)),0)*$G$6,0)</f>
        <v>0</v>
      </c>
      <c r="N94" s="50" cm="1">
        <f t="array" ref="N94">_xlfn.IFNA(IF($F$7,INDEX(index_return!$B$2:$J$103,$I94,MATCH('Index Selection'!$E$7,index_return!$B$1:$J$1,0)),0)*$G$7,0)</f>
        <v>0</v>
      </c>
      <c r="O94" s="50" cm="1">
        <f t="array" ref="O94">_xlfn.IFNA(IF($F$8,INDEX(index_return!$B$2:$J$103,$I94,MATCH('Index Selection'!$E$8,index_return!$B$1:$J$1,0)),0)*$G$8,0)</f>
        <v>0</v>
      </c>
      <c r="P94" s="50" cm="1">
        <f t="array" ref="P94">_xlfn.IFNA(IF($F$9,INDEX(index_return!$B$2:$J$103,$I94,MATCH('Index Selection'!$E$9,index_return!$B$1:$J$1,0)),0)*$G$9,0)</f>
        <v>0</v>
      </c>
      <c r="Q94" s="50" cm="1">
        <f t="array" ref="Q94">_xlfn.IFNA(IF($F$10,INDEX(index_return!$B$2:$J$103,$I94,MATCH('Index Selection'!$E$10,index_return!$B$1:$J$1,0)),0)*$G$10,0)</f>
        <v>0</v>
      </c>
      <c r="R94" s="50" cm="1">
        <f t="array" ref="R94">_xlfn.IFNA(IF($F$11,INDEX(index_return!$B$2:$J$103,$I94,MATCH('Index Selection'!$E$11,index_return!$B$1:$J$1,0)),0)*$G$11,0)</f>
        <v>0</v>
      </c>
      <c r="S94" s="52">
        <f t="shared" si="2"/>
        <v>0.16661686470724921</v>
      </c>
    </row>
    <row r="95" spans="9:19" ht="15" thickBot="1">
      <c r="I95" s="21">
        <v>93</v>
      </c>
      <c r="J95" s="50" cm="1">
        <f t="array" ref="J95">_xlfn.IFNA(IF($F$3,INDEX(index_return!$B$2:$J$103,$I95,MATCH('Index Selection'!$E$3,index_return!$B$1:$J$1,0)),0)*$G$3,0)</f>
        <v>-4.0928966500356365E-2</v>
      </c>
      <c r="K95" s="50" cm="1">
        <f t="array" ref="K95">_xlfn.IFNA(IF($F$4,INDEX(index_return!$B$2:$J$103,$I95,MATCH('Index Selection'!$E$4,index_return!$B$1:$J$1,0)),0)*$G$4,0)</f>
        <v>-2.6972259727436644E-2</v>
      </c>
      <c r="L95" s="50" cm="1">
        <f t="array" ref="L95">_xlfn.IFNA(IF($F$5,INDEX(index_return!$B$2:$J$103,$I95,MATCH('Index Selection'!$E$5,index_return!$B$1:$J$1,0)),0)*$G$5,0)</f>
        <v>0</v>
      </c>
      <c r="M95" s="50" cm="1">
        <f t="array" ref="M95">_xlfn.IFNA(IF($F$6,INDEX(index_return!$B$2:$J$103,$I95,MATCH('Index Selection'!$E$6,index_return!$B$1:$J$1,0)),0)*$G$6,0)</f>
        <v>0</v>
      </c>
      <c r="N95" s="50" cm="1">
        <f t="array" ref="N95">_xlfn.IFNA(IF($F$7,INDEX(index_return!$B$2:$J$103,$I95,MATCH('Index Selection'!$E$7,index_return!$B$1:$J$1,0)),0)*$G$7,0)</f>
        <v>0</v>
      </c>
      <c r="O95" s="50" cm="1">
        <f t="array" ref="O95">_xlfn.IFNA(IF($F$8,INDEX(index_return!$B$2:$J$103,$I95,MATCH('Index Selection'!$E$8,index_return!$B$1:$J$1,0)),0)*$G$8,0)</f>
        <v>0</v>
      </c>
      <c r="P95" s="50" cm="1">
        <f t="array" ref="P95">_xlfn.IFNA(IF($F$9,INDEX(index_return!$B$2:$J$103,$I95,MATCH('Index Selection'!$E$9,index_return!$B$1:$J$1,0)),0)*$G$9,0)</f>
        <v>0</v>
      </c>
      <c r="Q95" s="50" cm="1">
        <f t="array" ref="Q95">_xlfn.IFNA(IF($F$10,INDEX(index_return!$B$2:$J$103,$I95,MATCH('Index Selection'!$E$10,index_return!$B$1:$J$1,0)),0)*$G$10,0)</f>
        <v>0</v>
      </c>
      <c r="R95" s="50" cm="1">
        <f t="array" ref="R95">_xlfn.IFNA(IF($F$11,INDEX(index_return!$B$2:$J$103,$I95,MATCH('Index Selection'!$E$11,index_return!$B$1:$J$1,0)),0)*$G$11,0)</f>
        <v>0</v>
      </c>
      <c r="S95" s="52">
        <f t="shared" si="2"/>
        <v>-6.7901226227793016E-2</v>
      </c>
    </row>
    <row r="96" spans="9:19" ht="15" thickBot="1">
      <c r="I96" s="21">
        <v>94</v>
      </c>
      <c r="J96" s="50" cm="1">
        <f t="array" ref="J96">_xlfn.IFNA(IF($F$3,INDEX(index_return!$B$2:$J$103,$I96,MATCH('Index Selection'!$E$3,index_return!$B$1:$J$1,0)),0)*$G$3,0)</f>
        <v>0.11163523945529505</v>
      </c>
      <c r="K96" s="50" cm="1">
        <f t="array" ref="K96">_xlfn.IFNA(IF($F$4,INDEX(index_return!$B$2:$J$103,$I96,MATCH('Index Selection'!$E$4,index_return!$B$1:$J$1,0)),0)*$G$4,0)</f>
        <v>0.13439153256183842</v>
      </c>
      <c r="L96" s="50" cm="1">
        <f t="array" ref="L96">_xlfn.IFNA(IF($F$5,INDEX(index_return!$B$2:$J$103,$I96,MATCH('Index Selection'!$E$5,index_return!$B$1:$J$1,0)),0)*$G$5,0)</f>
        <v>0</v>
      </c>
      <c r="M96" s="50" cm="1">
        <f t="array" ref="M96">_xlfn.IFNA(IF($F$6,INDEX(index_return!$B$2:$J$103,$I96,MATCH('Index Selection'!$E$6,index_return!$B$1:$J$1,0)),0)*$G$6,0)</f>
        <v>0</v>
      </c>
      <c r="N96" s="50" cm="1">
        <f t="array" ref="N96">_xlfn.IFNA(IF($F$7,INDEX(index_return!$B$2:$J$103,$I96,MATCH('Index Selection'!$E$7,index_return!$B$1:$J$1,0)),0)*$G$7,0)</f>
        <v>0</v>
      </c>
      <c r="O96" s="50" cm="1">
        <f t="array" ref="O96">_xlfn.IFNA(IF($F$8,INDEX(index_return!$B$2:$J$103,$I96,MATCH('Index Selection'!$E$8,index_return!$B$1:$J$1,0)),0)*$G$8,0)</f>
        <v>0</v>
      </c>
      <c r="P96" s="50" cm="1">
        <f t="array" ref="P96">_xlfn.IFNA(IF($F$9,INDEX(index_return!$B$2:$J$103,$I96,MATCH('Index Selection'!$E$9,index_return!$B$1:$J$1,0)),0)*$G$9,0)</f>
        <v>0</v>
      </c>
      <c r="Q96" s="50" cm="1">
        <f t="array" ref="Q96">_xlfn.IFNA(IF($F$10,INDEX(index_return!$B$2:$J$103,$I96,MATCH('Index Selection'!$E$10,index_return!$B$1:$J$1,0)),0)*$G$10,0)</f>
        <v>0</v>
      </c>
      <c r="R96" s="50" cm="1">
        <f t="array" ref="R96">_xlfn.IFNA(IF($F$11,INDEX(index_return!$B$2:$J$103,$I96,MATCH('Index Selection'!$E$11,index_return!$B$1:$J$1,0)),0)*$G$11,0)</f>
        <v>0</v>
      </c>
      <c r="S96" s="52">
        <f t="shared" si="2"/>
        <v>0.24602677201713347</v>
      </c>
    </row>
    <row r="97" spans="9:19" ht="15" thickBot="1">
      <c r="I97" s="21">
        <v>95</v>
      </c>
      <c r="J97" s="50" cm="1">
        <f t="array" ref="J97">_xlfn.IFNA(IF($F$3,INDEX(index_return!$B$2:$J$103,$I97,MATCH('Index Selection'!$E$3,index_return!$B$1:$J$1,0)),0)*$G$3,0)</f>
        <v>7.4078582367199858E-2</v>
      </c>
      <c r="K97" s="50" cm="1">
        <f t="array" ref="K97">_xlfn.IFNA(IF($F$4,INDEX(index_return!$B$2:$J$103,$I97,MATCH('Index Selection'!$E$4,index_return!$B$1:$J$1,0)),0)*$G$4,0)</f>
        <v>0.142966342119874</v>
      </c>
      <c r="L97" s="50" cm="1">
        <f t="array" ref="L97">_xlfn.IFNA(IF($F$5,INDEX(index_return!$B$2:$J$103,$I97,MATCH('Index Selection'!$E$5,index_return!$B$1:$J$1,0)),0)*$G$5,0)</f>
        <v>0</v>
      </c>
      <c r="M97" s="50" cm="1">
        <f t="array" ref="M97">_xlfn.IFNA(IF($F$6,INDEX(index_return!$B$2:$J$103,$I97,MATCH('Index Selection'!$E$6,index_return!$B$1:$J$1,0)),0)*$G$6,0)</f>
        <v>0</v>
      </c>
      <c r="N97" s="50" cm="1">
        <f t="array" ref="N97">_xlfn.IFNA(IF($F$7,INDEX(index_return!$B$2:$J$103,$I97,MATCH('Index Selection'!$E$7,index_return!$B$1:$J$1,0)),0)*$G$7,0)</f>
        <v>0</v>
      </c>
      <c r="O97" s="50" cm="1">
        <f t="array" ref="O97">_xlfn.IFNA(IF($F$8,INDEX(index_return!$B$2:$J$103,$I97,MATCH('Index Selection'!$E$8,index_return!$B$1:$J$1,0)),0)*$G$8,0)</f>
        <v>0</v>
      </c>
      <c r="P97" s="50" cm="1">
        <f t="array" ref="P97">_xlfn.IFNA(IF($F$9,INDEX(index_return!$B$2:$J$103,$I97,MATCH('Index Selection'!$E$9,index_return!$B$1:$J$1,0)),0)*$G$9,0)</f>
        <v>0</v>
      </c>
      <c r="Q97" s="50" cm="1">
        <f t="array" ref="Q97">_xlfn.IFNA(IF($F$10,INDEX(index_return!$B$2:$J$103,$I97,MATCH('Index Selection'!$E$10,index_return!$B$1:$J$1,0)),0)*$G$10,0)</f>
        <v>0</v>
      </c>
      <c r="R97" s="50" cm="1">
        <f t="array" ref="R97">_xlfn.IFNA(IF($F$11,INDEX(index_return!$B$2:$J$103,$I97,MATCH('Index Selection'!$E$11,index_return!$B$1:$J$1,0)),0)*$G$11,0)</f>
        <v>0</v>
      </c>
      <c r="S97" s="52">
        <f t="shared" si="2"/>
        <v>0.21704492448707385</v>
      </c>
    </row>
    <row r="98" spans="9:19" ht="15" thickBot="1">
      <c r="I98" s="21">
        <v>96</v>
      </c>
      <c r="J98" s="50" cm="1">
        <f t="array" ref="J98">_xlfn.IFNA(IF($F$3,INDEX(index_return!$B$2:$J$103,$I98,MATCH('Index Selection'!$E$3,index_return!$B$1:$J$1,0)),0)*$G$3,0)</f>
        <v>1.301848493994031E-2</v>
      </c>
      <c r="K98" s="50" cm="1">
        <f t="array" ref="K98">_xlfn.IFNA(IF($F$4,INDEX(index_return!$B$2:$J$103,$I98,MATCH('Index Selection'!$E$4,index_return!$B$1:$J$1,0)),0)*$G$4,0)</f>
        <v>1.7733802843017565E-2</v>
      </c>
      <c r="L98" s="50" cm="1">
        <f t="array" ref="L98">_xlfn.IFNA(IF($F$5,INDEX(index_return!$B$2:$J$103,$I98,MATCH('Index Selection'!$E$5,index_return!$B$1:$J$1,0)),0)*$G$5,0)</f>
        <v>0</v>
      </c>
      <c r="M98" s="50" cm="1">
        <f t="array" ref="M98">_xlfn.IFNA(IF($F$6,INDEX(index_return!$B$2:$J$103,$I98,MATCH('Index Selection'!$E$6,index_return!$B$1:$J$1,0)),0)*$G$6,0)</f>
        <v>0</v>
      </c>
      <c r="N98" s="50" cm="1">
        <f t="array" ref="N98">_xlfn.IFNA(IF($F$7,INDEX(index_return!$B$2:$J$103,$I98,MATCH('Index Selection'!$E$7,index_return!$B$1:$J$1,0)),0)*$G$7,0)</f>
        <v>0</v>
      </c>
      <c r="O98" s="50" cm="1">
        <f t="array" ref="O98">_xlfn.IFNA(IF($F$8,INDEX(index_return!$B$2:$J$103,$I98,MATCH('Index Selection'!$E$8,index_return!$B$1:$J$1,0)),0)*$G$8,0)</f>
        <v>0</v>
      </c>
      <c r="P98" s="50" cm="1">
        <f t="array" ref="P98">_xlfn.IFNA(IF($F$9,INDEX(index_return!$B$2:$J$103,$I98,MATCH('Index Selection'!$E$9,index_return!$B$1:$J$1,0)),0)*$G$9,0)</f>
        <v>0</v>
      </c>
      <c r="Q98" s="50" cm="1">
        <f t="array" ref="Q98">_xlfn.IFNA(IF($F$10,INDEX(index_return!$B$2:$J$103,$I98,MATCH('Index Selection'!$E$10,index_return!$B$1:$J$1,0)),0)*$G$10,0)</f>
        <v>0</v>
      </c>
      <c r="R98" s="50" cm="1">
        <f t="array" ref="R98">_xlfn.IFNA(IF($F$11,INDEX(index_return!$B$2:$J$103,$I98,MATCH('Index Selection'!$E$11,index_return!$B$1:$J$1,0)),0)*$G$11,0)</f>
        <v>0</v>
      </c>
      <c r="S98" s="52">
        <f t="shared" si="2"/>
        <v>3.0752287782957875E-2</v>
      </c>
    </row>
    <row r="99" spans="9:19" ht="15" thickBot="1">
      <c r="I99" s="21">
        <v>97</v>
      </c>
      <c r="J99" s="50" cm="1">
        <f t="array" ref="J99">_xlfn.IFNA(IF($F$3,INDEX(index_return!$B$2:$J$103,$I99,MATCH('Index Selection'!$E$3,index_return!$B$1:$J$1,0)),0)*$G$3,0)</f>
        <v>3.0477750254006113E-2</v>
      </c>
      <c r="K99" s="50" cm="1">
        <f t="array" ref="K99">_xlfn.IFNA(IF($F$4,INDEX(index_return!$B$2:$J$103,$I99,MATCH('Index Selection'!$E$4,index_return!$B$1:$J$1,0)),0)*$G$4,0)</f>
        <v>9.6110924105125201E-2</v>
      </c>
      <c r="L99" s="50" cm="1">
        <f t="array" ref="L99">_xlfn.IFNA(IF($F$5,INDEX(index_return!$B$2:$J$103,$I99,MATCH('Index Selection'!$E$5,index_return!$B$1:$J$1,0)),0)*$G$5,0)</f>
        <v>0</v>
      </c>
      <c r="M99" s="50" cm="1">
        <f t="array" ref="M99">_xlfn.IFNA(IF($F$6,INDEX(index_return!$B$2:$J$103,$I99,MATCH('Index Selection'!$E$6,index_return!$B$1:$J$1,0)),0)*$G$6,0)</f>
        <v>0</v>
      </c>
      <c r="N99" s="50" cm="1">
        <f t="array" ref="N99">_xlfn.IFNA(IF($F$7,INDEX(index_return!$B$2:$J$103,$I99,MATCH('Index Selection'!$E$7,index_return!$B$1:$J$1,0)),0)*$G$7,0)</f>
        <v>0</v>
      </c>
      <c r="O99" s="50" cm="1">
        <f t="array" ref="O99">_xlfn.IFNA(IF($F$8,INDEX(index_return!$B$2:$J$103,$I99,MATCH('Index Selection'!$E$8,index_return!$B$1:$J$1,0)),0)*$G$8,0)</f>
        <v>0</v>
      </c>
      <c r="P99" s="50" cm="1">
        <f t="array" ref="P99">_xlfn.IFNA(IF($F$9,INDEX(index_return!$B$2:$J$103,$I99,MATCH('Index Selection'!$E$9,index_return!$B$1:$J$1,0)),0)*$G$9,0)</f>
        <v>0</v>
      </c>
      <c r="Q99" s="50" cm="1">
        <f t="array" ref="Q99">_xlfn.IFNA(IF($F$10,INDEX(index_return!$B$2:$J$103,$I99,MATCH('Index Selection'!$E$10,index_return!$B$1:$J$1,0)),0)*$G$10,0)</f>
        <v>0</v>
      </c>
      <c r="R99" s="50" cm="1">
        <f t="array" ref="R99">_xlfn.IFNA(IF($F$11,INDEX(index_return!$B$2:$J$103,$I99,MATCH('Index Selection'!$E$11,index_return!$B$1:$J$1,0)),0)*$G$11,0)</f>
        <v>0</v>
      </c>
      <c r="S99" s="52">
        <f t="shared" si="2"/>
        <v>0.12658867435913132</v>
      </c>
    </row>
    <row r="100" spans="9:19" ht="15" thickBot="1">
      <c r="I100" s="21">
        <v>98</v>
      </c>
      <c r="J100" s="50" cm="1">
        <f t="array" ref="J100">_xlfn.IFNA(IF($F$3,INDEX(index_return!$B$2:$J$103,$I100,MATCH('Index Selection'!$E$3,index_return!$B$1:$J$1,0)),0)*$G$3,0)</f>
        <v>0.15212985252004446</v>
      </c>
      <c r="K100" s="50" cm="1">
        <f t="array" ref="K100">_xlfn.IFNA(IF($F$4,INDEX(index_return!$B$2:$J$103,$I100,MATCH('Index Selection'!$E$4,index_return!$B$1:$J$1,0)),0)*$G$4,0)</f>
        <v>0.29208553022423384</v>
      </c>
      <c r="L100" s="50" cm="1">
        <f t="array" ref="L100">_xlfn.IFNA(IF($F$5,INDEX(index_return!$B$2:$J$103,$I100,MATCH('Index Selection'!$E$5,index_return!$B$1:$J$1,0)),0)*$G$5,0)</f>
        <v>0</v>
      </c>
      <c r="M100" s="50" cm="1">
        <f t="array" ref="M100">_xlfn.IFNA(IF($F$6,INDEX(index_return!$B$2:$J$103,$I100,MATCH('Index Selection'!$E$6,index_return!$B$1:$J$1,0)),0)*$G$6,0)</f>
        <v>0</v>
      </c>
      <c r="N100" s="50" cm="1">
        <f t="array" ref="N100">_xlfn.IFNA(IF($F$7,INDEX(index_return!$B$2:$J$103,$I100,MATCH('Index Selection'!$E$7,index_return!$B$1:$J$1,0)),0)*$G$7,0)</f>
        <v>0</v>
      </c>
      <c r="O100" s="50" cm="1">
        <f t="array" ref="O100">_xlfn.IFNA(IF($F$8,INDEX(index_return!$B$2:$J$103,$I100,MATCH('Index Selection'!$E$8,index_return!$B$1:$J$1,0)),0)*$G$8,0)</f>
        <v>0</v>
      </c>
      <c r="P100" s="50" cm="1">
        <f t="array" ref="P100">_xlfn.IFNA(IF($F$9,INDEX(index_return!$B$2:$J$103,$I100,MATCH('Index Selection'!$E$9,index_return!$B$1:$J$1,0)),0)*$G$9,0)</f>
        <v>0</v>
      </c>
      <c r="Q100" s="50" cm="1">
        <f t="array" ref="Q100">_xlfn.IFNA(IF($F$10,INDEX(index_return!$B$2:$J$103,$I100,MATCH('Index Selection'!$E$10,index_return!$B$1:$J$1,0)),0)*$G$10,0)</f>
        <v>0</v>
      </c>
      <c r="R100" s="50" cm="1">
        <f t="array" ref="R100">_xlfn.IFNA(IF($F$11,INDEX(index_return!$B$2:$J$103,$I100,MATCH('Index Selection'!$E$11,index_return!$B$1:$J$1,0)),0)*$G$11,0)</f>
        <v>0</v>
      </c>
      <c r="S100" s="52">
        <f t="shared" si="2"/>
        <v>0.4442153827442783</v>
      </c>
    </row>
    <row r="101" spans="9:19" ht="15" thickBot="1">
      <c r="I101" s="21">
        <v>99</v>
      </c>
      <c r="J101" s="50" cm="1">
        <f t="array" ref="J101">_xlfn.IFNA(IF($F$3,INDEX(index_return!$B$2:$J$103,$I101,MATCH('Index Selection'!$E$3,index_return!$B$1:$J$1,0)),0)*$G$3,0)</f>
        <v>-0.32777110880714977</v>
      </c>
      <c r="K101" s="50" cm="1">
        <f t="array" ref="K101">_xlfn.IFNA(IF($F$4,INDEX(index_return!$B$2:$J$103,$I101,MATCH('Index Selection'!$E$4,index_return!$B$1:$J$1,0)),0)*$G$4,0)</f>
        <v>-0.4123091239157286</v>
      </c>
      <c r="L101" s="50" cm="1">
        <f t="array" ref="L101">_xlfn.IFNA(IF($F$5,INDEX(index_return!$B$2:$J$103,$I101,MATCH('Index Selection'!$E$5,index_return!$B$1:$J$1,0)),0)*$G$5,0)</f>
        <v>0</v>
      </c>
      <c r="M101" s="50" cm="1">
        <f t="array" ref="M101">_xlfn.IFNA(IF($F$6,INDEX(index_return!$B$2:$J$103,$I101,MATCH('Index Selection'!$E$6,index_return!$B$1:$J$1,0)),0)*$G$6,0)</f>
        <v>0</v>
      </c>
      <c r="N101" s="50" cm="1">
        <f t="array" ref="N101">_xlfn.IFNA(IF($F$7,INDEX(index_return!$B$2:$J$103,$I101,MATCH('Index Selection'!$E$7,index_return!$B$1:$J$1,0)),0)*$G$7,0)</f>
        <v>0</v>
      </c>
      <c r="O101" s="50" cm="1">
        <f t="array" ref="O101">_xlfn.IFNA(IF($F$8,INDEX(index_return!$B$2:$J$103,$I101,MATCH('Index Selection'!$E$8,index_return!$B$1:$J$1,0)),0)*$G$8,0)</f>
        <v>0</v>
      </c>
      <c r="P101" s="50" cm="1">
        <f t="array" ref="P101">_xlfn.IFNA(IF($F$9,INDEX(index_return!$B$2:$J$103,$I101,MATCH('Index Selection'!$E$9,index_return!$B$1:$J$1,0)),0)*$G$9,0)</f>
        <v>0</v>
      </c>
      <c r="Q101" s="50" cm="1">
        <f t="array" ref="Q101">_xlfn.IFNA(IF($F$10,INDEX(index_return!$B$2:$J$103,$I101,MATCH('Index Selection'!$E$10,index_return!$B$1:$J$1,0)),0)*$G$10,0)</f>
        <v>0</v>
      </c>
      <c r="R101" s="50" cm="1">
        <f t="array" ref="R101">_xlfn.IFNA(IF($F$11,INDEX(index_return!$B$2:$J$103,$I101,MATCH('Index Selection'!$E$11,index_return!$B$1:$J$1,0)),0)*$G$11,0)</f>
        <v>0</v>
      </c>
      <c r="S101" s="52">
        <f t="shared" si="2"/>
        <v>-0.74008023272287837</v>
      </c>
    </row>
    <row r="102" spans="9:19" ht="15" thickBot="1">
      <c r="I102" s="21">
        <v>100</v>
      </c>
      <c r="J102" s="50" cm="1">
        <f t="array" ref="J102">_xlfn.IFNA(IF($F$3,INDEX(index_return!$B$2:$J$103,$I102,MATCH('Index Selection'!$E$3,index_return!$B$1:$J$1,0)),0)*$G$3,0)</f>
        <v>1.4488963337035237E-2</v>
      </c>
      <c r="K102" s="50" cm="1">
        <f t="array" ref="K102">_xlfn.IFNA(IF($F$4,INDEX(index_return!$B$2:$J$103,$I102,MATCH('Index Selection'!$E$4,index_return!$B$1:$J$1,0)),0)*$G$4,0)</f>
        <v>5.7871388044489262E-2</v>
      </c>
      <c r="L102" s="50" cm="1">
        <f t="array" ref="L102">_xlfn.IFNA(IF($F$5,INDEX(index_return!$B$2:$J$103,$I102,MATCH('Index Selection'!$E$5,index_return!$B$1:$J$1,0)),0)*$G$5,0)</f>
        <v>0</v>
      </c>
      <c r="M102" s="50" cm="1">
        <f t="array" ref="M102">_xlfn.IFNA(IF($F$6,INDEX(index_return!$B$2:$J$103,$I102,MATCH('Index Selection'!$E$6,index_return!$B$1:$J$1,0)),0)*$G$6,0)</f>
        <v>0</v>
      </c>
      <c r="N102" s="50" cm="1">
        <f t="array" ref="N102">_xlfn.IFNA(IF($F$7,INDEX(index_return!$B$2:$J$103,$I102,MATCH('Index Selection'!$E$7,index_return!$B$1:$J$1,0)),0)*$G$7,0)</f>
        <v>0</v>
      </c>
      <c r="O102" s="50" cm="1">
        <f t="array" ref="O102">_xlfn.IFNA(IF($F$8,INDEX(index_return!$B$2:$J$103,$I102,MATCH('Index Selection'!$E$8,index_return!$B$1:$J$1,0)),0)*$G$8,0)</f>
        <v>0</v>
      </c>
      <c r="P102" s="50" cm="1">
        <f t="array" ref="P102">_xlfn.IFNA(IF($F$9,INDEX(index_return!$B$2:$J$103,$I102,MATCH('Index Selection'!$E$9,index_return!$B$1:$J$1,0)),0)*$G$9,0)</f>
        <v>0</v>
      </c>
      <c r="Q102" s="50" cm="1">
        <f t="array" ref="Q102">_xlfn.IFNA(IF($F$10,INDEX(index_return!$B$2:$J$103,$I102,MATCH('Index Selection'!$E$10,index_return!$B$1:$J$1,0)),0)*$G$10,0)</f>
        <v>0</v>
      </c>
      <c r="R102" s="50" cm="1">
        <f t="array" ref="R102">_xlfn.IFNA(IF($F$11,INDEX(index_return!$B$2:$J$103,$I102,MATCH('Index Selection'!$E$11,index_return!$B$1:$J$1,0)),0)*$G$11,0)</f>
        <v>0</v>
      </c>
      <c r="S102" s="52">
        <f t="shared" si="2"/>
        <v>7.2360351381524496E-2</v>
      </c>
    </row>
    <row r="103" spans="9:19" ht="15" thickBot="1">
      <c r="I103" s="21">
        <v>101</v>
      </c>
      <c r="J103" s="50" cm="1">
        <f t="array" ref="J103">_xlfn.IFNA(IF($F$3,INDEX(index_return!$B$2:$J$103,$I103,MATCH('Index Selection'!$E$3,index_return!$B$1:$J$1,0)),0)*$G$3,0)</f>
        <v>5.4551576543710734E-2</v>
      </c>
      <c r="K103" s="50" cm="1">
        <f t="array" ref="K103">_xlfn.IFNA(IF($F$4,INDEX(index_return!$B$2:$J$103,$I103,MATCH('Index Selection'!$E$4,index_return!$B$1:$J$1,0)),0)*$G$4,0)</f>
        <v>2.2012118425836769E-2</v>
      </c>
      <c r="L103" s="50" cm="1">
        <f t="array" ref="L103">_xlfn.IFNA(IF($F$5,INDEX(index_return!$B$2:$J$103,$I103,MATCH('Index Selection'!$E$5,index_return!$B$1:$J$1,0)),0)*$G$5,0)</f>
        <v>0</v>
      </c>
      <c r="M103" s="50" cm="1">
        <f t="array" ref="M103">_xlfn.IFNA(IF($F$6,INDEX(index_return!$B$2:$J$103,$I103,MATCH('Index Selection'!$E$6,index_return!$B$1:$J$1,0)),0)*$G$6,0)</f>
        <v>0</v>
      </c>
      <c r="N103" s="50" cm="1">
        <f t="array" ref="N103">_xlfn.IFNA(IF($F$7,INDEX(index_return!$B$2:$J$103,$I103,MATCH('Index Selection'!$E$7,index_return!$B$1:$J$1,0)),0)*$G$7,0)</f>
        <v>0</v>
      </c>
      <c r="O103" s="50" cm="1">
        <f t="array" ref="O103">_xlfn.IFNA(IF($F$8,INDEX(index_return!$B$2:$J$103,$I103,MATCH('Index Selection'!$E$8,index_return!$B$1:$J$1,0)),0)*$G$8,0)</f>
        <v>0</v>
      </c>
      <c r="P103" s="50" cm="1">
        <f t="array" ref="P103">_xlfn.IFNA(IF($F$9,INDEX(index_return!$B$2:$J$103,$I103,MATCH('Index Selection'!$E$9,index_return!$B$1:$J$1,0)),0)*$G$9,0)</f>
        <v>0</v>
      </c>
      <c r="Q103" s="50" cm="1">
        <f t="array" ref="Q103">_xlfn.IFNA(IF($F$10,INDEX(index_return!$B$2:$J$103,$I103,MATCH('Index Selection'!$E$10,index_return!$B$1:$J$1,0)),0)*$G$10,0)</f>
        <v>0</v>
      </c>
      <c r="R103" s="50" cm="1">
        <f t="array" ref="R103">_xlfn.IFNA(IF($F$11,INDEX(index_return!$B$2:$J$103,$I103,MATCH('Index Selection'!$E$11,index_return!$B$1:$J$1,0)),0)*$G$11,0)</f>
        <v>0</v>
      </c>
      <c r="S103" s="52">
        <f t="shared" si="2"/>
        <v>7.6563694969547499E-2</v>
      </c>
    </row>
    <row r="104" spans="9:19" ht="15" thickBot="1">
      <c r="I104" s="21">
        <v>102</v>
      </c>
      <c r="J104" s="50" cm="1">
        <f t="array" ref="J104">_xlfn.IFNA(IF($F$3,INDEX(index_return!$B$2:$J$103,$I104,MATCH('Index Selection'!$E$3,index_return!$B$1:$J$1,0)),0)*$G$3,0)</f>
        <v>0.11380947946383935</v>
      </c>
      <c r="K104" s="50" cm="1">
        <f t="array" ref="K104">_xlfn.IFNA(IF($F$4,INDEX(index_return!$B$2:$J$103,$I104,MATCH('Index Selection'!$E$4,index_return!$B$1:$J$1,0)),0)*$G$4,0)</f>
        <v>0.17482052609892679</v>
      </c>
      <c r="L104" s="50" cm="1">
        <f t="array" ref="L104">_xlfn.IFNA(IF($F$5,INDEX(index_return!$B$2:$J$103,$I104,MATCH('Index Selection'!$E$5,index_return!$B$1:$J$1,0)),0)*$G$5,0)</f>
        <v>0</v>
      </c>
      <c r="M104" s="50" cm="1">
        <f t="array" ref="M104">_xlfn.IFNA(IF($F$6,INDEX(index_return!$B$2:$J$103,$I104,MATCH('Index Selection'!$E$6,index_return!$B$1:$J$1,0)),0)*$G$6,0)</f>
        <v>0</v>
      </c>
      <c r="N104" s="50" cm="1">
        <f t="array" ref="N104">_xlfn.IFNA(IF($F$7,INDEX(index_return!$B$2:$J$103,$I104,MATCH('Index Selection'!$E$7,index_return!$B$1:$J$1,0)),0)*$G$7,0)</f>
        <v>0</v>
      </c>
      <c r="O104" s="50" cm="1">
        <f t="array" ref="O104">_xlfn.IFNA(IF($F$8,INDEX(index_return!$B$2:$J$103,$I104,MATCH('Index Selection'!$E$8,index_return!$B$1:$J$1,0)),0)*$G$8,0)</f>
        <v>0</v>
      </c>
      <c r="P104" s="50" cm="1">
        <f t="array" ref="P104">_xlfn.IFNA(IF($F$9,INDEX(index_return!$B$2:$J$103,$I104,MATCH('Index Selection'!$E$9,index_return!$B$1:$J$1,0)),0)*$G$9,0)</f>
        <v>0</v>
      </c>
      <c r="Q104" s="50" cm="1">
        <f t="array" ref="Q104">_xlfn.IFNA(IF($F$10,INDEX(index_return!$B$2:$J$103,$I104,MATCH('Index Selection'!$E$10,index_return!$B$1:$J$1,0)),0)*$G$10,0)</f>
        <v>0</v>
      </c>
      <c r="R104" s="50" cm="1">
        <f t="array" ref="R104">_xlfn.IFNA(IF($F$11,INDEX(index_return!$B$2:$J$103,$I104,MATCH('Index Selection'!$E$11,index_return!$B$1:$J$1,0)),0)*$G$11,0)</f>
        <v>0</v>
      </c>
      <c r="S104" s="52">
        <f t="shared" si="2"/>
        <v>0.28863000556276613</v>
      </c>
    </row>
  </sheetData>
  <conditionalFormatting sqref="C2">
    <cfRule type="expression" dxfId="1" priority="1">
      <formula>$D$12=1</formula>
    </cfRule>
  </conditionalFormatting>
  <dataValidations count="2">
    <dataValidation type="list" allowBlank="1" showInputMessage="1" showErrorMessage="1" sqref="F3:F11" xr:uid="{8568EC74-E36E-4A08-BC8C-CF5AB22B1D23}">
      <formula1>"TRUE,FALSE"</formula1>
    </dataValidation>
    <dataValidation operator="equal" allowBlank="1" showInputMessage="1" showErrorMessage="1" sqref="G12" xr:uid="{3F474882-CCD3-465A-B849-589664D08848}"/>
  </dataValidations>
  <hyperlinks>
    <hyperlink ref="B2" location="allocation_option" display="Allocation Option Selected" xr:uid="{3D49B777-9394-41D7-8F36-2631E5D99724}"/>
  </hyperlink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A09C5-F4FA-479B-A531-B7A6D6CD942B}">
  <sheetPr codeName="Sheet4">
    <tabColor rgb="FFFF0000"/>
  </sheetPr>
  <dimension ref="B1:Y103"/>
  <sheetViews>
    <sheetView showGridLines="0" zoomScale="90" zoomScaleNormal="90" workbookViewId="0">
      <pane xSplit="3" ySplit="3" topLeftCell="E4" activePane="bottomRight" state="frozen"/>
      <selection pane="topRight" activeCell="C1" sqref="C1"/>
      <selection pane="bottomLeft" activeCell="A4" sqref="A4"/>
      <selection pane="bottomRight" activeCell="E88" sqref="E88"/>
    </sheetView>
  </sheetViews>
  <sheetFormatPr defaultColWidth="8.69140625" defaultRowHeight="14.7" customHeight="1" thickTop="1" thickBottom="1"/>
  <cols>
    <col min="1" max="1" width="2.3828125" style="11" customWidth="1"/>
    <col min="2" max="2" width="8.3046875" style="13" bestFit="1" customWidth="1"/>
    <col min="3" max="3" width="15.3828125" style="13" bestFit="1" customWidth="1"/>
    <col min="4" max="4" width="22.3046875" style="11" customWidth="1"/>
    <col min="5" max="5" width="27.3828125" style="11" bestFit="1" customWidth="1"/>
    <col min="6" max="6" width="23.3828125" style="11" bestFit="1" customWidth="1"/>
    <col min="7" max="8" width="22.3828125" style="11" customWidth="1"/>
    <col min="9" max="9" width="16.3828125" style="11" bestFit="1" customWidth="1"/>
    <col min="10" max="12" width="22.3828125" style="11" customWidth="1"/>
    <col min="13" max="13" width="22.3046875" style="11" bestFit="1" customWidth="1"/>
    <col min="14" max="14" width="22.3828125" style="11" customWidth="1"/>
    <col min="15" max="15" width="20.69140625" style="11" bestFit="1" customWidth="1"/>
    <col min="16" max="16" width="22.3828125" style="11" customWidth="1"/>
    <col min="17" max="17" width="8.69140625" style="11"/>
    <col min="18" max="18" width="11.69140625" style="11" bestFit="1" customWidth="1"/>
    <col min="19" max="19" width="10.3046875" style="11" bestFit="1" customWidth="1"/>
    <col min="20" max="20" width="20.69140625" style="11" bestFit="1" customWidth="1"/>
    <col min="21" max="21" width="12.3828125" style="11" bestFit="1" customWidth="1"/>
    <col min="22" max="22" width="15.3828125" style="11" bestFit="1" customWidth="1"/>
    <col min="23" max="23" width="24.69140625" style="11" bestFit="1" customWidth="1"/>
    <col min="24" max="24" width="24.69140625" style="11" customWidth="1"/>
    <col min="25" max="25" width="8.69140625" style="11" customWidth="1"/>
    <col min="26" max="26" width="8.69140625" style="11"/>
    <col min="27" max="27" width="8.69140625" style="11" customWidth="1"/>
    <col min="28" max="16384" width="8.69140625" style="11"/>
  </cols>
  <sheetData>
    <row r="1" spans="2:25" ht="10.199999999999999" customHeight="1" thickTop="1" thickBot="1"/>
    <row r="2" spans="2:25" ht="19.95" customHeight="1" thickTop="1" thickBot="1">
      <c r="B2" s="15"/>
      <c r="C2" s="15"/>
      <c r="D2" s="75">
        <v>1</v>
      </c>
      <c r="E2" s="75">
        <v>2</v>
      </c>
      <c r="F2" s="75">
        <v>3</v>
      </c>
      <c r="G2" s="75">
        <v>4</v>
      </c>
      <c r="H2" s="75">
        <v>5</v>
      </c>
      <c r="I2" s="75">
        <v>6</v>
      </c>
      <c r="J2" s="75">
        <v>7</v>
      </c>
      <c r="K2" s="75">
        <v>8</v>
      </c>
      <c r="L2" s="75">
        <v>9</v>
      </c>
      <c r="M2" s="75">
        <v>10</v>
      </c>
      <c r="N2" s="75">
        <v>11</v>
      </c>
      <c r="O2" s="75">
        <v>12</v>
      </c>
      <c r="P2" s="75">
        <v>13</v>
      </c>
    </row>
    <row r="3" spans="2:25" ht="29.15" thickTop="1" thickBot="1">
      <c r="B3" s="16" t="s">
        <v>6</v>
      </c>
      <c r="C3" s="16" t="s">
        <v>60</v>
      </c>
      <c r="D3" s="18" t="s">
        <v>61</v>
      </c>
      <c r="E3" s="18" t="s">
        <v>62</v>
      </c>
      <c r="F3" s="18" t="s">
        <v>63</v>
      </c>
      <c r="G3" s="18" t="s">
        <v>64</v>
      </c>
      <c r="H3" s="18" t="s">
        <v>65</v>
      </c>
      <c r="I3" s="40" t="s">
        <v>66</v>
      </c>
      <c r="J3" s="40" t="s">
        <v>67</v>
      </c>
      <c r="K3" s="18" t="s">
        <v>68</v>
      </c>
      <c r="L3" s="40" t="s">
        <v>69</v>
      </c>
      <c r="M3" s="40" t="s">
        <v>70</v>
      </c>
      <c r="N3" s="40" t="s">
        <v>71</v>
      </c>
      <c r="O3" s="40" t="s">
        <v>72</v>
      </c>
      <c r="P3" s="40" t="s">
        <v>73</v>
      </c>
      <c r="R3" s="53" t="s">
        <v>74</v>
      </c>
      <c r="S3" s="18" t="s">
        <v>75</v>
      </c>
      <c r="T3" s="18" t="s">
        <v>76</v>
      </c>
      <c r="U3" s="18" t="s">
        <v>77</v>
      </c>
      <c r="V3" s="18" t="s">
        <v>78</v>
      </c>
      <c r="W3" s="62" t="s">
        <v>79</v>
      </c>
      <c r="X3" s="62" t="s">
        <v>80</v>
      </c>
    </row>
    <row r="4" spans="2:25" ht="22.2" customHeight="1" thickTop="1" thickBot="1">
      <c r="B4" s="63">
        <f>Xinput_age+1</f>
        <v>56</v>
      </c>
      <c r="C4" s="17">
        <v>1</v>
      </c>
      <c r="D4" s="19">
        <f>Xinput_premium*Xinput_frequency</f>
        <v>150000</v>
      </c>
      <c r="E4" s="12">
        <f>D4</f>
        <v>150000</v>
      </c>
      <c r="F4" s="54">
        <f>IF(Xinput_interest_choice="Fixed",Xoutput_interest_rate,MAX(0,(MIN(S4,R4)*T4)-U4))</f>
        <v>3.2500000000000001E-2</v>
      </c>
      <c r="G4" s="19">
        <f>IF(C4="","",E4*F4)</f>
        <v>4875</v>
      </c>
      <c r="H4" s="19">
        <f>IF(B4="","",E4+G4)</f>
        <v>154875</v>
      </c>
      <c r="I4" s="56">
        <f>IF(B4="","",IF(Xinput_rider_choice,IF(Annuity_CashFlow!B4&gt;=40,Annuity_CashFlow!G4*rider_bonus,0),0))</f>
        <v>0</v>
      </c>
      <c r="J4" s="19">
        <f>IF(B4="","",IF(AND(B4&gt;=Xinput_income_start_age,B4&lt;=Xoutput_income_end_age),Summary!$D$63*((1+Summary!$D$61)^(Annuity_CashFlow!B4-Xinput_income_start_age)),0))</f>
        <v>0</v>
      </c>
      <c r="K4" s="20">
        <f>IF(B4="","",IF(B4&lt;Xinput_income_start_age,rider_rate*H4,0))</f>
        <v>0</v>
      </c>
      <c r="L4" s="19">
        <f>IF(B4="","",P4*V4)</f>
        <v>811.54499999999996</v>
      </c>
      <c r="M4" s="19">
        <f>IF(IF(B4="","",H4+I4-SUM(J4:L4))&lt;0,0,IF(B4="","",H4+I4-SUM(J4:L4)))</f>
        <v>154063.45499999999</v>
      </c>
      <c r="N4" s="19">
        <f>IF(B4="","",W4*M4)</f>
        <v>15406.345499999999</v>
      </c>
      <c r="O4" s="20">
        <f>IF(B4="","",M4-N4)</f>
        <v>138657.10949999999</v>
      </c>
      <c r="P4" s="19">
        <f>IF(B4="","",IF(X4=0,H4+I4,P3))</f>
        <v>154875</v>
      </c>
      <c r="R4" s="45">
        <f>IF(B4="","",INDEX(index_sum_return_table,MATCH(C4,'Index Selection'!$I$3:$I$104,0),11))</f>
        <v>7.2360351381524496E-2</v>
      </c>
      <c r="S4" s="45">
        <f t="shared" ref="S4:S35" si="0">IF(B4="","",IF(Xinput_allocation_option&lt;&gt;1,IF(Xinput_allocation_option&lt;&gt;2,1,Xoutput_cap),Xoutput_cap))</f>
        <v>3.2500000000000001E-2</v>
      </c>
      <c r="T4" s="55">
        <f t="shared" ref="T4:T35" si="1">IF(B4="","",IF(Xinput_allocation_option&lt;&gt;4,IF(Xinput_allocation_option&lt;&gt;5,1,Xoutput_par),Xoutput_par))</f>
        <v>1</v>
      </c>
      <c r="U4" s="45">
        <f t="shared" ref="U4:U35" si="2">IF(B4="","",IF(Xinput_allocation_option&lt;&gt;3,0,Xoutput_spread))</f>
        <v>0</v>
      </c>
      <c r="V4" s="60">
        <f>IF(B4="","",_xlfn.IFNA(INDEX(coi_table,MATCH(B4,COI_rate!$A$1:$A$102,0),MATCH(Xinput_gender,COI_rate!$A$1:$C$1,0)),V3))</f>
        <v>5.2399999999999999E-3</v>
      </c>
      <c r="W4" s="45">
        <f>IF(B4="","",_xlfn.IFNA(VLOOKUP(C4,surrender_charge!$A$1:$B$12,2,FALSE),0))</f>
        <v>0.1</v>
      </c>
      <c r="X4" s="70">
        <f>IF(B4="","",IF(B4&lt;Xinput_income_start_age,0,IF(B4&gt;Xoutput_income_end_age,0,IF(income_option=1,VLOOKUP(Xinput_income_start_age,withdrawal_percentage!$A$2:$D$32,1+income_option,FALSE),VLOOKUP(Xinput_income_start_age,withdrawal_percentage!$A$2:$D$32,1+income_option,FALSE)+((B4-Xinput_income_start_age)*VLOOKUP(Xinput_income_start_age,withdrawal_percentage!$A$2:$D$32,2+income_option,FALSE))))))</f>
        <v>0</v>
      </c>
      <c r="Y4" s="69"/>
    </row>
    <row r="5" spans="2:25" ht="22.2" customHeight="1" thickTop="1" thickBot="1">
      <c r="B5" s="63">
        <f>IF(B4="","",IF(B4+1&gt;100,"",B4+1))</f>
        <v>57</v>
      </c>
      <c r="C5" s="17">
        <f>IF(B5="","",C4+1)</f>
        <v>2</v>
      </c>
      <c r="D5" s="19">
        <f t="shared" ref="D5:D36" si="3">IF(C5="","",IF(C5&gt;Xinput_term,D4,D4+(Xinput_premium*Xinput_frequency)))</f>
        <v>300000</v>
      </c>
      <c r="E5" s="57">
        <f>IF(C5="","",IF(C5&gt;Xinput_term,M4,M4+Xinput_premium))</f>
        <v>304063.45499999996</v>
      </c>
      <c r="F5" s="54">
        <f t="shared" ref="F5:F36" si="4">IF(C5="","",IF(Xinput_interest_choice=1,Xoutput_interest_rate,MAX(0,(MIN(S5,R5)*T5)-U5)))</f>
        <v>3.2500000000000001E-2</v>
      </c>
      <c r="G5" s="19">
        <f>IF(C5="","",E5*F5)</f>
        <v>9882.062287499999</v>
      </c>
      <c r="H5" s="19">
        <f>IF(B5="","",E5+G5)</f>
        <v>313945.51728749997</v>
      </c>
      <c r="I5" s="56">
        <f>IF(B5="","",IF(Xinput_rider_choice,IF(Annuity_CashFlow!B5&gt;=40,Annuity_CashFlow!G5*rider_bonus,0),0))</f>
        <v>0</v>
      </c>
      <c r="J5" s="19">
        <f>IF(B5="","",IF(AND(B5&gt;=Xinput_income_start_age,B5&lt;=Xoutput_income_end_age),Summary!$D$63*((1+Summary!$D$61)^(Annuity_CashFlow!B5-Xinput_income_start_age)),0))</f>
        <v>0</v>
      </c>
      <c r="K5" s="20">
        <f t="shared" ref="K5:K18" si="5">IF(B5="","",IF(B5&lt;Xinput_income_start_age,rider_rate*H5,0))</f>
        <v>0</v>
      </c>
      <c r="L5" s="19">
        <f t="shared" ref="L5:L35" si="6">IF(B5="","",P5*V5)</f>
        <v>1767.5132623286247</v>
      </c>
      <c r="M5" s="19">
        <f>IF(IF(B5="","",H5+I5-SUM(J5:L5))&lt;0,0,IF(B5="","",H5+I5-SUM(J5:L5)))</f>
        <v>312178.00402517134</v>
      </c>
      <c r="N5" s="19">
        <f>IF(B5="","",W5*M5)</f>
        <v>31217.800402517136</v>
      </c>
      <c r="O5" s="20">
        <f t="shared" ref="O5:O10" si="7">IF(B5="","",H5+I5-N5)</f>
        <v>282727.71688498283</v>
      </c>
      <c r="P5" s="19">
        <f>IF(B5="","",IF(X5=0,H5+I5,P4))</f>
        <v>313945.51728749997</v>
      </c>
      <c r="R5" s="45">
        <f>IF(B5="","",INDEX(index_sum_return_table,MATCH(C5,'Index Selection'!$I$3:$I$104,0),11))</f>
        <v>7.6563694969547499E-2</v>
      </c>
      <c r="S5" s="45">
        <f t="shared" si="0"/>
        <v>3.2500000000000001E-2</v>
      </c>
      <c r="T5" s="55">
        <f t="shared" si="1"/>
        <v>1</v>
      </c>
      <c r="U5" s="45">
        <f t="shared" si="2"/>
        <v>0</v>
      </c>
      <c r="V5" s="60">
        <f>IF(B5="","",_xlfn.IFNA(INDEX(coi_table,MATCH(B5,COI_rate!$A$1:$A$102,0),MATCH(Xinput_gender,COI_rate!$A$1:$C$1,0)),V4))</f>
        <v>5.6299999999999996E-3</v>
      </c>
      <c r="W5" s="45">
        <f>IF(B5="","",_xlfn.IFNA(VLOOKUP(C5,surrender_charge!$A$1:$B$12,2,FALSE),0))</f>
        <v>0.1</v>
      </c>
      <c r="X5" s="70">
        <f>IF(B5="","",IF(B5&lt;Xinput_income_start_age,0,IF(B5&gt;Xoutput_income_end_age,0,IF(income_option=1,VLOOKUP(Xinput_income_start_age,withdrawal_percentage!$A$2:$D$32,1+income_option,FALSE),VLOOKUP(Xinput_income_start_age,withdrawal_percentage!$A$2:$D$32,1+income_option,FALSE)+((B5-Xinput_income_start_age)*VLOOKUP(Xinput_income_start_age,withdrawal_percentage!$A$2:$D$32,2+income_option,FALSE))))))</f>
        <v>0</v>
      </c>
    </row>
    <row r="6" spans="2:25" ht="22.2" customHeight="1" thickTop="1" thickBot="1">
      <c r="B6" s="63">
        <f>IF(B5="","",IF(B5+1&gt;100,"",B5+1))</f>
        <v>58</v>
      </c>
      <c r="C6" s="17">
        <f t="shared" ref="C6:C69" si="8">IF(B6="","",C5+1)</f>
        <v>3</v>
      </c>
      <c r="D6" s="19">
        <f t="shared" si="3"/>
        <v>450000</v>
      </c>
      <c r="E6" s="57">
        <f>IF(C6="","",IF(C6&gt;Xinput_term,M5,M5+Xinput_premium))</f>
        <v>462178.00402517134</v>
      </c>
      <c r="F6" s="54">
        <f t="shared" si="4"/>
        <v>3.2500000000000001E-2</v>
      </c>
      <c r="G6" s="19">
        <f t="shared" ref="G6:G68" si="9">IF(C6="","",E6*F6)</f>
        <v>15020.785130818069</v>
      </c>
      <c r="H6" s="19">
        <f>IF(B6="","",E6+G6)</f>
        <v>477198.78915598942</v>
      </c>
      <c r="I6" s="56">
        <f>IF(B6="","",IF(Xinput_rider_choice,IF(Annuity_CashFlow!B6&gt;=40,Annuity_CashFlow!G6*rider_bonus,0),0))</f>
        <v>0</v>
      </c>
      <c r="J6" s="19">
        <f>IF(B6="","",IF(AND(B6&gt;=Xinput_income_start_age,B6&lt;=Xoutput_income_end_age),Summary!$D$63*((1+Summary!$D$61)^(Annuity_CashFlow!B6-Xinput_income_start_age)),0))</f>
        <v>0</v>
      </c>
      <c r="K6" s="20">
        <f t="shared" si="5"/>
        <v>0</v>
      </c>
      <c r="L6" s="19">
        <f t="shared" si="6"/>
        <v>2891.8246622852957</v>
      </c>
      <c r="M6" s="19">
        <f>IF(IF(B6="","",H6+I6-SUM(J6:L6))&lt;0,0,IF(B6="","",H6+I6-SUM(J6:L6)))</f>
        <v>474306.96449370414</v>
      </c>
      <c r="N6" s="19">
        <f>IF(B6="","",W6*M6)</f>
        <v>47430.696449370414</v>
      </c>
      <c r="O6" s="20">
        <f t="shared" si="7"/>
        <v>429768.09270661901</v>
      </c>
      <c r="P6" s="19">
        <f t="shared" ref="P6:P68" si="10">IF(B6="","",IF(X6=0,H6+I6,P5))</f>
        <v>477198.78915598942</v>
      </c>
      <c r="R6" s="45">
        <f>IF(B6="","",INDEX(index_sum_return_table,MATCH(C6,'Index Selection'!$I$3:$I$104,0),11))</f>
        <v>0.28863000556276613</v>
      </c>
      <c r="S6" s="45">
        <f t="shared" si="0"/>
        <v>3.2500000000000001E-2</v>
      </c>
      <c r="T6" s="55">
        <f t="shared" si="1"/>
        <v>1</v>
      </c>
      <c r="U6" s="45">
        <f t="shared" si="2"/>
        <v>0</v>
      </c>
      <c r="V6" s="60">
        <f>IF(B6="","",_xlfn.IFNA(INDEX(coi_table,MATCH(B6,COI_rate!$A$1:$A$102,0),MATCH(Xinput_gender,COI_rate!$A$1:$C$1,0)),V5))</f>
        <v>6.0599999999999994E-3</v>
      </c>
      <c r="W6" s="45">
        <f>IF(B6="","",_xlfn.IFNA(VLOOKUP(C6,surrender_charge!$A$1:$B$12,2,FALSE),0))</f>
        <v>0.1</v>
      </c>
      <c r="X6" s="70">
        <f>IF(B6="","",IF(B6&lt;Xinput_income_start_age,0,IF(B6&gt;Xoutput_income_end_age,0,IF(income_option=1,VLOOKUP(Xinput_income_start_age,withdrawal_percentage!$A$2:$D$32,1+income_option,FALSE),VLOOKUP(Xinput_income_start_age,withdrawal_percentage!$A$2:$D$32,1+income_option,FALSE)+((B6-Xinput_income_start_age)*VLOOKUP(Xinput_income_start_age,withdrawal_percentage!$A$2:$D$32,2+income_option,FALSE))))))</f>
        <v>0</v>
      </c>
    </row>
    <row r="7" spans="2:25" ht="22.2" customHeight="1" thickTop="1" thickBot="1">
      <c r="B7" s="63">
        <f>IF(B6="","",IF(B6+1&gt;100,"",B6+1))</f>
        <v>59</v>
      </c>
      <c r="C7" s="17">
        <f t="shared" si="8"/>
        <v>4</v>
      </c>
      <c r="D7" s="19">
        <f t="shared" si="3"/>
        <v>600000</v>
      </c>
      <c r="E7" s="57">
        <f t="shared" ref="E7:E36" si="11">IF(C7="","",IF(C7&gt;Xinput_term,M6,M6+Xinput_premium))</f>
        <v>624306.96449370414</v>
      </c>
      <c r="F7" s="54">
        <f t="shared" si="4"/>
        <v>3.2500000000000001E-2</v>
      </c>
      <c r="G7" s="19">
        <f>IF(C7="","",E7*F7)</f>
        <v>20289.976346045387</v>
      </c>
      <c r="H7" s="19">
        <f t="shared" ref="H7:H68" si="12">IF(B7="","",E7+G7)</f>
        <v>644596.94083974953</v>
      </c>
      <c r="I7" s="56">
        <f>IF(B7="","",IF(Xinput_rider_choice,IF(Annuity_CashFlow!B7&gt;=40,Annuity_CashFlow!G7*rider_bonus,0),0))</f>
        <v>0</v>
      </c>
      <c r="J7" s="19">
        <f>IF(B7="","",IF(AND(B7&gt;=Xinput_income_start_age,B7&lt;=Xoutput_income_end_age),Summary!$D$63*((1+Summary!$D$61)^(Annuity_CashFlow!B7-Xinput_income_start_age)),0))</f>
        <v>0</v>
      </c>
      <c r="K7" s="20">
        <f t="shared" si="5"/>
        <v>0</v>
      </c>
      <c r="L7" s="19">
        <f t="shared" si="6"/>
        <v>4209.2180236835648</v>
      </c>
      <c r="M7" s="19">
        <f>IF(IF(B7="","",H7+I7-SUM(J7:L7))&lt;0,0,IF(B7="","",H7+I7-SUM(J7:L7)))</f>
        <v>640387.722816066</v>
      </c>
      <c r="N7" s="19">
        <f>IF(B7="","",W7*M7)</f>
        <v>56033.925746405781</v>
      </c>
      <c r="O7" s="20">
        <f t="shared" si="7"/>
        <v>588563.0150933438</v>
      </c>
      <c r="P7" s="19">
        <f t="shared" si="10"/>
        <v>644596.94083974953</v>
      </c>
      <c r="R7" s="45">
        <f>IF(B7="","",INDEX(index_sum_return_table,MATCH(C7,'Index Selection'!$I$3:$I$104,0),11))</f>
        <v>0.16661686470724921</v>
      </c>
      <c r="S7" s="45">
        <f t="shared" si="0"/>
        <v>3.2500000000000001E-2</v>
      </c>
      <c r="T7" s="55">
        <f t="shared" si="1"/>
        <v>1</v>
      </c>
      <c r="U7" s="45">
        <f t="shared" si="2"/>
        <v>0</v>
      </c>
      <c r="V7" s="60">
        <f>IF(B7="","",_xlfn.IFNA(INDEX(coi_table,MATCH(B7,COI_rate!$A$1:$A$102,0),MATCH(Xinput_gender,COI_rate!$A$1:$C$1,0)),V6))</f>
        <v>6.5300000000000002E-3</v>
      </c>
      <c r="W7" s="45">
        <f>IF(B7="","",_xlfn.IFNA(VLOOKUP(C7,surrender_charge!$A$1:$B$12,2,FALSE),0))</f>
        <v>8.7500000000000008E-2</v>
      </c>
      <c r="X7" s="70">
        <f>IF(B7="","",IF(B7&lt;Xinput_income_start_age,0,IF(B7&gt;Xoutput_income_end_age,0,IF(income_option=1,VLOOKUP(Xinput_income_start_age,withdrawal_percentage!$A$2:$D$32,1+income_option,FALSE),VLOOKUP(Xinput_income_start_age,withdrawal_percentage!$A$2:$D$32,1+income_option,FALSE)+((B7-Xinput_income_start_age)*VLOOKUP(Xinput_income_start_age,withdrawal_percentage!$A$2:$D$32,2+income_option,FALSE))))))</f>
        <v>0</v>
      </c>
    </row>
    <row r="8" spans="2:25" ht="22.2" customHeight="1" thickTop="1" thickBot="1">
      <c r="B8" s="63">
        <f t="shared" ref="B8:B69" si="13">IF(B7="","",IF(B7+1&gt;100,"",B7+1))</f>
        <v>60</v>
      </c>
      <c r="C8" s="17">
        <f t="shared" si="8"/>
        <v>5</v>
      </c>
      <c r="D8" s="19">
        <f t="shared" si="3"/>
        <v>750000</v>
      </c>
      <c r="E8" s="57">
        <f t="shared" si="11"/>
        <v>790387.722816066</v>
      </c>
      <c r="F8" s="54">
        <f t="shared" si="4"/>
        <v>0</v>
      </c>
      <c r="G8" s="19">
        <f>IF(C8="","",E8*F8)</f>
        <v>0</v>
      </c>
      <c r="H8" s="19">
        <f t="shared" si="12"/>
        <v>790387.722816066</v>
      </c>
      <c r="I8" s="56">
        <f>IF(B8="","",IF(Xinput_rider_choice,IF(Annuity_CashFlow!B8&gt;=40,Annuity_CashFlow!G8*rider_bonus,0),0))</f>
        <v>0</v>
      </c>
      <c r="J8" s="19">
        <f>IF(B8="","",IF(AND(B8&gt;=Xinput_income_start_age,B8&lt;=Xoutput_income_end_age),Summary!$D$63*((1+Summary!$D$61)^(Annuity_CashFlow!B8-Xinput_income_start_age)),0))</f>
        <v>0</v>
      </c>
      <c r="K8" s="20">
        <f t="shared" si="5"/>
        <v>0</v>
      </c>
      <c r="L8" s="19">
        <f t="shared" si="6"/>
        <v>5556.4256913969448</v>
      </c>
      <c r="M8" s="19">
        <f>IF(IF(B8="","",H8+I8-SUM(J8:L8))&lt;0,0,IF(B8="","",H8+I8-SUM(J8:L8)))</f>
        <v>784831.29712466907</v>
      </c>
      <c r="N8" s="19">
        <f>IF(B8="","",W8*M8)</f>
        <v>58862.347284350188</v>
      </c>
      <c r="O8" s="20">
        <f t="shared" si="7"/>
        <v>731525.37553171581</v>
      </c>
      <c r="P8" s="19">
        <f t="shared" si="10"/>
        <v>790387.722816066</v>
      </c>
      <c r="R8" s="45">
        <f>IF(B8="","",INDEX(index_sum_return_table,MATCH(C8,'Index Selection'!$I$3:$I$104,0),11))</f>
        <v>-6.7901226227793016E-2</v>
      </c>
      <c r="S8" s="45">
        <f t="shared" si="0"/>
        <v>3.2500000000000001E-2</v>
      </c>
      <c r="T8" s="55">
        <f t="shared" si="1"/>
        <v>1</v>
      </c>
      <c r="U8" s="45">
        <f t="shared" si="2"/>
        <v>0</v>
      </c>
      <c r="V8" s="60">
        <f>IF(B8="","",_xlfn.IFNA(INDEX(coi_table,MATCH(B8,COI_rate!$A$1:$A$102,0),MATCH(Xinput_gender,COI_rate!$A$1:$C$1,0)),V7))</f>
        <v>7.0300000000000007E-3</v>
      </c>
      <c r="W8" s="45">
        <f>IF(B8="","",_xlfn.IFNA(VLOOKUP(C8,surrender_charge!$A$1:$B$12,2,FALSE),0))</f>
        <v>7.5000000000000011E-2</v>
      </c>
      <c r="X8" s="70">
        <f>IF(B8="","",IF(B8&lt;Xinput_income_start_age,0,IF(B8&gt;Xoutput_income_end_age,0,IF(income_option=1,VLOOKUP(Xinput_income_start_age,withdrawal_percentage!$A$2:$D$32,1+income_option,FALSE),VLOOKUP(Xinput_income_start_age,withdrawal_percentage!$A$2:$D$32,1+income_option,FALSE)+((B8-Xinput_income_start_age)*VLOOKUP(Xinput_income_start_age,withdrawal_percentage!$A$2:$D$32,2+income_option,FALSE))))))</f>
        <v>0</v>
      </c>
    </row>
    <row r="9" spans="2:25" ht="22.2" customHeight="1" thickTop="1" thickBot="1">
      <c r="B9" s="63">
        <f t="shared" si="13"/>
        <v>61</v>
      </c>
      <c r="C9" s="17">
        <f t="shared" si="8"/>
        <v>6</v>
      </c>
      <c r="D9" s="19">
        <f t="shared" si="3"/>
        <v>900000</v>
      </c>
      <c r="E9" s="57">
        <f t="shared" si="11"/>
        <v>934831.29712466907</v>
      </c>
      <c r="F9" s="54">
        <f t="shared" si="4"/>
        <v>3.2500000000000001E-2</v>
      </c>
      <c r="G9" s="19">
        <f t="shared" si="9"/>
        <v>30382.017156551745</v>
      </c>
      <c r="H9" s="19">
        <f t="shared" si="12"/>
        <v>965213.31428122078</v>
      </c>
      <c r="I9" s="56">
        <f>IF(B9="","",IF(Xinput_rider_choice,IF(Annuity_CashFlow!B9&gt;=40,Annuity_CashFlow!G9*rider_bonus,0),0))</f>
        <v>0</v>
      </c>
      <c r="J9" s="19">
        <f>IF(B9="","",IF(AND(B9&gt;=Xinput_income_start_age,B9&lt;=Xoutput_income_end_age),Summary!$D$63*((1+Summary!$D$61)^(Annuity_CashFlow!B9-Xinput_income_start_age)),0))</f>
        <v>0</v>
      </c>
      <c r="K9" s="20">
        <f>IF(B9="","",IF(B9&lt;Xinput_income_start_age,rider_rate*H9,0))</f>
        <v>0</v>
      </c>
      <c r="L9" s="19">
        <f>IF(B9="","",P9*V9)</f>
        <v>7306.6647891088414</v>
      </c>
      <c r="M9" s="19">
        <f t="shared" ref="M9:M68" si="14">IF(IF(B9="","",H9+I9-SUM(J9:L9))&lt;0,0,IF(B9="","",H9+I9-SUM(J9:L9)))</f>
        <v>957906.64949211199</v>
      </c>
      <c r="N9" s="19">
        <f t="shared" ref="N9:N68" si="15">IF(B9="","",W9*M9)</f>
        <v>59869.165593257014</v>
      </c>
      <c r="O9" s="20">
        <f t="shared" si="7"/>
        <v>905344.14868796372</v>
      </c>
      <c r="P9" s="19">
        <f t="shared" si="10"/>
        <v>965213.31428122078</v>
      </c>
      <c r="R9" s="45">
        <f>IF(B9="","",INDEX(index_sum_return_table,MATCH(C9,'Index Selection'!$I$3:$I$104,0),11))</f>
        <v>0.24602677201713347</v>
      </c>
      <c r="S9" s="45">
        <f t="shared" si="0"/>
        <v>3.2500000000000001E-2</v>
      </c>
      <c r="T9" s="55">
        <f t="shared" si="1"/>
        <v>1</v>
      </c>
      <c r="U9" s="45">
        <f t="shared" si="2"/>
        <v>0</v>
      </c>
      <c r="V9" s="60">
        <f>IF(B9="","",_xlfn.IFNA(INDEX(coi_table,MATCH(B9,COI_rate!$A$1:$A$102,0),MATCH(Xinput_gender,COI_rate!$A$1:$C$1,0)),V8))</f>
        <v>7.5700000000000003E-3</v>
      </c>
      <c r="W9" s="45">
        <f>IF(B9="","",_xlfn.IFNA(VLOOKUP(C9,surrender_charge!$A$1:$B$12,2,FALSE),0))</f>
        <v>6.2500000000000014E-2</v>
      </c>
      <c r="X9" s="70">
        <f>IF(B9="","",IF(B9&lt;Xinput_income_start_age,0,IF(B9&gt;Xoutput_income_end_age,0,IF(income_option=1,VLOOKUP(Xinput_income_start_age,withdrawal_percentage!$A$2:$D$32,1+income_option,FALSE),VLOOKUP(Xinput_income_start_age,withdrawal_percentage!$A$2:$D$32,1+income_option,FALSE)+((B9-Xinput_income_start_age)*VLOOKUP(Xinput_income_start_age,withdrawal_percentage!$A$2:$D$32,2+income_option,FALSE))))))</f>
        <v>0</v>
      </c>
    </row>
    <row r="10" spans="2:25" ht="22.2" customHeight="1" thickTop="1" thickBot="1">
      <c r="B10" s="63">
        <f t="shared" si="13"/>
        <v>62</v>
      </c>
      <c r="C10" s="17">
        <f t="shared" si="8"/>
        <v>7</v>
      </c>
      <c r="D10" s="19">
        <f t="shared" si="3"/>
        <v>1050000</v>
      </c>
      <c r="E10" s="57">
        <f t="shared" si="11"/>
        <v>1107906.649492112</v>
      </c>
      <c r="F10" s="54">
        <f t="shared" si="4"/>
        <v>3.2500000000000001E-2</v>
      </c>
      <c r="G10" s="19">
        <f t="shared" si="9"/>
        <v>36006.966108493638</v>
      </c>
      <c r="H10" s="19">
        <f>IF(B10="","",E10+G10)</f>
        <v>1143913.6156006057</v>
      </c>
      <c r="I10" s="56">
        <f>IF(B10="","",IF(Xinput_rider_choice,IF(Annuity_CashFlow!B10&gt;=40,Annuity_CashFlow!G10*rider_bonus,0),0))</f>
        <v>0</v>
      </c>
      <c r="J10" s="19">
        <f>IF(B10="","",IF(AND(B10&gt;=Xinput_income_start_age,B10&lt;=Xoutput_income_end_age),Summary!$D$63*((1+Summary!$D$61)^(Annuity_CashFlow!B10-Xinput_income_start_age)),0))</f>
        <v>0</v>
      </c>
      <c r="K10" s="20">
        <f t="shared" si="5"/>
        <v>0</v>
      </c>
      <c r="L10" s="19">
        <f t="shared" si="6"/>
        <v>9322.8959671449375</v>
      </c>
      <c r="M10" s="19">
        <f t="shared" si="14"/>
        <v>1134590.7196334607</v>
      </c>
      <c r="N10" s="19">
        <f t="shared" si="15"/>
        <v>56729.535981673056</v>
      </c>
      <c r="O10" s="20">
        <f t="shared" si="7"/>
        <v>1087184.0796189327</v>
      </c>
      <c r="P10" s="19">
        <f t="shared" si="10"/>
        <v>1143913.6156006057</v>
      </c>
      <c r="R10" s="45">
        <f>IF(B10="","",INDEX(index_sum_return_table,MATCH(C10,'Index Selection'!$I$3:$I$104,0),11))</f>
        <v>0.21704492448707385</v>
      </c>
      <c r="S10" s="45">
        <f t="shared" si="0"/>
        <v>3.2500000000000001E-2</v>
      </c>
      <c r="T10" s="55">
        <f t="shared" si="1"/>
        <v>1</v>
      </c>
      <c r="U10" s="45">
        <f t="shared" si="2"/>
        <v>0</v>
      </c>
      <c r="V10" s="60">
        <f>IF(B10="","",_xlfn.IFNA(INDEX(coi_table,MATCH(B10,COI_rate!$A$1:$A$102,0),MATCH(Xinput_gender,COI_rate!$A$1:$C$1,0)),V9))</f>
        <v>8.150000000000001E-3</v>
      </c>
      <c r="W10" s="45">
        <f>IF(B10="","",_xlfn.IFNA(VLOOKUP(C10,surrender_charge!$A$1:$B$12,2,FALSE),0))</f>
        <v>5.0000000000000017E-2</v>
      </c>
      <c r="X10" s="70">
        <f>IF(B10="","",IF(B10&lt;Xinput_income_start_age,0,IF(B10&gt;Xoutput_income_end_age,0,IF(income_option=1,VLOOKUP(Xinput_income_start_age,withdrawal_percentage!$A$2:$D$32,1+income_option,FALSE),VLOOKUP(Xinput_income_start_age,withdrawal_percentage!$A$2:$D$32,1+income_option,FALSE)+((B10-Xinput_income_start_age)*VLOOKUP(Xinput_income_start_age,withdrawal_percentage!$A$2:$D$32,2+income_option,FALSE))))))</f>
        <v>0</v>
      </c>
    </row>
    <row r="11" spans="2:25" ht="22.2" customHeight="1" thickTop="1" thickBot="1">
      <c r="B11" s="63">
        <f t="shared" si="13"/>
        <v>63</v>
      </c>
      <c r="C11" s="17">
        <f t="shared" si="8"/>
        <v>8</v>
      </c>
      <c r="D11" s="19">
        <f t="shared" si="3"/>
        <v>1200000</v>
      </c>
      <c r="E11" s="57">
        <f t="shared" si="11"/>
        <v>1284590.7196334607</v>
      </c>
      <c r="F11" s="54">
        <f t="shared" si="4"/>
        <v>3.0752287782957875E-2</v>
      </c>
      <c r="G11" s="19">
        <f t="shared" si="9"/>
        <v>39504.103493485141</v>
      </c>
      <c r="H11" s="19">
        <f>IF(B11="","",E11+G11)</f>
        <v>1324094.8231269459</v>
      </c>
      <c r="I11" s="56">
        <f>IF(B11="","",IF(Xinput_rider_choice,IF(Annuity_CashFlow!B11&gt;=40,Annuity_CashFlow!G11*rider_bonus,0),0))</f>
        <v>0</v>
      </c>
      <c r="J11" s="19">
        <f>IF(B11="","",IF(AND(B11&gt;=Xinput_income_start_age,B11&lt;=Xoutput_income_end_age),Summary!$D$63*((1+Summary!$D$61)^(Annuity_CashFlow!B11-Xinput_income_start_age)),0))</f>
        <v>0</v>
      </c>
      <c r="K11" s="20">
        <f t="shared" si="5"/>
        <v>0</v>
      </c>
      <c r="L11" s="19">
        <f t="shared" si="6"/>
        <v>11638.793495285854</v>
      </c>
      <c r="M11" s="19">
        <f t="shared" si="14"/>
        <v>1312456.0296316601</v>
      </c>
      <c r="N11" s="19">
        <f t="shared" si="15"/>
        <v>49217.101111187279</v>
      </c>
      <c r="O11" s="20">
        <f t="shared" ref="O11:O68" si="16">IF(B11="","",H11+I11-N11)</f>
        <v>1274877.7220157585</v>
      </c>
      <c r="P11" s="19">
        <f t="shared" si="10"/>
        <v>1324094.8231269459</v>
      </c>
      <c r="R11" s="45">
        <f>IF(B11="","",INDEX(index_sum_return_table,MATCH(C11,'Index Selection'!$I$3:$I$104,0),11))</f>
        <v>3.0752287782957875E-2</v>
      </c>
      <c r="S11" s="45">
        <f t="shared" si="0"/>
        <v>3.2500000000000001E-2</v>
      </c>
      <c r="T11" s="55">
        <f t="shared" si="1"/>
        <v>1</v>
      </c>
      <c r="U11" s="45">
        <f t="shared" si="2"/>
        <v>0</v>
      </c>
      <c r="V11" s="60">
        <f>IF(B11="","",_xlfn.IFNA(INDEX(coi_table,MATCH(B11,COI_rate!$A$1:$A$102,0),MATCH(Xinput_gender,COI_rate!$A$1:$C$1,0)),V10))</f>
        <v>8.7899999999999992E-3</v>
      </c>
      <c r="W11" s="45">
        <f>IF(B11="","",_xlfn.IFNA(VLOOKUP(C11,surrender_charge!$A$1:$B$12,2,FALSE),0))</f>
        <v>3.7500000000000019E-2</v>
      </c>
      <c r="X11" s="70">
        <f>IF(B11="","",IF(B11&lt;Xinput_income_start_age,0,IF(B11&gt;Xoutput_income_end_age,0,IF(income_option=1,VLOOKUP(Xinput_income_start_age,withdrawal_percentage!$A$2:$D$32,1+income_option,FALSE),VLOOKUP(Xinput_income_start_age,withdrawal_percentage!$A$2:$D$32,1+income_option,FALSE)+((B11-Xinput_income_start_age)*VLOOKUP(Xinput_income_start_age,withdrawal_percentage!$A$2:$D$32,2+income_option,FALSE))))))</f>
        <v>0</v>
      </c>
    </row>
    <row r="12" spans="2:25" ht="22.2" customHeight="1" thickTop="1" thickBot="1">
      <c r="B12" s="63">
        <f t="shared" si="13"/>
        <v>64</v>
      </c>
      <c r="C12" s="17">
        <f t="shared" si="8"/>
        <v>9</v>
      </c>
      <c r="D12" s="19">
        <f t="shared" si="3"/>
        <v>1350000</v>
      </c>
      <c r="E12" s="57">
        <f t="shared" si="11"/>
        <v>1462456.0296316601</v>
      </c>
      <c r="F12" s="54">
        <f t="shared" si="4"/>
        <v>3.2500000000000001E-2</v>
      </c>
      <c r="G12" s="19">
        <f t="shared" si="9"/>
        <v>47529.820963028957</v>
      </c>
      <c r="H12" s="19">
        <f>IF(B12="","",E12+G12)</f>
        <v>1509985.8505946891</v>
      </c>
      <c r="I12" s="56">
        <f>IF(B12="","",IF(Xinput_rider_choice,IF(Annuity_CashFlow!B12&gt;=40,Annuity_CashFlow!G12*rider_bonus,0),0))</f>
        <v>0</v>
      </c>
      <c r="J12" s="19">
        <f>IF(B12="","",IF(AND(B12&gt;=Xinput_income_start_age,B12&lt;=Xoutput_income_end_age),Summary!$D$63*((1+Summary!$D$61)^(Annuity_CashFlow!B12-Xinput_income_start_age)),0))</f>
        <v>0</v>
      </c>
      <c r="K12" s="20">
        <f t="shared" si="5"/>
        <v>0</v>
      </c>
      <c r="L12" s="19">
        <f t="shared" si="6"/>
        <v>14299.566005131708</v>
      </c>
      <c r="M12" s="19">
        <f t="shared" si="14"/>
        <v>1495686.2845895574</v>
      </c>
      <c r="N12" s="19">
        <f t="shared" si="15"/>
        <v>37392.157114738962</v>
      </c>
      <c r="O12" s="20">
        <f t="shared" si="16"/>
        <v>1472593.6934799501</v>
      </c>
      <c r="P12" s="19">
        <f t="shared" si="10"/>
        <v>1509985.8505946891</v>
      </c>
      <c r="R12" s="45">
        <f>IF(B12="","",INDEX(index_sum_return_table,MATCH(C12,'Index Selection'!$I$3:$I$104,0),11))</f>
        <v>0.12658867435913132</v>
      </c>
      <c r="S12" s="45">
        <f t="shared" si="0"/>
        <v>3.2500000000000001E-2</v>
      </c>
      <c r="T12" s="55">
        <f t="shared" si="1"/>
        <v>1</v>
      </c>
      <c r="U12" s="45">
        <f t="shared" si="2"/>
        <v>0</v>
      </c>
      <c r="V12" s="60">
        <f>IF(B12="","",_xlfn.IFNA(INDEX(coi_table,MATCH(B12,COI_rate!$A$1:$A$102,0),MATCH(Xinput_gender,COI_rate!$A$1:$C$1,0)),V11))</f>
        <v>9.470000000000001E-3</v>
      </c>
      <c r="W12" s="45">
        <f>IF(B12="","",_xlfn.IFNA(VLOOKUP(C12,surrender_charge!$A$1:$B$12,2,FALSE),0))</f>
        <v>2.5000000000000019E-2</v>
      </c>
      <c r="X12" s="70">
        <f>IF(B12="","",IF(B12&lt;Xinput_income_start_age,0,IF(B12&gt;Xoutput_income_end_age,0,IF(income_option=1,VLOOKUP(Xinput_income_start_age,withdrawal_percentage!$A$2:$D$32,1+income_option,FALSE),VLOOKUP(Xinput_income_start_age,withdrawal_percentage!$A$2:$D$32,1+income_option,FALSE)+((B12-Xinput_income_start_age)*VLOOKUP(Xinput_income_start_age,withdrawal_percentage!$A$2:$D$32,2+income_option,FALSE))))))</f>
        <v>0</v>
      </c>
    </row>
    <row r="13" spans="2:25" ht="22.2" customHeight="1" thickTop="1" thickBot="1">
      <c r="B13" s="63">
        <f t="shared" si="13"/>
        <v>65</v>
      </c>
      <c r="C13" s="17">
        <f t="shared" si="8"/>
        <v>10</v>
      </c>
      <c r="D13" s="19">
        <f t="shared" si="3"/>
        <v>1500000</v>
      </c>
      <c r="E13" s="57">
        <f t="shared" si="11"/>
        <v>1645686.2845895574</v>
      </c>
      <c r="F13" s="54">
        <f t="shared" si="4"/>
        <v>3.2500000000000001E-2</v>
      </c>
      <c r="G13" s="19">
        <f t="shared" si="9"/>
        <v>53484.804249160617</v>
      </c>
      <c r="H13" s="19">
        <f t="shared" si="12"/>
        <v>1699171.0888387181</v>
      </c>
      <c r="I13" s="56">
        <f>IF(B13="","",IF(Xinput_rider_choice,IF(Annuity_CashFlow!B13&gt;=40,Annuity_CashFlow!G13*rider_bonus,0),0))</f>
        <v>0</v>
      </c>
      <c r="J13" s="19">
        <f>IF(B13="","",IF(AND(B13&gt;=Xinput_income_start_age,B13&lt;=Xoutput_income_end_age),Summary!$D$63*((1+Summary!$D$61)^(Annuity_CashFlow!B13-Xinput_income_start_age)),0))</f>
        <v>0</v>
      </c>
      <c r="K13" s="20">
        <f t="shared" si="5"/>
        <v>0</v>
      </c>
      <c r="L13" s="19">
        <f t="shared" si="6"/>
        <v>17348.536817043314</v>
      </c>
      <c r="M13" s="19">
        <f t="shared" si="14"/>
        <v>1681822.5520216748</v>
      </c>
      <c r="N13" s="19">
        <f t="shared" si="15"/>
        <v>21022.781900270966</v>
      </c>
      <c r="O13" s="20">
        <f t="shared" si="16"/>
        <v>1678148.3069384471</v>
      </c>
      <c r="P13" s="19">
        <f t="shared" si="10"/>
        <v>1699171.0888387181</v>
      </c>
      <c r="R13" s="45">
        <f>IF(B13="","",INDEX(index_sum_return_table,MATCH(C13,'Index Selection'!$I$3:$I$104,0),11))</f>
        <v>0.4442153827442783</v>
      </c>
      <c r="S13" s="45">
        <f t="shared" si="0"/>
        <v>3.2500000000000001E-2</v>
      </c>
      <c r="T13" s="55">
        <f t="shared" si="1"/>
        <v>1</v>
      </c>
      <c r="U13" s="45">
        <f t="shared" si="2"/>
        <v>0</v>
      </c>
      <c r="V13" s="60">
        <f>IF(B13="","",_xlfn.IFNA(INDEX(coi_table,MATCH(B13,COI_rate!$A$1:$A$102,0),MATCH(Xinput_gender,COI_rate!$A$1:$C$1,0)),V12))</f>
        <v>1.021E-2</v>
      </c>
      <c r="W13" s="45">
        <f>IF(B13="","",_xlfn.IFNA(VLOOKUP(C13,surrender_charge!$A$1:$B$12,2,FALSE),0))</f>
        <v>1.2500000000000018E-2</v>
      </c>
      <c r="X13" s="70">
        <f>IF(B13="","",IF(B13&lt;Xinput_income_start_age,0,IF(B13&gt;Xoutput_income_end_age,0,IF(income_option=1,VLOOKUP(Xinput_income_start_age,withdrawal_percentage!$A$2:$D$32,1+income_option,FALSE),VLOOKUP(Xinput_income_start_age,withdrawal_percentage!$A$2:$D$32,1+income_option,FALSE)+((B13-Xinput_income_start_age)*VLOOKUP(Xinput_income_start_age,withdrawal_percentage!$A$2:$D$32,2+income_option,FALSE))))))</f>
        <v>0</v>
      </c>
    </row>
    <row r="14" spans="2:25" ht="22.2" customHeight="1" thickTop="1" thickBot="1">
      <c r="B14" s="63">
        <f t="shared" si="13"/>
        <v>66</v>
      </c>
      <c r="C14" s="17">
        <f t="shared" si="8"/>
        <v>11</v>
      </c>
      <c r="D14" s="19">
        <f t="shared" si="3"/>
        <v>1500000</v>
      </c>
      <c r="E14" s="57">
        <f t="shared" si="11"/>
        <v>1681822.5520216748</v>
      </c>
      <c r="F14" s="54">
        <f t="shared" si="4"/>
        <v>0</v>
      </c>
      <c r="G14" s="19">
        <f t="shared" si="9"/>
        <v>0</v>
      </c>
      <c r="H14" s="19">
        <f>IF(B14="","",E14+G14)</f>
        <v>1681822.5520216748</v>
      </c>
      <c r="I14" s="56">
        <f>IF(B14="","",IF(Xinput_rider_choice,IF(Annuity_CashFlow!B14&gt;=40,Annuity_CashFlow!G14*rider_bonus,0),0))</f>
        <v>0</v>
      </c>
      <c r="J14" s="19">
        <f>IF(B14="","",IF(AND(B14&gt;=Xinput_income_start_age,B14&lt;=Xoutput_income_end_age),Summary!$D$63*((1+Summary!$D$61)^(Annuity_CashFlow!B14-Xinput_income_start_age)),0))</f>
        <v>0</v>
      </c>
      <c r="K14" s="20">
        <f t="shared" si="5"/>
        <v>0</v>
      </c>
      <c r="L14" s="19">
        <f t="shared" si="6"/>
        <v>18516.866297758639</v>
      </c>
      <c r="M14" s="19">
        <f t="shared" si="14"/>
        <v>1663305.6857239162</v>
      </c>
      <c r="N14" s="19">
        <f t="shared" si="15"/>
        <v>2.8853754207509784E-11</v>
      </c>
      <c r="O14" s="20">
        <f t="shared" si="16"/>
        <v>1681822.5520216748</v>
      </c>
      <c r="P14" s="19">
        <f t="shared" si="10"/>
        <v>1681822.5520216748</v>
      </c>
      <c r="R14" s="45">
        <f>IF(B14="","",INDEX(index_sum_return_table,MATCH(C14,'Index Selection'!$I$3:$I$104,0),11))</f>
        <v>-0.74008023272287837</v>
      </c>
      <c r="S14" s="45">
        <f t="shared" si="0"/>
        <v>3.2500000000000001E-2</v>
      </c>
      <c r="T14" s="55">
        <f t="shared" si="1"/>
        <v>1</v>
      </c>
      <c r="U14" s="45">
        <f t="shared" si="2"/>
        <v>0</v>
      </c>
      <c r="V14" s="60">
        <f>IF(B14="","",_xlfn.IFNA(INDEX(coi_table,MATCH(B14,COI_rate!$A$1:$A$102,0),MATCH(Xinput_gender,COI_rate!$A$1:$C$1,0)),V13))</f>
        <v>1.1009999999999999E-2</v>
      </c>
      <c r="W14" s="45">
        <f>IF(B14="","",_xlfn.IFNA(VLOOKUP(C14,surrender_charge!$A$1:$B$12,2,FALSE),0))</f>
        <v>1.7347234759768071E-17</v>
      </c>
      <c r="X14" s="70">
        <f>IF(B14="","",IF(B14&lt;Xinput_income_start_age,0,IF(B14&gt;Xoutput_income_end_age,0,IF(income_option=1,VLOOKUP(Xinput_income_start_age,withdrawal_percentage!$A$2:$D$32,1+income_option,FALSE),VLOOKUP(Xinput_income_start_age,withdrawal_percentage!$A$2:$D$32,1+income_option,FALSE)+((B14-Xinput_income_start_age)*VLOOKUP(Xinput_income_start_age,withdrawal_percentage!$A$2:$D$32,2+income_option,FALSE))))))</f>
        <v>0</v>
      </c>
    </row>
    <row r="15" spans="2:25" ht="22.2" customHeight="1" thickTop="1" thickBot="1">
      <c r="B15" s="63">
        <f t="shared" si="13"/>
        <v>67</v>
      </c>
      <c r="C15" s="17">
        <f t="shared" si="8"/>
        <v>12</v>
      </c>
      <c r="D15" s="19">
        <f t="shared" si="3"/>
        <v>1500000</v>
      </c>
      <c r="E15" s="57">
        <f t="shared" si="11"/>
        <v>1663305.6857239162</v>
      </c>
      <c r="F15" s="54">
        <f t="shared" si="4"/>
        <v>3.2500000000000001E-2</v>
      </c>
      <c r="G15" s="19">
        <f t="shared" si="9"/>
        <v>54057.434786027276</v>
      </c>
      <c r="H15" s="19">
        <f t="shared" si="12"/>
        <v>1717363.1205099435</v>
      </c>
      <c r="I15" s="56">
        <f>IF(B15="","",IF(Xinput_rider_choice,IF(Annuity_CashFlow!B15&gt;=40,Annuity_CashFlow!G15*rider_bonus,0),0))</f>
        <v>0</v>
      </c>
      <c r="J15" s="19">
        <f>IF(B15="","",IF(AND(B15&gt;=Xinput_income_start_age,B15&lt;=Xoutput_income_end_age),Summary!$D$63*((1+Summary!$D$61)^(Annuity_CashFlow!B15-Xinput_income_start_age)),0))</f>
        <v>0</v>
      </c>
      <c r="K15" s="20">
        <f t="shared" si="5"/>
        <v>0</v>
      </c>
      <c r="L15" s="19">
        <f t="shared" si="6"/>
        <v>20402.27387165813</v>
      </c>
      <c r="M15" s="19">
        <f t="shared" si="14"/>
        <v>1696960.8466382853</v>
      </c>
      <c r="N15" s="19">
        <f t="shared" si="15"/>
        <v>0</v>
      </c>
      <c r="O15" s="20">
        <f t="shared" si="16"/>
        <v>1717363.1205099435</v>
      </c>
      <c r="P15" s="19">
        <f t="shared" si="10"/>
        <v>1717363.1205099435</v>
      </c>
      <c r="R15" s="45">
        <f>IF(B15="","",INDEX(index_sum_return_table,MATCH(C15,'Index Selection'!$I$3:$I$104,0),11))</f>
        <v>7.2360351381524496E-2</v>
      </c>
      <c r="S15" s="45">
        <f t="shared" si="0"/>
        <v>3.2500000000000001E-2</v>
      </c>
      <c r="T15" s="55">
        <f t="shared" si="1"/>
        <v>1</v>
      </c>
      <c r="U15" s="45">
        <f t="shared" si="2"/>
        <v>0</v>
      </c>
      <c r="V15" s="60">
        <f>IF(B15="","",_xlfn.IFNA(INDEX(coi_table,MATCH(B15,COI_rate!$A$1:$A$102,0),MATCH(Xinput_gender,COI_rate!$A$1:$C$1,0)),V14))</f>
        <v>1.188E-2</v>
      </c>
      <c r="W15" s="45">
        <f>IF(B15="","",_xlfn.IFNA(VLOOKUP(C15,surrender_charge!$A$1:$B$12,2,FALSE),0))</f>
        <v>0</v>
      </c>
      <c r="X15" s="70">
        <f>IF(B15="","",IF(B15&lt;Xinput_income_start_age,0,IF(B15&gt;Xoutput_income_end_age,0,IF(income_option=1,VLOOKUP(Xinput_income_start_age,withdrawal_percentage!$A$2:$D$32,1+income_option,FALSE),VLOOKUP(Xinput_income_start_age,withdrawal_percentage!$A$2:$D$32,1+income_option,FALSE)+((B15-Xinput_income_start_age)*VLOOKUP(Xinput_income_start_age,withdrawal_percentage!$A$2:$D$32,2+income_option,FALSE))))))</f>
        <v>0</v>
      </c>
    </row>
    <row r="16" spans="2:25" ht="22.2" customHeight="1" thickTop="1" thickBot="1">
      <c r="B16" s="63">
        <f t="shared" si="13"/>
        <v>68</v>
      </c>
      <c r="C16" s="17">
        <f t="shared" si="8"/>
        <v>13</v>
      </c>
      <c r="D16" s="19">
        <f t="shared" si="3"/>
        <v>1500000</v>
      </c>
      <c r="E16" s="57">
        <f t="shared" si="11"/>
        <v>1696960.8466382853</v>
      </c>
      <c r="F16" s="54">
        <f t="shared" si="4"/>
        <v>3.2500000000000001E-2</v>
      </c>
      <c r="G16" s="19">
        <f t="shared" si="9"/>
        <v>55151.227515744278</v>
      </c>
      <c r="H16" s="19">
        <f t="shared" si="12"/>
        <v>1752112.0741540296</v>
      </c>
      <c r="I16" s="56">
        <f>IF(B16="","",IF(Xinput_rider_choice,IF(Annuity_CashFlow!B16&gt;=40,Annuity_CashFlow!G16*rider_bonus,0),0))</f>
        <v>0</v>
      </c>
      <c r="J16" s="19">
        <f>IF(B16="","",IF(AND(B16&gt;=Xinput_income_start_age,B16&lt;=Xoutput_income_end_age),Summary!$D$63*((1+Summary!$D$61)^(Annuity_CashFlow!B16-Xinput_income_start_age)),0))</f>
        <v>0</v>
      </c>
      <c r="K16" s="20">
        <f t="shared" si="5"/>
        <v>0</v>
      </c>
      <c r="L16" s="19">
        <f t="shared" si="6"/>
        <v>22462.076790654661</v>
      </c>
      <c r="M16" s="19">
        <f t="shared" si="14"/>
        <v>1729649.997363375</v>
      </c>
      <c r="N16" s="19">
        <f t="shared" si="15"/>
        <v>0</v>
      </c>
      <c r="O16" s="20">
        <f t="shared" si="16"/>
        <v>1752112.0741540296</v>
      </c>
      <c r="P16" s="19">
        <f t="shared" si="10"/>
        <v>1752112.0741540296</v>
      </c>
      <c r="R16" s="45">
        <f>IF(B16="","",INDEX(index_sum_return_table,MATCH(C16,'Index Selection'!$I$3:$I$104,0),11))</f>
        <v>7.6563694969547499E-2</v>
      </c>
      <c r="S16" s="45">
        <f t="shared" si="0"/>
        <v>3.2500000000000001E-2</v>
      </c>
      <c r="T16" s="55">
        <f t="shared" si="1"/>
        <v>1</v>
      </c>
      <c r="U16" s="45">
        <f t="shared" si="2"/>
        <v>0</v>
      </c>
      <c r="V16" s="60">
        <f>IF(B16="","",_xlfn.IFNA(INDEX(coi_table,MATCH(B16,COI_rate!$A$1:$A$102,0),MATCH(Xinput_gender,COI_rate!$A$1:$C$1,0)),V15))</f>
        <v>1.282E-2</v>
      </c>
      <c r="W16" s="45">
        <f>IF(B16="","",_xlfn.IFNA(VLOOKUP(C16,surrender_charge!$A$1:$B$12,2,FALSE),0))</f>
        <v>0</v>
      </c>
      <c r="X16" s="70">
        <f>IF(B16="","",IF(B16&lt;Xinput_income_start_age,0,IF(B16&gt;Xoutput_income_end_age,0,IF(income_option=1,VLOOKUP(Xinput_income_start_age,withdrawal_percentage!$A$2:$D$32,1+income_option,FALSE),VLOOKUP(Xinput_income_start_age,withdrawal_percentage!$A$2:$D$32,1+income_option,FALSE)+((B16-Xinput_income_start_age)*VLOOKUP(Xinput_income_start_age,withdrawal_percentage!$A$2:$D$32,2+income_option,FALSE))))))</f>
        <v>0</v>
      </c>
    </row>
    <row r="17" spans="2:24" ht="22.2" customHeight="1" thickTop="1" thickBot="1">
      <c r="B17" s="63">
        <f t="shared" si="13"/>
        <v>69</v>
      </c>
      <c r="C17" s="17">
        <f t="shared" si="8"/>
        <v>14</v>
      </c>
      <c r="D17" s="19">
        <f t="shared" si="3"/>
        <v>1500000</v>
      </c>
      <c r="E17" s="57">
        <f t="shared" si="11"/>
        <v>1729649.997363375</v>
      </c>
      <c r="F17" s="54">
        <f t="shared" si="4"/>
        <v>3.2500000000000001E-2</v>
      </c>
      <c r="G17" s="19">
        <f t="shared" si="9"/>
        <v>56213.624914309694</v>
      </c>
      <c r="H17" s="19">
        <f t="shared" si="12"/>
        <v>1785863.6222776847</v>
      </c>
      <c r="I17" s="56">
        <f>IF(B17="","",IF(Xinput_rider_choice,IF(Annuity_CashFlow!B17&gt;=40,Annuity_CashFlow!G17*rider_bonus,0),0))</f>
        <v>0</v>
      </c>
      <c r="J17" s="19">
        <f>IF(B17="","",IF(AND(B17&gt;=Xinput_income_start_age,B17&lt;=Xoutput_income_end_age),Summary!$D$63*((1+Summary!$D$61)^(Annuity_CashFlow!B17-Xinput_income_start_age)),0))</f>
        <v>0</v>
      </c>
      <c r="K17" s="20">
        <f t="shared" si="5"/>
        <v>0</v>
      </c>
      <c r="L17" s="19">
        <f t="shared" si="6"/>
        <v>24716.352532323155</v>
      </c>
      <c r="M17" s="19">
        <f t="shared" si="14"/>
        <v>1761147.2697453615</v>
      </c>
      <c r="N17" s="19">
        <f t="shared" si="15"/>
        <v>0</v>
      </c>
      <c r="O17" s="20">
        <f t="shared" si="16"/>
        <v>1785863.6222776847</v>
      </c>
      <c r="P17" s="19">
        <f t="shared" si="10"/>
        <v>1785863.6222776847</v>
      </c>
      <c r="R17" s="45">
        <f>IF(B17="","",INDEX(index_sum_return_table,MATCH(C17,'Index Selection'!$I$3:$I$104,0),11))</f>
        <v>0.28863000556276613</v>
      </c>
      <c r="S17" s="45">
        <f t="shared" si="0"/>
        <v>3.2500000000000001E-2</v>
      </c>
      <c r="T17" s="55">
        <f t="shared" si="1"/>
        <v>1</v>
      </c>
      <c r="U17" s="45">
        <f t="shared" si="2"/>
        <v>0</v>
      </c>
      <c r="V17" s="60">
        <f>IF(B17="","",_xlfn.IFNA(INDEX(coi_table,MATCH(B17,COI_rate!$A$1:$A$102,0),MATCH(Xinput_gender,COI_rate!$A$1:$C$1,0)),V16))</f>
        <v>1.384E-2</v>
      </c>
      <c r="W17" s="45">
        <f>IF(B17="","",_xlfn.IFNA(VLOOKUP(C17,surrender_charge!$A$1:$B$12,2,FALSE),0))</f>
        <v>0</v>
      </c>
      <c r="X17" s="70">
        <f>IF(B17="","",IF(B17&lt;Xinput_income_start_age,0,IF(B17&gt;Xoutput_income_end_age,0,IF(income_option=1,VLOOKUP(Xinput_income_start_age,withdrawal_percentage!$A$2:$D$32,1+income_option,FALSE),VLOOKUP(Xinput_income_start_age,withdrawal_percentage!$A$2:$D$32,1+income_option,FALSE)+((B17-Xinput_income_start_age)*VLOOKUP(Xinput_income_start_age,withdrawal_percentage!$A$2:$D$32,2+income_option,FALSE))))))</f>
        <v>0</v>
      </c>
    </row>
    <row r="18" spans="2:24" ht="22.2" customHeight="1" thickTop="1" thickBot="1">
      <c r="B18" s="63">
        <f t="shared" si="13"/>
        <v>70</v>
      </c>
      <c r="C18" s="17">
        <f t="shared" si="8"/>
        <v>15</v>
      </c>
      <c r="D18" s="19">
        <f t="shared" si="3"/>
        <v>1500000</v>
      </c>
      <c r="E18" s="57">
        <f t="shared" si="11"/>
        <v>1761147.2697453615</v>
      </c>
      <c r="F18" s="54">
        <f t="shared" si="4"/>
        <v>3.2500000000000001E-2</v>
      </c>
      <c r="G18" s="19">
        <f t="shared" si="9"/>
        <v>57237.286266724252</v>
      </c>
      <c r="H18" s="19">
        <f>IF(B18="","",E18+G18)</f>
        <v>1818384.5560120859</v>
      </c>
      <c r="I18" s="56">
        <f>IF(B18="","",IF(Xinput_rider_choice,IF(Annuity_CashFlow!B18&gt;=40,Annuity_CashFlow!G18*rider_bonus,0),0))</f>
        <v>0</v>
      </c>
      <c r="J18" s="19">
        <f>IF(B18="","",IF(AND(B18&gt;=Xinput_income_start_age,B18&lt;=Xoutput_income_end_age),Summary!$D$63*((1+Summary!$D$61)^(Annuity_CashFlow!B18-Xinput_income_start_age)),0))</f>
        <v>88555.327877788644</v>
      </c>
      <c r="K18" s="20">
        <f t="shared" si="5"/>
        <v>0</v>
      </c>
      <c r="L18" s="19">
        <f t="shared" si="6"/>
        <v>26680.802516828611</v>
      </c>
      <c r="M18" s="19">
        <f t="shared" si="14"/>
        <v>1703148.4256174685</v>
      </c>
      <c r="N18" s="19">
        <f t="shared" si="15"/>
        <v>0</v>
      </c>
      <c r="O18" s="20">
        <f>IF(B18="","",H18+I18-N18)</f>
        <v>1818384.5560120859</v>
      </c>
      <c r="P18" s="19">
        <f t="shared" si="10"/>
        <v>1785863.6222776847</v>
      </c>
      <c r="R18" s="45">
        <f>IF(B18="","",INDEX(index_sum_return_table,MATCH(C18,'Index Selection'!$I$3:$I$104,0),11))</f>
        <v>0.16661686470724921</v>
      </c>
      <c r="S18" s="45">
        <f t="shared" si="0"/>
        <v>3.2500000000000001E-2</v>
      </c>
      <c r="T18" s="55">
        <f t="shared" si="1"/>
        <v>1</v>
      </c>
      <c r="U18" s="45">
        <f t="shared" si="2"/>
        <v>0</v>
      </c>
      <c r="V18" s="60">
        <f>IF(B18="","",_xlfn.IFNA(INDEX(coi_table,MATCH(B18,COI_rate!$A$1:$A$102,0),MATCH(Xinput_gender,COI_rate!$A$1:$C$1,0)),V17))</f>
        <v>1.494E-2</v>
      </c>
      <c r="W18" s="45">
        <f>IF(B18="","",_xlfn.IFNA(VLOOKUP(C18,surrender_charge!$A$1:$B$12,2,FALSE),0))</f>
        <v>0</v>
      </c>
      <c r="X18" s="70">
        <f>IF(B18="","",IF(B18&lt;Xinput_income_start_age,0,IF(B18&gt;Xoutput_income_end_age,0,IF(income_option=1,VLOOKUP(Xinput_income_start_age,withdrawal_percentage!$A$2:$D$32,1+income_option,FALSE),VLOOKUP(Xinput_income_start_age,withdrawal_percentage!$A$2:$D$32,1+income_option,FALSE)+((B18-Xinput_income_start_age)*VLOOKUP(Xinput_income_start_age,withdrawal_percentage!$A$2:$D$32,2+income_option,FALSE))))))</f>
        <v>4.8700000000000035E-2</v>
      </c>
    </row>
    <row r="19" spans="2:24" ht="22.2" customHeight="1" thickTop="1" thickBot="1">
      <c r="B19" s="63">
        <f t="shared" si="13"/>
        <v>71</v>
      </c>
      <c r="C19" s="17">
        <f t="shared" si="8"/>
        <v>16</v>
      </c>
      <c r="D19" s="19">
        <f t="shared" si="3"/>
        <v>1500000</v>
      </c>
      <c r="E19" s="57">
        <f t="shared" si="11"/>
        <v>1703148.4256174685</v>
      </c>
      <c r="F19" s="54">
        <f t="shared" si="4"/>
        <v>0</v>
      </c>
      <c r="G19" s="19">
        <f t="shared" si="9"/>
        <v>0</v>
      </c>
      <c r="H19" s="19">
        <f t="shared" si="12"/>
        <v>1703148.4256174685</v>
      </c>
      <c r="I19" s="56">
        <f>IF(B19="","",IF(Xinput_rider_choice,IF(Annuity_CashFlow!B19&gt;=40,Annuity_CashFlow!G19*rider_bonus,0),0))</f>
        <v>0</v>
      </c>
      <c r="J19" s="19">
        <f>IF(B19="","",IF(AND(B19&gt;=Xinput_income_start_age,B19&lt;=Xoutput_income_end_age),Summary!$D$63*((1+Summary!$D$61)^(Annuity_CashFlow!B19-Xinput_income_start_age)),0))</f>
        <v>88555.327877788644</v>
      </c>
      <c r="K19" s="20">
        <f t="shared" ref="K19:K35" si="17">IF(B19="","",IF(B19&lt;Xinput_income_start_age,rider_rate*H19,0))</f>
        <v>0</v>
      </c>
      <c r="L19" s="19">
        <f t="shared" si="6"/>
        <v>28805.980227339052</v>
      </c>
      <c r="M19" s="19">
        <f t="shared" si="14"/>
        <v>1585787.1175123409</v>
      </c>
      <c r="N19" s="19">
        <f t="shared" si="15"/>
        <v>0</v>
      </c>
      <c r="O19" s="20">
        <f t="shared" si="16"/>
        <v>1703148.4256174685</v>
      </c>
      <c r="P19" s="19">
        <f t="shared" si="10"/>
        <v>1785863.6222776847</v>
      </c>
      <c r="R19" s="45">
        <f>IF(B19="","",INDEX(index_sum_return_table,MATCH(C19,'Index Selection'!$I$3:$I$104,0),11))</f>
        <v>-6.7901226227793016E-2</v>
      </c>
      <c r="S19" s="45">
        <f t="shared" si="0"/>
        <v>3.2500000000000001E-2</v>
      </c>
      <c r="T19" s="55">
        <f t="shared" si="1"/>
        <v>1</v>
      </c>
      <c r="U19" s="45">
        <f t="shared" si="2"/>
        <v>0</v>
      </c>
      <c r="V19" s="60">
        <f>IF(B19="","",_xlfn.IFNA(INDEX(coi_table,MATCH(B19,COI_rate!$A$1:$A$102,0),MATCH(Xinput_gender,COI_rate!$A$1:$C$1,0)),V18))</f>
        <v>1.6129999999999999E-2</v>
      </c>
      <c r="W19" s="45">
        <f>IF(B19="","",_xlfn.IFNA(VLOOKUP(C19,surrender_charge!$A$1:$B$12,2,FALSE),0))</f>
        <v>0</v>
      </c>
      <c r="X19" s="70">
        <f>IF(B19="","",IF(B19&lt;Xinput_income_start_age,0,IF(B19&gt;Xoutput_income_end_age,0,IF(income_option=1,VLOOKUP(Xinput_income_start_age,withdrawal_percentage!$A$2:$D$32,1+income_option,FALSE),VLOOKUP(Xinput_income_start_age,withdrawal_percentage!$A$2:$D$32,1+income_option,FALSE)+((B19-Xinput_income_start_age)*VLOOKUP(Xinput_income_start_age,withdrawal_percentage!$A$2:$D$32,2+income_option,FALSE))))))</f>
        <v>4.8700000000000035E-2</v>
      </c>
    </row>
    <row r="20" spans="2:24" ht="22.2" customHeight="1" thickTop="1" thickBot="1">
      <c r="B20" s="63">
        <f t="shared" si="13"/>
        <v>72</v>
      </c>
      <c r="C20" s="17">
        <f t="shared" si="8"/>
        <v>17</v>
      </c>
      <c r="D20" s="19">
        <f t="shared" si="3"/>
        <v>1500000</v>
      </c>
      <c r="E20" s="57">
        <f t="shared" si="11"/>
        <v>1585787.1175123409</v>
      </c>
      <c r="F20" s="54">
        <f t="shared" si="4"/>
        <v>3.2500000000000001E-2</v>
      </c>
      <c r="G20" s="19">
        <f t="shared" si="9"/>
        <v>51538.081319151082</v>
      </c>
      <c r="H20" s="19">
        <f t="shared" si="12"/>
        <v>1637325.1988314919</v>
      </c>
      <c r="I20" s="56">
        <f>IF(B20="","",IF(Xinput_rider_choice,IF(Annuity_CashFlow!B20&gt;=40,Annuity_CashFlow!G20*rider_bonus,0),0))</f>
        <v>0</v>
      </c>
      <c r="J20" s="19">
        <f>IF(B20="","",IF(AND(B20&gt;=Xinput_income_start_age,B20&lt;=Xoutput_income_end_age),Summary!$D$63*((1+Summary!$D$61)^(Annuity_CashFlow!B20-Xinput_income_start_age)),0))</f>
        <v>88555.327877788644</v>
      </c>
      <c r="K20" s="20">
        <f t="shared" si="17"/>
        <v>0</v>
      </c>
      <c r="L20" s="19">
        <f t="shared" si="6"/>
        <v>31109.744300077269</v>
      </c>
      <c r="M20" s="19">
        <f t="shared" si="14"/>
        <v>1517660.1266536259</v>
      </c>
      <c r="N20" s="19">
        <f t="shared" si="15"/>
        <v>0</v>
      </c>
      <c r="O20" s="20">
        <f t="shared" si="16"/>
        <v>1637325.1988314919</v>
      </c>
      <c r="P20" s="19">
        <f t="shared" si="10"/>
        <v>1785863.6222776847</v>
      </c>
      <c r="R20" s="45">
        <f>IF(B20="","",INDEX(index_sum_return_table,MATCH(C20,'Index Selection'!$I$3:$I$104,0),11))</f>
        <v>0.24602677201713347</v>
      </c>
      <c r="S20" s="45">
        <f t="shared" si="0"/>
        <v>3.2500000000000001E-2</v>
      </c>
      <c r="T20" s="55">
        <f t="shared" si="1"/>
        <v>1</v>
      </c>
      <c r="U20" s="45">
        <f t="shared" si="2"/>
        <v>0</v>
      </c>
      <c r="V20" s="60">
        <f>IF(B20="","",_xlfn.IFNA(INDEX(coi_table,MATCH(B20,COI_rate!$A$1:$A$102,0),MATCH(Xinput_gender,COI_rate!$A$1:$C$1,0)),V19))</f>
        <v>1.7420000000000001E-2</v>
      </c>
      <c r="W20" s="45">
        <f>IF(B20="","",_xlfn.IFNA(VLOOKUP(C20,surrender_charge!$A$1:$B$12,2,FALSE),0))</f>
        <v>0</v>
      </c>
      <c r="X20" s="70">
        <f>IF(B20="","",IF(B20&lt;Xinput_income_start_age,0,IF(B20&gt;Xoutput_income_end_age,0,IF(income_option=1,VLOOKUP(Xinput_income_start_age,withdrawal_percentage!$A$2:$D$32,1+income_option,FALSE),VLOOKUP(Xinput_income_start_age,withdrawal_percentage!$A$2:$D$32,1+income_option,FALSE)+((B20-Xinput_income_start_age)*VLOOKUP(Xinput_income_start_age,withdrawal_percentage!$A$2:$D$32,2+income_option,FALSE))))))</f>
        <v>4.8700000000000035E-2</v>
      </c>
    </row>
    <row r="21" spans="2:24" ht="22.2" customHeight="1" thickTop="1" thickBot="1">
      <c r="B21" s="63">
        <f t="shared" si="13"/>
        <v>73</v>
      </c>
      <c r="C21" s="17">
        <f t="shared" si="8"/>
        <v>18</v>
      </c>
      <c r="D21" s="19">
        <f t="shared" si="3"/>
        <v>1500000</v>
      </c>
      <c r="E21" s="57">
        <f t="shared" si="11"/>
        <v>1517660.1266536259</v>
      </c>
      <c r="F21" s="54">
        <f t="shared" si="4"/>
        <v>3.2500000000000001E-2</v>
      </c>
      <c r="G21" s="19">
        <f t="shared" si="9"/>
        <v>49323.954116242843</v>
      </c>
      <c r="H21" s="19">
        <f t="shared" si="12"/>
        <v>1566984.0807698688</v>
      </c>
      <c r="I21" s="56">
        <f>IF(B21="","",IF(Xinput_rider_choice,IF(Annuity_CashFlow!B21&gt;=40,Annuity_CashFlow!G21*rider_bonus,0),0))</f>
        <v>0</v>
      </c>
      <c r="J21" s="19">
        <f>IF(B21="","",IF(AND(B21&gt;=Xinput_income_start_age,B21&lt;=Xoutput_income_end_age),Summary!$D$63*((1+Summary!$D$61)^(Annuity_CashFlow!B21-Xinput_income_start_age)),0))</f>
        <v>88555.327877788644</v>
      </c>
      <c r="K21" s="20">
        <f t="shared" si="17"/>
        <v>0</v>
      </c>
      <c r="L21" s="19">
        <f t="shared" si="6"/>
        <v>33609.953371266027</v>
      </c>
      <c r="M21" s="19">
        <f t="shared" si="14"/>
        <v>1444818.7995208141</v>
      </c>
      <c r="N21" s="19">
        <f t="shared" si="15"/>
        <v>0</v>
      </c>
      <c r="O21" s="20">
        <f t="shared" si="16"/>
        <v>1566984.0807698688</v>
      </c>
      <c r="P21" s="19">
        <f t="shared" si="10"/>
        <v>1785863.6222776847</v>
      </c>
      <c r="R21" s="45">
        <f>IF(B21="","",INDEX(index_sum_return_table,MATCH(C21,'Index Selection'!$I$3:$I$104,0),11))</f>
        <v>0.21704492448707385</v>
      </c>
      <c r="S21" s="45">
        <f t="shared" si="0"/>
        <v>3.2500000000000001E-2</v>
      </c>
      <c r="T21" s="55">
        <f t="shared" si="1"/>
        <v>1</v>
      </c>
      <c r="U21" s="45">
        <f t="shared" si="2"/>
        <v>0</v>
      </c>
      <c r="V21" s="60">
        <f>IF(B21="","",_xlfn.IFNA(INDEX(coi_table,MATCH(B21,COI_rate!$A$1:$A$102,0),MATCH(Xinput_gender,COI_rate!$A$1:$C$1,0)),V20))</f>
        <v>1.882E-2</v>
      </c>
      <c r="W21" s="45">
        <f>IF(B21="","",_xlfn.IFNA(VLOOKUP(C21,surrender_charge!$A$1:$B$12,2,FALSE),0))</f>
        <v>0</v>
      </c>
      <c r="X21" s="70">
        <f>IF(B21="","",IF(B21&lt;Xinput_income_start_age,0,IF(B21&gt;Xoutput_income_end_age,0,IF(income_option=1,VLOOKUP(Xinput_income_start_age,withdrawal_percentage!$A$2:$D$32,1+income_option,FALSE),VLOOKUP(Xinput_income_start_age,withdrawal_percentage!$A$2:$D$32,1+income_option,FALSE)+((B21-Xinput_income_start_age)*VLOOKUP(Xinput_income_start_age,withdrawal_percentage!$A$2:$D$32,2+income_option,FALSE))))))</f>
        <v>4.8700000000000035E-2</v>
      </c>
    </row>
    <row r="22" spans="2:24" ht="22.2" customHeight="1" thickTop="1" thickBot="1">
      <c r="B22" s="63">
        <f t="shared" si="13"/>
        <v>74</v>
      </c>
      <c r="C22" s="17">
        <f t="shared" si="8"/>
        <v>19</v>
      </c>
      <c r="D22" s="19">
        <f t="shared" si="3"/>
        <v>1500000</v>
      </c>
      <c r="E22" s="57">
        <f t="shared" si="11"/>
        <v>1444818.7995208141</v>
      </c>
      <c r="F22" s="54">
        <f t="shared" si="4"/>
        <v>3.0752287782957875E-2</v>
      </c>
      <c r="G22" s="19">
        <f t="shared" si="9"/>
        <v>44431.483517091794</v>
      </c>
      <c r="H22" s="19">
        <f t="shared" si="12"/>
        <v>1489250.2830379058</v>
      </c>
      <c r="I22" s="56">
        <f>IF(B22="","",IF(Xinput_rider_choice,IF(Annuity_CashFlow!B22&gt;=40,Annuity_CashFlow!G22*rider_bonus,0),0))</f>
        <v>0</v>
      </c>
      <c r="J22" s="19">
        <f>IF(B22="","",IF(AND(B22&gt;=Xinput_income_start_age,B22&lt;=Xoutput_income_end_age),Summary!$D$63*((1+Summary!$D$61)^(Annuity_CashFlow!B22-Xinput_income_start_age)),0))</f>
        <v>88555.327877788644</v>
      </c>
      <c r="K22" s="20">
        <f t="shared" si="17"/>
        <v>0</v>
      </c>
      <c r="L22" s="19">
        <f t="shared" si="6"/>
        <v>36324.466077128105</v>
      </c>
      <c r="M22" s="19">
        <f t="shared" si="14"/>
        <v>1364370.4890829891</v>
      </c>
      <c r="N22" s="19">
        <f t="shared" si="15"/>
        <v>0</v>
      </c>
      <c r="O22" s="20">
        <f t="shared" si="16"/>
        <v>1489250.2830379058</v>
      </c>
      <c r="P22" s="19">
        <f t="shared" si="10"/>
        <v>1785863.6222776847</v>
      </c>
      <c r="R22" s="45">
        <f>IF(B22="","",INDEX(index_sum_return_table,MATCH(C22,'Index Selection'!$I$3:$I$104,0),11))</f>
        <v>3.0752287782957875E-2</v>
      </c>
      <c r="S22" s="45">
        <f t="shared" si="0"/>
        <v>3.2500000000000001E-2</v>
      </c>
      <c r="T22" s="55">
        <f t="shared" si="1"/>
        <v>1</v>
      </c>
      <c r="U22" s="45">
        <f t="shared" si="2"/>
        <v>0</v>
      </c>
      <c r="V22" s="60">
        <f>IF(B22="","",_xlfn.IFNA(INDEX(coi_table,MATCH(B22,COI_rate!$A$1:$A$102,0),MATCH(Xinput_gender,COI_rate!$A$1:$C$1,0)),V21))</f>
        <v>2.034E-2</v>
      </c>
      <c r="W22" s="45">
        <f>IF(B22="","",_xlfn.IFNA(VLOOKUP(C22,surrender_charge!$A$1:$B$12,2,FALSE),0))</f>
        <v>0</v>
      </c>
      <c r="X22" s="70">
        <f>IF(B22="","",IF(B22&lt;Xinput_income_start_age,0,IF(B22&gt;Xoutput_income_end_age,0,IF(income_option=1,VLOOKUP(Xinput_income_start_age,withdrawal_percentage!$A$2:$D$32,1+income_option,FALSE),VLOOKUP(Xinput_income_start_age,withdrawal_percentage!$A$2:$D$32,1+income_option,FALSE)+((B22-Xinput_income_start_age)*VLOOKUP(Xinput_income_start_age,withdrawal_percentage!$A$2:$D$32,2+income_option,FALSE))))))</f>
        <v>4.8700000000000035E-2</v>
      </c>
    </row>
    <row r="23" spans="2:24" ht="22.2" customHeight="1" thickTop="1" thickBot="1">
      <c r="B23" s="63">
        <f t="shared" si="13"/>
        <v>75</v>
      </c>
      <c r="C23" s="17">
        <f t="shared" si="8"/>
        <v>20</v>
      </c>
      <c r="D23" s="19">
        <f t="shared" si="3"/>
        <v>1500000</v>
      </c>
      <c r="E23" s="57">
        <f t="shared" si="11"/>
        <v>1364370.4890829891</v>
      </c>
      <c r="F23" s="54">
        <f t="shared" si="4"/>
        <v>3.2500000000000001E-2</v>
      </c>
      <c r="G23" s="19">
        <f t="shared" si="9"/>
        <v>44342.040895197148</v>
      </c>
      <c r="H23" s="19">
        <f t="shared" si="12"/>
        <v>1408712.5299781861</v>
      </c>
      <c r="I23" s="56">
        <f>IF(B23="","",IF(Xinput_rider_choice,IF(Annuity_CashFlow!B23&gt;=40,Annuity_CashFlow!G23*rider_bonus,0),0))</f>
        <v>0</v>
      </c>
      <c r="J23" s="19">
        <f>IF(B23="","",IF(AND(B23&gt;=Xinput_income_start_age,B23&lt;=Xoutput_income_end_age),Summary!$D$63*((1+Summary!$D$61)^(Annuity_CashFlow!B23-Xinput_income_start_age)),0))</f>
        <v>88555.327877788644</v>
      </c>
      <c r="K23" s="20">
        <f t="shared" si="17"/>
        <v>0</v>
      </c>
      <c r="L23" s="19">
        <f t="shared" si="6"/>
        <v>39271.141053886284</v>
      </c>
      <c r="M23" s="19">
        <f t="shared" si="14"/>
        <v>1280886.0610465112</v>
      </c>
      <c r="N23" s="19">
        <f t="shared" si="15"/>
        <v>0</v>
      </c>
      <c r="O23" s="20">
        <f t="shared" si="16"/>
        <v>1408712.5299781861</v>
      </c>
      <c r="P23" s="19">
        <f t="shared" si="10"/>
        <v>1785863.6222776847</v>
      </c>
      <c r="R23" s="45">
        <f>IF(B23="","",INDEX(index_sum_return_table,MATCH(C23,'Index Selection'!$I$3:$I$104,0),11))</f>
        <v>0.12658867435913132</v>
      </c>
      <c r="S23" s="45">
        <f t="shared" si="0"/>
        <v>3.2500000000000001E-2</v>
      </c>
      <c r="T23" s="55">
        <f t="shared" si="1"/>
        <v>1</v>
      </c>
      <c r="U23" s="45">
        <f t="shared" si="2"/>
        <v>0</v>
      </c>
      <c r="V23" s="60">
        <f>IF(B23="","",_xlfn.IFNA(INDEX(coi_table,MATCH(B23,COI_rate!$A$1:$A$102,0),MATCH(Xinput_gender,COI_rate!$A$1:$C$1,0)),V22))</f>
        <v>2.1989999999999999E-2</v>
      </c>
      <c r="W23" s="45">
        <f>IF(B23="","",_xlfn.IFNA(VLOOKUP(C23,surrender_charge!$A$1:$B$12,2,FALSE),0))</f>
        <v>0</v>
      </c>
      <c r="X23" s="70">
        <f>IF(B23="","",IF(B23&lt;Xinput_income_start_age,0,IF(B23&gt;Xoutput_income_end_age,0,IF(income_option=1,VLOOKUP(Xinput_income_start_age,withdrawal_percentage!$A$2:$D$32,1+income_option,FALSE),VLOOKUP(Xinput_income_start_age,withdrawal_percentage!$A$2:$D$32,1+income_option,FALSE)+((B23-Xinput_income_start_age)*VLOOKUP(Xinput_income_start_age,withdrawal_percentage!$A$2:$D$32,2+income_option,FALSE))))))</f>
        <v>4.8700000000000035E-2</v>
      </c>
    </row>
    <row r="24" spans="2:24" ht="22.2" customHeight="1" thickTop="1" thickBot="1">
      <c r="B24" s="63">
        <f t="shared" si="13"/>
        <v>76</v>
      </c>
      <c r="C24" s="17">
        <f t="shared" si="8"/>
        <v>21</v>
      </c>
      <c r="D24" s="19">
        <f t="shared" si="3"/>
        <v>1500000</v>
      </c>
      <c r="E24" s="57">
        <f t="shared" si="11"/>
        <v>1280886.0610465112</v>
      </c>
      <c r="F24" s="54">
        <f t="shared" si="4"/>
        <v>3.2500000000000001E-2</v>
      </c>
      <c r="G24" s="19">
        <f t="shared" si="9"/>
        <v>41628.796984011613</v>
      </c>
      <c r="H24" s="19">
        <f t="shared" si="12"/>
        <v>1322514.8580305227</v>
      </c>
      <c r="I24" s="56">
        <f>IF(B24="","",IF(Xinput_rider_choice,IF(Annuity_CashFlow!B24&gt;=40,Annuity_CashFlow!G24*rider_bonus,0),0))</f>
        <v>0</v>
      </c>
      <c r="J24" s="19">
        <f>IF(B24="","",IF(AND(B24&gt;=Xinput_income_start_age,B24&lt;=Xoutput_income_end_age),Summary!$D$63*((1+Summary!$D$61)^(Annuity_CashFlow!B24-Xinput_income_start_age)),0))</f>
        <v>88555.327877788644</v>
      </c>
      <c r="K24" s="20">
        <f t="shared" si="17"/>
        <v>0</v>
      </c>
      <c r="L24" s="19">
        <f t="shared" si="6"/>
        <v>42467.83693776335</v>
      </c>
      <c r="M24" s="19">
        <f t="shared" si="14"/>
        <v>1191491.6932149706</v>
      </c>
      <c r="N24" s="19">
        <f t="shared" si="15"/>
        <v>0</v>
      </c>
      <c r="O24" s="20">
        <f t="shared" si="16"/>
        <v>1322514.8580305227</v>
      </c>
      <c r="P24" s="19">
        <f t="shared" si="10"/>
        <v>1785863.6222776847</v>
      </c>
      <c r="R24" s="45">
        <f>IF(B24="","",INDEX(index_sum_return_table,MATCH(C24,'Index Selection'!$I$3:$I$104,0),11))</f>
        <v>0.4442153827442783</v>
      </c>
      <c r="S24" s="45">
        <f t="shared" si="0"/>
        <v>3.2500000000000001E-2</v>
      </c>
      <c r="T24" s="55">
        <f t="shared" si="1"/>
        <v>1</v>
      </c>
      <c r="U24" s="45">
        <f t="shared" si="2"/>
        <v>0</v>
      </c>
      <c r="V24" s="60">
        <f>IF(B24="","",_xlfn.IFNA(INDEX(coi_table,MATCH(B24,COI_rate!$A$1:$A$102,0),MATCH(Xinput_gender,COI_rate!$A$1:$C$1,0)),V23))</f>
        <v>2.3780000000000003E-2</v>
      </c>
      <c r="W24" s="45">
        <f>IF(B24="","",_xlfn.IFNA(VLOOKUP(C24,surrender_charge!$A$1:$B$12,2,FALSE),0))</f>
        <v>0</v>
      </c>
      <c r="X24" s="70">
        <f>IF(B24="","",IF(B24&lt;Xinput_income_start_age,0,IF(B24&gt;Xoutput_income_end_age,0,IF(income_option=1,VLOOKUP(Xinput_income_start_age,withdrawal_percentage!$A$2:$D$32,1+income_option,FALSE),VLOOKUP(Xinput_income_start_age,withdrawal_percentage!$A$2:$D$32,1+income_option,FALSE)+((B24-Xinput_income_start_age)*VLOOKUP(Xinput_income_start_age,withdrawal_percentage!$A$2:$D$32,2+income_option,FALSE))))))</f>
        <v>4.8700000000000035E-2</v>
      </c>
    </row>
    <row r="25" spans="2:24" ht="22.2" customHeight="1" thickTop="1" thickBot="1">
      <c r="B25" s="63">
        <f t="shared" si="13"/>
        <v>77</v>
      </c>
      <c r="C25" s="17">
        <f t="shared" si="8"/>
        <v>22</v>
      </c>
      <c r="D25" s="19">
        <f t="shared" si="3"/>
        <v>1500000</v>
      </c>
      <c r="E25" s="57">
        <f t="shared" si="11"/>
        <v>1191491.6932149706</v>
      </c>
      <c r="F25" s="54">
        <f t="shared" si="4"/>
        <v>0</v>
      </c>
      <c r="G25" s="19">
        <f t="shared" si="9"/>
        <v>0</v>
      </c>
      <c r="H25" s="19">
        <f t="shared" si="12"/>
        <v>1191491.6932149706</v>
      </c>
      <c r="I25" s="56">
        <f>IF(B25="","",IF(Xinput_rider_choice,IF(Annuity_CashFlow!B25&gt;=40,Annuity_CashFlow!G25*rider_bonus,0),0))</f>
        <v>0</v>
      </c>
      <c r="J25" s="19">
        <f>IF(B25="","",IF(AND(B25&gt;=Xinput_income_start_age,B25&lt;=Xoutput_income_end_age),Summary!$D$63*((1+Summary!$D$61)^(Annuity_CashFlow!B25-Xinput_income_start_age)),0))</f>
        <v>88555.327877788644</v>
      </c>
      <c r="K25" s="20">
        <f t="shared" si="17"/>
        <v>0</v>
      </c>
      <c r="L25" s="19">
        <f t="shared" si="6"/>
        <v>45914.553728759274</v>
      </c>
      <c r="M25" s="19">
        <f t="shared" si="14"/>
        <v>1057021.8116084228</v>
      </c>
      <c r="N25" s="19">
        <f t="shared" si="15"/>
        <v>0</v>
      </c>
      <c r="O25" s="20">
        <f t="shared" si="16"/>
        <v>1191491.6932149706</v>
      </c>
      <c r="P25" s="19">
        <f t="shared" si="10"/>
        <v>1785863.6222776847</v>
      </c>
      <c r="R25" s="45">
        <f>IF(B25="","",INDEX(index_sum_return_table,MATCH(C25,'Index Selection'!$I$3:$I$104,0),11))</f>
        <v>-0.74008023272287837</v>
      </c>
      <c r="S25" s="45">
        <f t="shared" si="0"/>
        <v>3.2500000000000001E-2</v>
      </c>
      <c r="T25" s="55">
        <f t="shared" si="1"/>
        <v>1</v>
      </c>
      <c r="U25" s="45">
        <f t="shared" si="2"/>
        <v>0</v>
      </c>
      <c r="V25" s="60">
        <f>IF(B25="","",_xlfn.IFNA(INDEX(coi_table,MATCH(B25,COI_rate!$A$1:$A$102,0),MATCH(Xinput_gender,COI_rate!$A$1:$C$1,0)),V24))</f>
        <v>2.571E-2</v>
      </c>
      <c r="W25" s="45">
        <f>IF(B25="","",_xlfn.IFNA(VLOOKUP(C25,surrender_charge!$A$1:$B$12,2,FALSE),0))</f>
        <v>0</v>
      </c>
      <c r="X25" s="70">
        <f>IF(B25="","",IF(B25&lt;Xinput_income_start_age,0,IF(B25&gt;Xoutput_income_end_age,0,IF(income_option=1,VLOOKUP(Xinput_income_start_age,withdrawal_percentage!$A$2:$D$32,1+income_option,FALSE),VLOOKUP(Xinput_income_start_age,withdrawal_percentage!$A$2:$D$32,1+income_option,FALSE)+((B25-Xinput_income_start_age)*VLOOKUP(Xinput_income_start_age,withdrawal_percentage!$A$2:$D$32,2+income_option,FALSE))))))</f>
        <v>4.8700000000000035E-2</v>
      </c>
    </row>
    <row r="26" spans="2:24" ht="22.2" customHeight="1" thickTop="1" thickBot="1">
      <c r="B26" s="63">
        <f t="shared" si="13"/>
        <v>78</v>
      </c>
      <c r="C26" s="17">
        <f t="shared" si="8"/>
        <v>23</v>
      </c>
      <c r="D26" s="19">
        <f t="shared" si="3"/>
        <v>1500000</v>
      </c>
      <c r="E26" s="57">
        <f t="shared" si="11"/>
        <v>1057021.8116084228</v>
      </c>
      <c r="F26" s="54">
        <f t="shared" si="4"/>
        <v>3.2500000000000001E-2</v>
      </c>
      <c r="G26" s="19">
        <f t="shared" si="9"/>
        <v>34353.208877273741</v>
      </c>
      <c r="H26" s="19">
        <f t="shared" si="12"/>
        <v>1091375.0204856966</v>
      </c>
      <c r="I26" s="56">
        <f>IF(B26="","",IF(Xinput_rider_choice,IF(Annuity_CashFlow!B26&gt;=40,Annuity_CashFlow!G26*rider_bonus,0),0))</f>
        <v>0</v>
      </c>
      <c r="J26" s="19">
        <f>IF(B26="","",IF(AND(B26&gt;=Xinput_income_start_age,B26&lt;=Xoutput_income_end_age),Summary!$D$63*((1+Summary!$D$61)^(Annuity_CashFlow!B26-Xinput_income_start_age)),0))</f>
        <v>88555.327877788644</v>
      </c>
      <c r="K26" s="20">
        <f t="shared" si="17"/>
        <v>0</v>
      </c>
      <c r="L26" s="19">
        <f t="shared" si="6"/>
        <v>49700.584607987963</v>
      </c>
      <c r="M26" s="19">
        <f t="shared" si="14"/>
        <v>953119.10799992003</v>
      </c>
      <c r="N26" s="19">
        <f t="shared" si="15"/>
        <v>0</v>
      </c>
      <c r="O26" s="20">
        <f t="shared" si="16"/>
        <v>1091375.0204856966</v>
      </c>
      <c r="P26" s="19">
        <f t="shared" si="10"/>
        <v>1785863.6222776847</v>
      </c>
      <c r="R26" s="45">
        <f>IF(B26="","",INDEX(index_sum_return_table,MATCH(C26,'Index Selection'!$I$3:$I$104,0),11))</f>
        <v>7.2360351381524496E-2</v>
      </c>
      <c r="S26" s="45">
        <f t="shared" si="0"/>
        <v>3.2500000000000001E-2</v>
      </c>
      <c r="T26" s="55">
        <f t="shared" si="1"/>
        <v>1</v>
      </c>
      <c r="U26" s="45">
        <f t="shared" si="2"/>
        <v>0</v>
      </c>
      <c r="V26" s="60">
        <f>IF(B26="","",_xlfn.IFNA(INDEX(coi_table,MATCH(B26,COI_rate!$A$1:$A$102,0),MATCH(Xinput_gender,COI_rate!$A$1:$C$1,0)),V25))</f>
        <v>2.7829999999999997E-2</v>
      </c>
      <c r="W26" s="45">
        <f>IF(B26="","",_xlfn.IFNA(VLOOKUP(C26,surrender_charge!$A$1:$B$12,2,FALSE),0))</f>
        <v>0</v>
      </c>
      <c r="X26" s="70">
        <f>IF(B26="","",IF(B26&lt;Xinput_income_start_age,0,IF(B26&gt;Xoutput_income_end_age,0,IF(income_option=1,VLOOKUP(Xinput_income_start_age,withdrawal_percentage!$A$2:$D$32,1+income_option,FALSE),VLOOKUP(Xinput_income_start_age,withdrawal_percentage!$A$2:$D$32,1+income_option,FALSE)+((B26-Xinput_income_start_age)*VLOOKUP(Xinput_income_start_age,withdrawal_percentage!$A$2:$D$32,2+income_option,FALSE))))))</f>
        <v>4.8700000000000035E-2</v>
      </c>
    </row>
    <row r="27" spans="2:24" ht="22.2" customHeight="1" thickTop="1" thickBot="1">
      <c r="B27" s="63">
        <f t="shared" si="13"/>
        <v>79</v>
      </c>
      <c r="C27" s="17">
        <f t="shared" si="8"/>
        <v>24</v>
      </c>
      <c r="D27" s="19">
        <f t="shared" si="3"/>
        <v>1500000</v>
      </c>
      <c r="E27" s="57">
        <f t="shared" si="11"/>
        <v>953119.10799992003</v>
      </c>
      <c r="F27" s="54">
        <f t="shared" si="4"/>
        <v>3.2500000000000001E-2</v>
      </c>
      <c r="G27" s="19">
        <f t="shared" si="9"/>
        <v>30976.371009997401</v>
      </c>
      <c r="H27" s="19">
        <f t="shared" si="12"/>
        <v>984095.47900991747</v>
      </c>
      <c r="I27" s="56">
        <f>IF(B27="","",IF(Xinput_rider_choice,IF(Annuity_CashFlow!B27&gt;=40,Annuity_CashFlow!G27*rider_bonus,0),0))</f>
        <v>0</v>
      </c>
      <c r="J27" s="19">
        <f>IF(B27="","",IF(AND(B27&gt;=Xinput_income_start_age,B27&lt;=Xoutput_income_end_age),Summary!$D$63*((1+Summary!$D$61)^(Annuity_CashFlow!B27-Xinput_income_start_age)),0))</f>
        <v>88555.327877788644</v>
      </c>
      <c r="K27" s="20">
        <f t="shared" si="17"/>
        <v>0</v>
      </c>
      <c r="L27" s="19">
        <f t="shared" si="6"/>
        <v>53772.353666781084</v>
      </c>
      <c r="M27" s="19">
        <f t="shared" si="14"/>
        <v>841767.79746534768</v>
      </c>
      <c r="N27" s="19">
        <f t="shared" si="15"/>
        <v>0</v>
      </c>
      <c r="O27" s="20">
        <f t="shared" si="16"/>
        <v>984095.47900991747</v>
      </c>
      <c r="P27" s="19">
        <f t="shared" si="10"/>
        <v>1785863.6222776847</v>
      </c>
      <c r="R27" s="45">
        <f>IF(B27="","",INDEX(index_sum_return_table,MATCH(C27,'Index Selection'!$I$3:$I$104,0),11))</f>
        <v>7.6563694969547499E-2</v>
      </c>
      <c r="S27" s="45">
        <f t="shared" si="0"/>
        <v>3.2500000000000001E-2</v>
      </c>
      <c r="T27" s="55">
        <f t="shared" si="1"/>
        <v>1</v>
      </c>
      <c r="U27" s="45">
        <f t="shared" si="2"/>
        <v>0</v>
      </c>
      <c r="V27" s="60">
        <f>IF(B27="","",_xlfn.IFNA(INDEX(coi_table,MATCH(B27,COI_rate!$A$1:$A$102,0),MATCH(Xinput_gender,COI_rate!$A$1:$C$1,0)),V26))</f>
        <v>3.0109999999999998E-2</v>
      </c>
      <c r="W27" s="45">
        <f>IF(B27="","",_xlfn.IFNA(VLOOKUP(C27,surrender_charge!$A$1:$B$12,2,FALSE),0))</f>
        <v>0</v>
      </c>
      <c r="X27" s="70">
        <f>IF(B27="","",IF(B27&lt;Xinput_income_start_age,0,IF(B27&gt;Xoutput_income_end_age,0,IF(income_option=1,VLOOKUP(Xinput_income_start_age,withdrawal_percentage!$A$2:$D$32,1+income_option,FALSE),VLOOKUP(Xinput_income_start_age,withdrawal_percentage!$A$2:$D$32,1+income_option,FALSE)+((B27-Xinput_income_start_age)*VLOOKUP(Xinput_income_start_age,withdrawal_percentage!$A$2:$D$32,2+income_option,FALSE))))))</f>
        <v>4.8700000000000035E-2</v>
      </c>
    </row>
    <row r="28" spans="2:24" ht="22.2" customHeight="1" thickTop="1" thickBot="1">
      <c r="B28" s="63">
        <f t="shared" si="13"/>
        <v>80</v>
      </c>
      <c r="C28" s="17">
        <f t="shared" si="8"/>
        <v>25</v>
      </c>
      <c r="D28" s="19">
        <f t="shared" si="3"/>
        <v>1500000</v>
      </c>
      <c r="E28" s="57">
        <f t="shared" si="11"/>
        <v>841767.79746534768</v>
      </c>
      <c r="F28" s="54">
        <f t="shared" si="4"/>
        <v>3.2500000000000001E-2</v>
      </c>
      <c r="G28" s="19">
        <f t="shared" si="9"/>
        <v>27357.453417623801</v>
      </c>
      <c r="H28" s="19">
        <f t="shared" si="12"/>
        <v>869125.25088297145</v>
      </c>
      <c r="I28" s="56">
        <f>IF(B28="","",IF(Xinput_rider_choice,IF(Annuity_CashFlow!B28&gt;=40,Annuity_CashFlow!G28*rider_bonus,0),0))</f>
        <v>0</v>
      </c>
      <c r="J28" s="19">
        <f>IF(B28="","",IF(AND(B28&gt;=Xinput_income_start_age,B28&lt;=Xoutput_income_end_age),Summary!$D$63*((1+Summary!$D$61)^(Annuity_CashFlow!B28-Xinput_income_start_age)),0))</f>
        <v>88555.327877788644</v>
      </c>
      <c r="K28" s="20">
        <f t="shared" si="17"/>
        <v>0</v>
      </c>
      <c r="L28" s="19">
        <f t="shared" si="6"/>
        <v>58201.295450029749</v>
      </c>
      <c r="M28" s="19">
        <f t="shared" si="14"/>
        <v>722368.6275551531</v>
      </c>
      <c r="N28" s="19">
        <f t="shared" si="15"/>
        <v>0</v>
      </c>
      <c r="O28" s="20">
        <f t="shared" si="16"/>
        <v>869125.25088297145</v>
      </c>
      <c r="P28" s="19">
        <f t="shared" si="10"/>
        <v>1785863.6222776847</v>
      </c>
      <c r="R28" s="45">
        <f>IF(B28="","",INDEX(index_sum_return_table,MATCH(C28,'Index Selection'!$I$3:$I$104,0),11))</f>
        <v>0.28863000556276613</v>
      </c>
      <c r="S28" s="45">
        <f t="shared" si="0"/>
        <v>3.2500000000000001E-2</v>
      </c>
      <c r="T28" s="55">
        <f t="shared" si="1"/>
        <v>1</v>
      </c>
      <c r="U28" s="45">
        <f t="shared" si="2"/>
        <v>0</v>
      </c>
      <c r="V28" s="60">
        <f>IF(B28="","",_xlfn.IFNA(INDEX(coi_table,MATCH(B28,COI_rate!$A$1:$A$102,0),MATCH(Xinput_gender,COI_rate!$A$1:$C$1,0)),V27))</f>
        <v>3.2590000000000001E-2</v>
      </c>
      <c r="W28" s="45">
        <f>IF(B28="","",_xlfn.IFNA(VLOOKUP(C28,surrender_charge!$A$1:$B$12,2,FALSE),0))</f>
        <v>0</v>
      </c>
      <c r="X28" s="70">
        <f>IF(B28="","",IF(B28&lt;Xinput_income_start_age,0,IF(B28&gt;Xoutput_income_end_age,0,IF(income_option=1,VLOOKUP(Xinput_income_start_age,withdrawal_percentage!$A$2:$D$32,1+income_option,FALSE),VLOOKUP(Xinput_income_start_age,withdrawal_percentage!$A$2:$D$32,1+income_option,FALSE)+((B28-Xinput_income_start_age)*VLOOKUP(Xinput_income_start_age,withdrawal_percentage!$A$2:$D$32,2+income_option,FALSE))))))</f>
        <v>4.8700000000000035E-2</v>
      </c>
    </row>
    <row r="29" spans="2:24" ht="22.2" customHeight="1" thickTop="1" thickBot="1">
      <c r="B29" s="63">
        <f t="shared" si="13"/>
        <v>81</v>
      </c>
      <c r="C29" s="17">
        <f t="shared" si="8"/>
        <v>26</v>
      </c>
      <c r="D29" s="19">
        <f t="shared" si="3"/>
        <v>1500000</v>
      </c>
      <c r="E29" s="57">
        <f t="shared" si="11"/>
        <v>722368.6275551531</v>
      </c>
      <c r="F29" s="54">
        <f t="shared" si="4"/>
        <v>3.2500000000000001E-2</v>
      </c>
      <c r="G29" s="19">
        <f t="shared" si="9"/>
        <v>23476.980395542476</v>
      </c>
      <c r="H29" s="19">
        <f t="shared" si="12"/>
        <v>745845.60795069556</v>
      </c>
      <c r="I29" s="56">
        <f>IF(B29="","",IF(Xinput_rider_choice,IF(Annuity_CashFlow!B29&gt;=40,Annuity_CashFlow!G29*rider_bonus,0),0))</f>
        <v>0</v>
      </c>
      <c r="J29" s="19">
        <f>IF(B29="","",IF(AND(B29&gt;=Xinput_income_start_age,B29&lt;=Xoutput_income_end_age),Summary!$D$63*((1+Summary!$D$61)^(Annuity_CashFlow!B29-Xinput_income_start_age)),0))</f>
        <v>88555.327877788644</v>
      </c>
      <c r="K29" s="20">
        <f t="shared" si="17"/>
        <v>0</v>
      </c>
      <c r="L29" s="19">
        <f t="shared" si="6"/>
        <v>63005.268593956716</v>
      </c>
      <c r="M29" s="19">
        <f t="shared" si="14"/>
        <v>594285.01147895027</v>
      </c>
      <c r="N29" s="19">
        <f t="shared" si="15"/>
        <v>0</v>
      </c>
      <c r="O29" s="20">
        <f t="shared" si="16"/>
        <v>745845.60795069556</v>
      </c>
      <c r="P29" s="19">
        <f t="shared" si="10"/>
        <v>1785863.6222776847</v>
      </c>
      <c r="R29" s="45">
        <f>IF(B29="","",INDEX(index_sum_return_table,MATCH(C29,'Index Selection'!$I$3:$I$104,0),11))</f>
        <v>0.16661686470724921</v>
      </c>
      <c r="S29" s="45">
        <f t="shared" si="0"/>
        <v>3.2500000000000001E-2</v>
      </c>
      <c r="T29" s="55">
        <f t="shared" si="1"/>
        <v>1</v>
      </c>
      <c r="U29" s="45">
        <f t="shared" si="2"/>
        <v>0</v>
      </c>
      <c r="V29" s="60">
        <f>IF(B29="","",_xlfn.IFNA(INDEX(coi_table,MATCH(B29,COI_rate!$A$1:$A$102,0),MATCH(Xinput_gender,COI_rate!$A$1:$C$1,0)),V28))</f>
        <v>3.5279999999999999E-2</v>
      </c>
      <c r="W29" s="45">
        <f>IF(B29="","",_xlfn.IFNA(VLOOKUP(C29,surrender_charge!$A$1:$B$12,2,FALSE),0))</f>
        <v>0</v>
      </c>
      <c r="X29" s="70">
        <f>IF(B29="","",IF(B29&lt;Xinput_income_start_age,0,IF(B29&gt;Xoutput_income_end_age,0,IF(income_option=1,VLOOKUP(Xinput_income_start_age,withdrawal_percentage!$A$2:$D$32,1+income_option,FALSE),VLOOKUP(Xinput_income_start_age,withdrawal_percentage!$A$2:$D$32,1+income_option,FALSE)+((B29-Xinput_income_start_age)*VLOOKUP(Xinput_income_start_age,withdrawal_percentage!$A$2:$D$32,2+income_option,FALSE))))))</f>
        <v>4.8700000000000035E-2</v>
      </c>
    </row>
    <row r="30" spans="2:24" ht="22.2" customHeight="1" thickTop="1" thickBot="1">
      <c r="B30" s="63">
        <f t="shared" si="13"/>
        <v>82</v>
      </c>
      <c r="C30" s="17">
        <f t="shared" si="8"/>
        <v>27</v>
      </c>
      <c r="D30" s="19">
        <f t="shared" si="3"/>
        <v>1500000</v>
      </c>
      <c r="E30" s="57">
        <f t="shared" si="11"/>
        <v>594285.01147895027</v>
      </c>
      <c r="F30" s="54">
        <f t="shared" si="4"/>
        <v>0</v>
      </c>
      <c r="G30" s="19">
        <f t="shared" si="9"/>
        <v>0</v>
      </c>
      <c r="H30" s="19">
        <f t="shared" si="12"/>
        <v>594285.01147895027</v>
      </c>
      <c r="I30" s="56">
        <f>IF(B30="","",IF(Xinput_rider_choice,IF(Annuity_CashFlow!B30&gt;=40,Annuity_CashFlow!G30*rider_bonus,0),0))</f>
        <v>0</v>
      </c>
      <c r="J30" s="19">
        <f>IF(B30="","",IF(AND(B30&gt;=Xinput_income_start_age,B30&lt;=Xoutput_income_end_age),Summary!$D$63*((1+Summary!$D$61)^(Annuity_CashFlow!B30-Xinput_income_start_age)),0))</f>
        <v>88555.327877788644</v>
      </c>
      <c r="K30" s="20">
        <f t="shared" si="17"/>
        <v>0</v>
      </c>
      <c r="L30" s="19">
        <f t="shared" si="6"/>
        <v>68237.849007230339</v>
      </c>
      <c r="M30" s="19">
        <f t="shared" si="14"/>
        <v>437491.83459393127</v>
      </c>
      <c r="N30" s="19">
        <f t="shared" si="15"/>
        <v>0</v>
      </c>
      <c r="O30" s="20">
        <f t="shared" si="16"/>
        <v>594285.01147895027</v>
      </c>
      <c r="P30" s="19">
        <f t="shared" si="10"/>
        <v>1785863.6222776847</v>
      </c>
      <c r="R30" s="45">
        <f>IF(B30="","",INDEX(index_sum_return_table,MATCH(C30,'Index Selection'!$I$3:$I$104,0),11))</f>
        <v>-6.7901226227793016E-2</v>
      </c>
      <c r="S30" s="45">
        <f t="shared" si="0"/>
        <v>3.2500000000000001E-2</v>
      </c>
      <c r="T30" s="55">
        <f t="shared" si="1"/>
        <v>1</v>
      </c>
      <c r="U30" s="45">
        <f t="shared" si="2"/>
        <v>0</v>
      </c>
      <c r="V30" s="60">
        <f>IF(B30="","",_xlfn.IFNA(INDEX(coi_table,MATCH(B30,COI_rate!$A$1:$A$102,0),MATCH(Xinput_gender,COI_rate!$A$1:$C$1,0)),V29))</f>
        <v>3.8210000000000001E-2</v>
      </c>
      <c r="W30" s="45">
        <f>IF(B30="","",_xlfn.IFNA(VLOOKUP(C30,surrender_charge!$A$1:$B$12,2,FALSE),0))</f>
        <v>0</v>
      </c>
      <c r="X30" s="70">
        <f>IF(B30="","",IF(B30&lt;Xinput_income_start_age,0,IF(B30&gt;Xoutput_income_end_age,0,IF(income_option=1,VLOOKUP(Xinput_income_start_age,withdrawal_percentage!$A$2:$D$32,1+income_option,FALSE),VLOOKUP(Xinput_income_start_age,withdrawal_percentage!$A$2:$D$32,1+income_option,FALSE)+((B30-Xinput_income_start_age)*VLOOKUP(Xinput_income_start_age,withdrawal_percentage!$A$2:$D$32,2+income_option,FALSE))))))</f>
        <v>4.8700000000000035E-2</v>
      </c>
    </row>
    <row r="31" spans="2:24" ht="22.2" customHeight="1" thickTop="1" thickBot="1">
      <c r="B31" s="63">
        <f t="shared" si="13"/>
        <v>83</v>
      </c>
      <c r="C31" s="17">
        <f t="shared" si="8"/>
        <v>28</v>
      </c>
      <c r="D31" s="19">
        <f t="shared" si="3"/>
        <v>1500000</v>
      </c>
      <c r="E31" s="57">
        <f t="shared" si="11"/>
        <v>437491.83459393127</v>
      </c>
      <c r="F31" s="54">
        <f t="shared" si="4"/>
        <v>3.2500000000000001E-2</v>
      </c>
      <c r="G31" s="19">
        <f t="shared" si="9"/>
        <v>14218.484624302766</v>
      </c>
      <c r="H31" s="19">
        <f t="shared" si="12"/>
        <v>451710.31921823404</v>
      </c>
      <c r="I31" s="56">
        <f>IF(B31="","",IF(Xinput_rider_choice,IF(Annuity_CashFlow!B31&gt;=40,Annuity_CashFlow!G31*rider_bonus,0),0))</f>
        <v>0</v>
      </c>
      <c r="J31" s="19">
        <f>IF(B31="","",IF(AND(B31&gt;=Xinput_income_start_age,B31&lt;=Xoutput_income_end_age),Summary!$D$63*((1+Summary!$D$61)^(Annuity_CashFlow!B31-Xinput_income_start_age)),0))</f>
        <v>88555.327877788644</v>
      </c>
      <c r="K31" s="20">
        <f t="shared" si="17"/>
        <v>0</v>
      </c>
      <c r="L31" s="19">
        <f t="shared" si="6"/>
        <v>73916.895326073383</v>
      </c>
      <c r="M31" s="19">
        <f t="shared" si="14"/>
        <v>289238.09601437201</v>
      </c>
      <c r="N31" s="19">
        <f t="shared" si="15"/>
        <v>0</v>
      </c>
      <c r="O31" s="20">
        <f t="shared" si="16"/>
        <v>451710.31921823404</v>
      </c>
      <c r="P31" s="19">
        <f t="shared" si="10"/>
        <v>1785863.6222776847</v>
      </c>
      <c r="R31" s="45">
        <f>IF(B31="","",INDEX(index_sum_return_table,MATCH(C31,'Index Selection'!$I$3:$I$104,0),11))</f>
        <v>0.24602677201713347</v>
      </c>
      <c r="S31" s="45">
        <f t="shared" si="0"/>
        <v>3.2500000000000001E-2</v>
      </c>
      <c r="T31" s="55">
        <f t="shared" si="1"/>
        <v>1</v>
      </c>
      <c r="U31" s="45">
        <f t="shared" si="2"/>
        <v>0</v>
      </c>
      <c r="V31" s="60">
        <f>IF(B31="","",_xlfn.IFNA(INDEX(coi_table,MATCH(B31,COI_rate!$A$1:$A$102,0),MATCH(Xinput_gender,COI_rate!$A$1:$C$1,0)),V30))</f>
        <v>4.1390000000000003E-2</v>
      </c>
      <c r="W31" s="45">
        <f>IF(B31="","",_xlfn.IFNA(VLOOKUP(C31,surrender_charge!$A$1:$B$12,2,FALSE),0))</f>
        <v>0</v>
      </c>
      <c r="X31" s="70">
        <f>IF(B31="","",IF(B31&lt;Xinput_income_start_age,0,IF(B31&gt;Xoutput_income_end_age,0,IF(income_option=1,VLOOKUP(Xinput_income_start_age,withdrawal_percentage!$A$2:$D$32,1+income_option,FALSE),VLOOKUP(Xinput_income_start_age,withdrawal_percentage!$A$2:$D$32,1+income_option,FALSE)+((B31-Xinput_income_start_age)*VLOOKUP(Xinput_income_start_age,withdrawal_percentage!$A$2:$D$32,2+income_option,FALSE))))))</f>
        <v>4.8700000000000035E-2</v>
      </c>
    </row>
    <row r="32" spans="2:24" ht="22.2" customHeight="1" thickTop="1" thickBot="1">
      <c r="B32" s="63">
        <f t="shared" si="13"/>
        <v>84</v>
      </c>
      <c r="C32" s="17">
        <f t="shared" si="8"/>
        <v>29</v>
      </c>
      <c r="D32" s="19">
        <f t="shared" si="3"/>
        <v>1500000</v>
      </c>
      <c r="E32" s="57">
        <f t="shared" si="11"/>
        <v>289238.09601437201</v>
      </c>
      <c r="F32" s="54">
        <f t="shared" si="4"/>
        <v>3.2500000000000001E-2</v>
      </c>
      <c r="G32" s="19">
        <f t="shared" si="9"/>
        <v>9400.238120467091</v>
      </c>
      <c r="H32" s="19">
        <f t="shared" si="12"/>
        <v>298638.33413483913</v>
      </c>
      <c r="I32" s="56">
        <f>IF(B32="","",IF(Xinput_rider_choice,IF(Annuity_CashFlow!B32&gt;=40,Annuity_CashFlow!G32*rider_bonus,0),0))</f>
        <v>0</v>
      </c>
      <c r="J32" s="19">
        <f>IF(B32="","",IF(AND(B32&gt;=Xinput_income_start_age,B32&lt;=Xoutput_income_end_age),Summary!$D$63*((1+Summary!$D$61)^(Annuity_CashFlow!B32-Xinput_income_start_age)),0))</f>
        <v>88555.327877788644</v>
      </c>
      <c r="K32" s="20">
        <f t="shared" si="17"/>
        <v>0</v>
      </c>
      <c r="L32" s="19">
        <f t="shared" si="6"/>
        <v>80095.983459154158</v>
      </c>
      <c r="M32" s="19">
        <f t="shared" si="14"/>
        <v>129987.02279789632</v>
      </c>
      <c r="N32" s="19">
        <f t="shared" si="15"/>
        <v>0</v>
      </c>
      <c r="O32" s="20">
        <f t="shared" si="16"/>
        <v>298638.33413483913</v>
      </c>
      <c r="P32" s="19">
        <f t="shared" si="10"/>
        <v>1785863.6222776847</v>
      </c>
      <c r="R32" s="45">
        <f>IF(B32="","",INDEX(index_sum_return_table,MATCH(C32,'Index Selection'!$I$3:$I$104,0),11))</f>
        <v>0.21704492448707385</v>
      </c>
      <c r="S32" s="45">
        <f t="shared" si="0"/>
        <v>3.2500000000000001E-2</v>
      </c>
      <c r="T32" s="55">
        <f t="shared" si="1"/>
        <v>1</v>
      </c>
      <c r="U32" s="45">
        <f t="shared" si="2"/>
        <v>0</v>
      </c>
      <c r="V32" s="60">
        <f>IF(B32="","",_xlfn.IFNA(INDEX(coi_table,MATCH(B32,COI_rate!$A$1:$A$102,0),MATCH(Xinput_gender,COI_rate!$A$1:$C$1,0)),V31))</f>
        <v>4.4850000000000001E-2</v>
      </c>
      <c r="W32" s="45">
        <f>IF(B32="","",_xlfn.IFNA(VLOOKUP(C32,surrender_charge!$A$1:$B$12,2,FALSE),0))</f>
        <v>0</v>
      </c>
      <c r="X32" s="70">
        <f>IF(B32="","",IF(B32&lt;Xinput_income_start_age,0,IF(B32&gt;Xoutput_income_end_age,0,IF(income_option=1,VLOOKUP(Xinput_income_start_age,withdrawal_percentage!$A$2:$D$32,1+income_option,FALSE),VLOOKUP(Xinput_income_start_age,withdrawal_percentage!$A$2:$D$32,1+income_option,FALSE)+((B32-Xinput_income_start_age)*VLOOKUP(Xinput_income_start_age,withdrawal_percentage!$A$2:$D$32,2+income_option,FALSE))))))</f>
        <v>4.8700000000000035E-2</v>
      </c>
    </row>
    <row r="33" spans="2:24" ht="22.2" customHeight="1" thickTop="1" thickBot="1">
      <c r="B33" s="63">
        <f t="shared" si="13"/>
        <v>85</v>
      </c>
      <c r="C33" s="17">
        <f t="shared" si="8"/>
        <v>30</v>
      </c>
      <c r="D33" s="19">
        <f t="shared" si="3"/>
        <v>1500000</v>
      </c>
      <c r="E33" s="57">
        <f t="shared" si="11"/>
        <v>129987.02279789632</v>
      </c>
      <c r="F33" s="54">
        <f t="shared" si="4"/>
        <v>3.0752287782957875E-2</v>
      </c>
      <c r="G33" s="19">
        <f t="shared" si="9"/>
        <v>3997.3983331308141</v>
      </c>
      <c r="H33" s="19">
        <f t="shared" si="12"/>
        <v>133984.42113102713</v>
      </c>
      <c r="I33" s="56">
        <f>IF(B33="","",IF(Xinput_rider_choice,IF(Annuity_CashFlow!B33&gt;=40,Annuity_CashFlow!G33*rider_bonus,0),0))</f>
        <v>0</v>
      </c>
      <c r="J33" s="19">
        <f>IF(B33="","",IF(AND(B33&gt;=Xinput_income_start_age,B33&lt;=Xoutput_income_end_age),Summary!$D$63*((1+Summary!$D$61)^(Annuity_CashFlow!B33-Xinput_income_start_age)),0))</f>
        <v>88555.327877788644</v>
      </c>
      <c r="K33" s="20">
        <f t="shared" si="17"/>
        <v>0</v>
      </c>
      <c r="L33" s="19">
        <f t="shared" si="6"/>
        <v>86810.830678918253</v>
      </c>
      <c r="M33" s="19">
        <f t="shared" si="14"/>
        <v>0</v>
      </c>
      <c r="N33" s="19">
        <f t="shared" si="15"/>
        <v>0</v>
      </c>
      <c r="O33" s="20">
        <f t="shared" si="16"/>
        <v>133984.42113102713</v>
      </c>
      <c r="P33" s="19">
        <f t="shared" si="10"/>
        <v>1785863.6222776847</v>
      </c>
      <c r="R33" s="45">
        <f>IF(B33="","",INDEX(index_sum_return_table,MATCH(C33,'Index Selection'!$I$3:$I$104,0),11))</f>
        <v>3.0752287782957875E-2</v>
      </c>
      <c r="S33" s="45">
        <f t="shared" si="0"/>
        <v>3.2500000000000001E-2</v>
      </c>
      <c r="T33" s="55">
        <f t="shared" si="1"/>
        <v>1</v>
      </c>
      <c r="U33" s="45">
        <f t="shared" si="2"/>
        <v>0</v>
      </c>
      <c r="V33" s="60">
        <f>IF(B33="","",_xlfn.IFNA(INDEX(coi_table,MATCH(B33,COI_rate!$A$1:$A$102,0),MATCH(Xinput_gender,COI_rate!$A$1:$C$1,0)),V32))</f>
        <v>4.861E-2</v>
      </c>
      <c r="W33" s="45">
        <f>IF(B33="","",_xlfn.IFNA(VLOOKUP(C33,surrender_charge!$A$1:$B$12,2,FALSE),0))</f>
        <v>0</v>
      </c>
      <c r="X33" s="70">
        <f>IF(B33="","",IF(B33&lt;Xinput_income_start_age,0,IF(B33&gt;Xoutput_income_end_age,0,IF(income_option=1,VLOOKUP(Xinput_income_start_age,withdrawal_percentage!$A$2:$D$32,1+income_option,FALSE),VLOOKUP(Xinput_income_start_age,withdrawal_percentage!$A$2:$D$32,1+income_option,FALSE)+((B33-Xinput_income_start_age)*VLOOKUP(Xinput_income_start_age,withdrawal_percentage!$A$2:$D$32,2+income_option,FALSE))))))</f>
        <v>4.8700000000000035E-2</v>
      </c>
    </row>
    <row r="34" spans="2:24" ht="22.2" customHeight="1" thickTop="1" thickBot="1">
      <c r="B34" s="63">
        <f t="shared" si="13"/>
        <v>86</v>
      </c>
      <c r="C34" s="17">
        <f t="shared" si="8"/>
        <v>31</v>
      </c>
      <c r="D34" s="19">
        <f t="shared" si="3"/>
        <v>1500000</v>
      </c>
      <c r="E34" s="57">
        <f t="shared" si="11"/>
        <v>0</v>
      </c>
      <c r="F34" s="54">
        <f t="shared" si="4"/>
        <v>3.2500000000000001E-2</v>
      </c>
      <c r="G34" s="19">
        <f t="shared" si="9"/>
        <v>0</v>
      </c>
      <c r="H34" s="19">
        <f t="shared" si="12"/>
        <v>0</v>
      </c>
      <c r="I34" s="56">
        <f>IF(B34="","",IF(Xinput_rider_choice,IF(Annuity_CashFlow!B34&gt;=40,Annuity_CashFlow!G34*rider_bonus,0),0))</f>
        <v>0</v>
      </c>
      <c r="J34" s="19">
        <f>IF(B34="","",IF(AND(B34&gt;=Xinput_income_start_age,B34&lt;=Xoutput_income_end_age),Summary!$D$63*((1+Summary!$D$61)^(Annuity_CashFlow!B34-Xinput_income_start_age)),0))</f>
        <v>88555.327877788644</v>
      </c>
      <c r="K34" s="20">
        <f t="shared" si="17"/>
        <v>0</v>
      </c>
      <c r="L34" s="19">
        <f t="shared" si="6"/>
        <v>94132.871530256758</v>
      </c>
      <c r="M34" s="19">
        <f t="shared" si="14"/>
        <v>0</v>
      </c>
      <c r="N34" s="19">
        <f t="shared" si="15"/>
        <v>0</v>
      </c>
      <c r="O34" s="20">
        <f t="shared" si="16"/>
        <v>0</v>
      </c>
      <c r="P34" s="19">
        <f t="shared" si="10"/>
        <v>1785863.6222776847</v>
      </c>
      <c r="R34" s="45">
        <f>IF(B34="","",INDEX(index_sum_return_table,MATCH(C34,'Index Selection'!$I$3:$I$104,0),11))</f>
        <v>0.12658867435913132</v>
      </c>
      <c r="S34" s="45">
        <f t="shared" si="0"/>
        <v>3.2500000000000001E-2</v>
      </c>
      <c r="T34" s="55">
        <f t="shared" si="1"/>
        <v>1</v>
      </c>
      <c r="U34" s="45">
        <f t="shared" si="2"/>
        <v>0</v>
      </c>
      <c r="V34" s="60">
        <f>IF(B34="","",_xlfn.IFNA(INDEX(coi_table,MATCH(B34,COI_rate!$A$1:$A$102,0),MATCH(Xinput_gender,COI_rate!$A$1:$C$1,0)),V33))</f>
        <v>5.271E-2</v>
      </c>
      <c r="W34" s="45">
        <f>IF(B34="","",_xlfn.IFNA(VLOOKUP(C34,surrender_charge!$A$1:$B$12,2,FALSE),0))</f>
        <v>0</v>
      </c>
      <c r="X34" s="70">
        <f>IF(B34="","",IF(B34&lt;Xinput_income_start_age,0,IF(B34&gt;Xoutput_income_end_age,0,IF(income_option=1,VLOOKUP(Xinput_income_start_age,withdrawal_percentage!$A$2:$D$32,1+income_option,FALSE),VLOOKUP(Xinput_income_start_age,withdrawal_percentage!$A$2:$D$32,1+income_option,FALSE)+((B34-Xinput_income_start_age)*VLOOKUP(Xinput_income_start_age,withdrawal_percentage!$A$2:$D$32,2+income_option,FALSE))))))</f>
        <v>4.8700000000000035E-2</v>
      </c>
    </row>
    <row r="35" spans="2:24" ht="22.2" customHeight="1" thickTop="1" thickBot="1">
      <c r="B35" s="63">
        <f t="shared" si="13"/>
        <v>87</v>
      </c>
      <c r="C35" s="17">
        <f t="shared" si="8"/>
        <v>32</v>
      </c>
      <c r="D35" s="19">
        <f t="shared" si="3"/>
        <v>1500000</v>
      </c>
      <c r="E35" s="57">
        <f t="shared" si="11"/>
        <v>0</v>
      </c>
      <c r="F35" s="54">
        <f t="shared" si="4"/>
        <v>3.2500000000000001E-2</v>
      </c>
      <c r="G35" s="19">
        <f t="shared" si="9"/>
        <v>0</v>
      </c>
      <c r="H35" s="19">
        <f t="shared" si="12"/>
        <v>0</v>
      </c>
      <c r="I35" s="56">
        <f>IF(B35="","",IF(Xinput_rider_choice,IF(Annuity_CashFlow!B35&gt;=40,Annuity_CashFlow!G35*rider_bonus,0),0))</f>
        <v>0</v>
      </c>
      <c r="J35" s="19">
        <f>IF(B35="","",IF(AND(B35&gt;=Xinput_income_start_age,B35&lt;=Xoutput_income_end_age),Summary!$D$63*((1+Summary!$D$61)^(Annuity_CashFlow!B35-Xinput_income_start_age)),0))</f>
        <v>88555.327877788644</v>
      </c>
      <c r="K35" s="20">
        <f t="shared" si="17"/>
        <v>0</v>
      </c>
      <c r="L35" s="19">
        <f t="shared" si="6"/>
        <v>102062.10601316969</v>
      </c>
      <c r="M35" s="19">
        <f t="shared" si="14"/>
        <v>0</v>
      </c>
      <c r="N35" s="19">
        <f t="shared" si="15"/>
        <v>0</v>
      </c>
      <c r="O35" s="20">
        <f t="shared" si="16"/>
        <v>0</v>
      </c>
      <c r="P35" s="19">
        <f t="shared" si="10"/>
        <v>1785863.6222776847</v>
      </c>
      <c r="R35" s="45">
        <f>IF(B35="","",INDEX(index_sum_return_table,MATCH(C35,'Index Selection'!$I$3:$I$104,0),11))</f>
        <v>0.4442153827442783</v>
      </c>
      <c r="S35" s="45">
        <f t="shared" si="0"/>
        <v>3.2500000000000001E-2</v>
      </c>
      <c r="T35" s="55">
        <f t="shared" si="1"/>
        <v>1</v>
      </c>
      <c r="U35" s="45">
        <f t="shared" si="2"/>
        <v>0</v>
      </c>
      <c r="V35" s="60">
        <f>IF(B35="","",_xlfn.IFNA(INDEX(coi_table,MATCH(B35,COI_rate!$A$1:$A$102,0),MATCH(Xinput_gender,COI_rate!$A$1:$C$1,0)),V34))</f>
        <v>5.7149999999999999E-2</v>
      </c>
      <c r="W35" s="45">
        <f>IF(B35="","",_xlfn.IFNA(VLOOKUP(C35,surrender_charge!$A$1:$B$12,2,FALSE),0))</f>
        <v>0</v>
      </c>
      <c r="X35" s="70">
        <f>IF(B35="","",IF(B35&lt;Xinput_income_start_age,0,IF(B35&gt;Xoutput_income_end_age,0,IF(income_option=1,VLOOKUP(Xinput_income_start_age,withdrawal_percentage!$A$2:$D$32,1+income_option,FALSE),VLOOKUP(Xinput_income_start_age,withdrawal_percentage!$A$2:$D$32,1+income_option,FALSE)+((B35-Xinput_income_start_age)*VLOOKUP(Xinput_income_start_age,withdrawal_percentage!$A$2:$D$32,2+income_option,FALSE))))))</f>
        <v>4.8700000000000035E-2</v>
      </c>
    </row>
    <row r="36" spans="2:24" ht="22.2" customHeight="1" thickTop="1" thickBot="1">
      <c r="B36" s="63">
        <f t="shared" si="13"/>
        <v>88</v>
      </c>
      <c r="C36" s="17">
        <f t="shared" si="8"/>
        <v>33</v>
      </c>
      <c r="D36" s="19">
        <f t="shared" si="3"/>
        <v>1500000</v>
      </c>
      <c r="E36" s="57">
        <f t="shared" si="11"/>
        <v>0</v>
      </c>
      <c r="F36" s="54">
        <f t="shared" si="4"/>
        <v>0</v>
      </c>
      <c r="G36" s="19">
        <f t="shared" si="9"/>
        <v>0</v>
      </c>
      <c r="H36" s="19">
        <f t="shared" si="12"/>
        <v>0</v>
      </c>
      <c r="I36" s="56">
        <f>IF(B36="","",IF(Xinput_rider_choice,IF(Annuity_CashFlow!B36&gt;=40,Annuity_CashFlow!G36*rider_bonus,0),0))</f>
        <v>0</v>
      </c>
      <c r="J36" s="19">
        <f>IF(B36="","",IF(AND(B36&gt;=Xinput_income_start_age,B36&lt;=Xoutput_income_end_age),Summary!$D$63*((1+Summary!$D$61)^(Annuity_CashFlow!B36-Xinput_income_start_age)),0))</f>
        <v>88555.327877788644</v>
      </c>
      <c r="K36" s="20">
        <f t="shared" ref="K36:K67" si="18">IF(B36="","",IF(B36&lt;Xinput_income_start_age,rider_rate*H36,0))</f>
        <v>0</v>
      </c>
      <c r="L36" s="19">
        <f t="shared" ref="L36:L67" si="19">IF(B36="","",P36*V36)</f>
        <v>110705.68594499369</v>
      </c>
      <c r="M36" s="19">
        <f t="shared" si="14"/>
        <v>0</v>
      </c>
      <c r="N36" s="19">
        <f t="shared" si="15"/>
        <v>0</v>
      </c>
      <c r="O36" s="20">
        <f t="shared" si="16"/>
        <v>0</v>
      </c>
      <c r="P36" s="19">
        <f t="shared" si="10"/>
        <v>1785863.6222776847</v>
      </c>
      <c r="R36" s="45">
        <f>IF(B36="","",INDEX(index_sum_return_table,MATCH(C36,'Index Selection'!$I$3:$I$104,0),11))</f>
        <v>-0.74008023272287837</v>
      </c>
      <c r="S36" s="45">
        <f t="shared" ref="S36:S67" si="20">IF(B36="","",IF(Xinput_allocation_option&lt;&gt;1,IF(Xinput_allocation_option&lt;&gt;2,1,Xoutput_cap),Xoutput_cap))</f>
        <v>3.2500000000000001E-2</v>
      </c>
      <c r="T36" s="55">
        <f t="shared" ref="T36:T67" si="21">IF(B36="","",IF(Xinput_allocation_option&lt;&gt;4,IF(Xinput_allocation_option&lt;&gt;5,1,Xoutput_par),Xoutput_par))</f>
        <v>1</v>
      </c>
      <c r="U36" s="45">
        <f t="shared" ref="U36:U67" si="22">IF(B36="","",IF(Xinput_allocation_option&lt;&gt;3,0,Xoutput_spread))</f>
        <v>0</v>
      </c>
      <c r="V36" s="60">
        <f>IF(B36="","",_xlfn.IFNA(INDEX(coi_table,MATCH(B36,COI_rate!$A$1:$A$102,0),MATCH(Xinput_gender,COI_rate!$A$1:$C$1,0)),V35))</f>
        <v>6.1990000000000003E-2</v>
      </c>
      <c r="W36" s="45">
        <f>IF(B36="","",_xlfn.IFNA(VLOOKUP(C36,surrender_charge!$A$1:$B$12,2,FALSE),0))</f>
        <v>0</v>
      </c>
      <c r="X36" s="70">
        <f>IF(B36="","",IF(B36&lt;Xinput_income_start_age,0,IF(B36&gt;Xoutput_income_end_age,0,IF(income_option=1,VLOOKUP(Xinput_income_start_age,withdrawal_percentage!$A$2:$D$32,1+income_option,FALSE),VLOOKUP(Xinput_income_start_age,withdrawal_percentage!$A$2:$D$32,1+income_option,FALSE)+((B36-Xinput_income_start_age)*VLOOKUP(Xinput_income_start_age,withdrawal_percentage!$A$2:$D$32,2+income_option,FALSE))))))</f>
        <v>4.8700000000000035E-2</v>
      </c>
    </row>
    <row r="37" spans="2:24" ht="22.2" customHeight="1" thickTop="1" thickBot="1">
      <c r="B37" s="63">
        <f t="shared" si="13"/>
        <v>89</v>
      </c>
      <c r="C37" s="17">
        <f t="shared" si="8"/>
        <v>34</v>
      </c>
      <c r="D37" s="19">
        <f t="shared" ref="D37:D68" si="23">IF(C37="","",IF(C37&gt;Xinput_term,D36,D36+(Xinput_premium*Xinput_frequency)))</f>
        <v>1500000</v>
      </c>
      <c r="E37" s="57">
        <f t="shared" ref="E37:E68" si="24">IF(C37="","",IF(C37&gt;Xinput_term,M36,M36+Xinput_premium))</f>
        <v>0</v>
      </c>
      <c r="F37" s="54">
        <f t="shared" ref="F37:F68" si="25">IF(C37="","",IF(Xinput_interest_choice=1,Xoutput_interest_rate,MAX(0,(MIN(S37,R37)*T37)-U37)))</f>
        <v>3.2500000000000001E-2</v>
      </c>
      <c r="G37" s="19">
        <f t="shared" si="9"/>
        <v>0</v>
      </c>
      <c r="H37" s="19">
        <f t="shared" si="12"/>
        <v>0</v>
      </c>
      <c r="I37" s="56">
        <f>IF(B37="","",IF(Xinput_rider_choice,IF(Annuity_CashFlow!B37&gt;=40,Annuity_CashFlow!G37*rider_bonus,0),0))</f>
        <v>0</v>
      </c>
      <c r="J37" s="19">
        <f>IF(B37="","",IF(AND(B37&gt;=Xinput_income_start_age,B37&lt;=Xoutput_income_end_age),Summary!$D$63*((1+Summary!$D$61)^(Annuity_CashFlow!B37-Xinput_income_start_age)),0))</f>
        <v>88555.327877788644</v>
      </c>
      <c r="K37" s="20">
        <f t="shared" si="18"/>
        <v>0</v>
      </c>
      <c r="L37" s="19">
        <f t="shared" si="19"/>
        <v>120117.18723439708</v>
      </c>
      <c r="M37" s="19">
        <f t="shared" si="14"/>
        <v>0</v>
      </c>
      <c r="N37" s="19">
        <f t="shared" si="15"/>
        <v>0</v>
      </c>
      <c r="O37" s="20">
        <f t="shared" si="16"/>
        <v>0</v>
      </c>
      <c r="P37" s="19">
        <f t="shared" si="10"/>
        <v>1785863.6222776847</v>
      </c>
      <c r="R37" s="45">
        <f>IF(B37="","",INDEX(index_sum_return_table,MATCH(C37,'Index Selection'!$I$3:$I$104,0),11))</f>
        <v>7.2360351381524496E-2</v>
      </c>
      <c r="S37" s="45">
        <f t="shared" si="20"/>
        <v>3.2500000000000001E-2</v>
      </c>
      <c r="T37" s="55">
        <f t="shared" si="21"/>
        <v>1</v>
      </c>
      <c r="U37" s="45">
        <f t="shared" si="22"/>
        <v>0</v>
      </c>
      <c r="V37" s="60">
        <f>IF(B37="","",_xlfn.IFNA(INDEX(coi_table,MATCH(B37,COI_rate!$A$1:$A$102,0),MATCH(Xinput_gender,COI_rate!$A$1:$C$1,0)),V36))</f>
        <v>6.726E-2</v>
      </c>
      <c r="W37" s="45">
        <f>IF(B37="","",_xlfn.IFNA(VLOOKUP(C37,surrender_charge!$A$1:$B$12,2,FALSE),0))</f>
        <v>0</v>
      </c>
      <c r="X37" s="70">
        <f>IF(B37="","",IF(B37&lt;Xinput_income_start_age,0,IF(B37&gt;Xoutput_income_end_age,0,IF(income_option=1,VLOOKUP(Xinput_income_start_age,withdrawal_percentage!$A$2:$D$32,1+income_option,FALSE),VLOOKUP(Xinput_income_start_age,withdrawal_percentage!$A$2:$D$32,1+income_option,FALSE)+((B37-Xinput_income_start_age)*VLOOKUP(Xinput_income_start_age,withdrawal_percentage!$A$2:$D$32,2+income_option,FALSE))))))</f>
        <v>4.8700000000000035E-2</v>
      </c>
    </row>
    <row r="38" spans="2:24" ht="22.2" customHeight="1" thickTop="1" thickBot="1">
      <c r="B38" s="63">
        <f t="shared" si="13"/>
        <v>90</v>
      </c>
      <c r="C38" s="17">
        <f t="shared" si="8"/>
        <v>35</v>
      </c>
      <c r="D38" s="19">
        <f t="shared" si="23"/>
        <v>1500000</v>
      </c>
      <c r="E38" s="57">
        <f t="shared" si="24"/>
        <v>0</v>
      </c>
      <c r="F38" s="54">
        <f t="shared" si="25"/>
        <v>3.2500000000000001E-2</v>
      </c>
      <c r="G38" s="19">
        <f t="shared" si="9"/>
        <v>0</v>
      </c>
      <c r="H38" s="19">
        <f t="shared" si="12"/>
        <v>0</v>
      </c>
      <c r="I38" s="56">
        <f>IF(B38="","",IF(Xinput_rider_choice,IF(Annuity_CashFlow!B38&gt;=40,Annuity_CashFlow!G38*rider_bonus,0),0))</f>
        <v>0</v>
      </c>
      <c r="J38" s="19">
        <f>IF(B38="","",IF(AND(B38&gt;=Xinput_income_start_age,B38&lt;=Xoutput_income_end_age),Summary!$D$63*((1+Summary!$D$61)^(Annuity_CashFlow!B38-Xinput_income_start_age)),0))</f>
        <v>88555.327877788644</v>
      </c>
      <c r="K38" s="20">
        <f t="shared" si="18"/>
        <v>0</v>
      </c>
      <c r="L38" s="19">
        <f t="shared" si="19"/>
        <v>130368.04442627098</v>
      </c>
      <c r="M38" s="19">
        <f t="shared" si="14"/>
        <v>0</v>
      </c>
      <c r="N38" s="19">
        <f t="shared" si="15"/>
        <v>0</v>
      </c>
      <c r="O38" s="20">
        <f t="shared" si="16"/>
        <v>0</v>
      </c>
      <c r="P38" s="19">
        <f t="shared" si="10"/>
        <v>1785863.6222776847</v>
      </c>
      <c r="R38" s="45">
        <f>IF(B38="","",INDEX(index_sum_return_table,MATCH(C38,'Index Selection'!$I$3:$I$104,0),11))</f>
        <v>7.6563694969547499E-2</v>
      </c>
      <c r="S38" s="45">
        <f t="shared" si="20"/>
        <v>3.2500000000000001E-2</v>
      </c>
      <c r="T38" s="55">
        <f t="shared" si="21"/>
        <v>1</v>
      </c>
      <c r="U38" s="45">
        <f t="shared" si="22"/>
        <v>0</v>
      </c>
      <c r="V38" s="60">
        <f>IF(B38="","",_xlfn.IFNA(INDEX(coi_table,MATCH(B38,COI_rate!$A$1:$A$102,0),MATCH(Xinput_gender,COI_rate!$A$1:$C$1,0)),V37))</f>
        <v>7.2999999999999995E-2</v>
      </c>
      <c r="W38" s="45">
        <f>IF(B38="","",_xlfn.IFNA(VLOOKUP(C38,surrender_charge!$A$1:$B$12,2,FALSE),0))</f>
        <v>0</v>
      </c>
      <c r="X38" s="70">
        <f>IF(B38="","",IF(B38&lt;Xinput_income_start_age,0,IF(B38&gt;Xoutput_income_end_age,0,IF(income_option=1,VLOOKUP(Xinput_income_start_age,withdrawal_percentage!$A$2:$D$32,1+income_option,FALSE),VLOOKUP(Xinput_income_start_age,withdrawal_percentage!$A$2:$D$32,1+income_option,FALSE)+((B38-Xinput_income_start_age)*VLOOKUP(Xinput_income_start_age,withdrawal_percentage!$A$2:$D$32,2+income_option,FALSE))))))</f>
        <v>4.8700000000000035E-2</v>
      </c>
    </row>
    <row r="39" spans="2:24" ht="22.2" customHeight="1" thickTop="1" thickBot="1">
      <c r="B39" s="63">
        <f t="shared" si="13"/>
        <v>91</v>
      </c>
      <c r="C39" s="17">
        <f t="shared" si="8"/>
        <v>36</v>
      </c>
      <c r="D39" s="19">
        <f t="shared" si="23"/>
        <v>1500000</v>
      </c>
      <c r="E39" s="57">
        <f t="shared" si="24"/>
        <v>0</v>
      </c>
      <c r="F39" s="54">
        <f t="shared" si="25"/>
        <v>3.2500000000000001E-2</v>
      </c>
      <c r="G39" s="19">
        <f t="shared" si="9"/>
        <v>0</v>
      </c>
      <c r="H39" s="19">
        <f t="shared" si="12"/>
        <v>0</v>
      </c>
      <c r="I39" s="56">
        <f>IF(B39="","",IF(Xinput_rider_choice,IF(Annuity_CashFlow!B39&gt;=40,Annuity_CashFlow!G39*rider_bonus,0),0))</f>
        <v>0</v>
      </c>
      <c r="J39" s="19">
        <f>IF(B39="","",IF(AND(B39&gt;=Xinput_income_start_age,B39&lt;=Xoutput_income_end_age),Summary!$D$63*((1+Summary!$D$61)^(Annuity_CashFlow!B39-Xinput_income_start_age)),0))</f>
        <v>88555.327877788644</v>
      </c>
      <c r="K39" s="20">
        <f t="shared" si="18"/>
        <v>0</v>
      </c>
      <c r="L39" s="19">
        <f t="shared" si="19"/>
        <v>134207.65121416803</v>
      </c>
      <c r="M39" s="19">
        <f t="shared" si="14"/>
        <v>0</v>
      </c>
      <c r="N39" s="19">
        <f t="shared" si="15"/>
        <v>0</v>
      </c>
      <c r="O39" s="20">
        <f t="shared" si="16"/>
        <v>0</v>
      </c>
      <c r="P39" s="19">
        <f t="shared" si="10"/>
        <v>1785863.6222776847</v>
      </c>
      <c r="R39" s="45">
        <f>IF(B39="","",INDEX(index_sum_return_table,MATCH(C39,'Index Selection'!$I$3:$I$104,0),11))</f>
        <v>0.28863000556276613</v>
      </c>
      <c r="S39" s="45">
        <f t="shared" si="20"/>
        <v>3.2500000000000001E-2</v>
      </c>
      <c r="T39" s="55">
        <f t="shared" si="21"/>
        <v>1</v>
      </c>
      <c r="U39" s="45">
        <f t="shared" si="22"/>
        <v>0</v>
      </c>
      <c r="V39" s="60">
        <f>IF(B39="","",_xlfn.IFNA(INDEX(coi_table,MATCH(B39,COI_rate!$A$1:$A$102,0),MATCH(Xinput_gender,COI_rate!$A$1:$C$1,0)),V38))</f>
        <v>7.5150000000000008E-2</v>
      </c>
      <c r="W39" s="45">
        <f>IF(B39="","",_xlfn.IFNA(VLOOKUP(C39,surrender_charge!$A$1:$B$12,2,FALSE),0))</f>
        <v>0</v>
      </c>
      <c r="X39" s="70">
        <f>IF(B39="","",IF(B39&lt;Xinput_income_start_age,0,IF(B39&gt;Xoutput_income_end_age,0,IF(income_option=1,VLOOKUP(Xinput_income_start_age,withdrawal_percentage!$A$2:$D$32,1+income_option,FALSE),VLOOKUP(Xinput_income_start_age,withdrawal_percentage!$A$2:$D$32,1+income_option,FALSE)+((B39-Xinput_income_start_age)*VLOOKUP(Xinput_income_start_age,withdrawal_percentage!$A$2:$D$32,2+income_option,FALSE))))))</f>
        <v>4.8700000000000035E-2</v>
      </c>
    </row>
    <row r="40" spans="2:24" ht="22.2" customHeight="1" thickTop="1" thickBot="1">
      <c r="B40" s="63">
        <f t="shared" si="13"/>
        <v>92</v>
      </c>
      <c r="C40" s="17">
        <f t="shared" si="8"/>
        <v>37</v>
      </c>
      <c r="D40" s="19">
        <f t="shared" si="23"/>
        <v>1500000</v>
      </c>
      <c r="E40" s="57">
        <f t="shared" si="24"/>
        <v>0</v>
      </c>
      <c r="F40" s="54">
        <f t="shared" si="25"/>
        <v>3.2500000000000001E-2</v>
      </c>
      <c r="G40" s="19">
        <f t="shared" si="9"/>
        <v>0</v>
      </c>
      <c r="H40" s="19">
        <f t="shared" si="12"/>
        <v>0</v>
      </c>
      <c r="I40" s="56">
        <f>IF(B40="","",IF(Xinput_rider_choice,IF(Annuity_CashFlow!B40&gt;=40,Annuity_CashFlow!G40*rider_bonus,0),0))</f>
        <v>0</v>
      </c>
      <c r="J40" s="19">
        <f>IF(B40="","",IF(AND(B40&gt;=Xinput_income_start_age,B40&lt;=Xoutput_income_end_age),Summary!$D$63*((1+Summary!$D$61)^(Annuity_CashFlow!B40-Xinput_income_start_age)),0))</f>
        <v>88555.327877788644</v>
      </c>
      <c r="K40" s="20">
        <f t="shared" si="18"/>
        <v>0</v>
      </c>
      <c r="L40" s="19">
        <f t="shared" si="19"/>
        <v>146458.67566299293</v>
      </c>
      <c r="M40" s="19">
        <f t="shared" si="14"/>
        <v>0</v>
      </c>
      <c r="N40" s="19">
        <f t="shared" si="15"/>
        <v>0</v>
      </c>
      <c r="O40" s="20">
        <f t="shared" si="16"/>
        <v>0</v>
      </c>
      <c r="P40" s="19">
        <f t="shared" si="10"/>
        <v>1785863.6222776847</v>
      </c>
      <c r="R40" s="45">
        <f>IF(B40="","",INDEX(index_sum_return_table,MATCH(C40,'Index Selection'!$I$3:$I$104,0),11))</f>
        <v>0.16661686470724921</v>
      </c>
      <c r="S40" s="45">
        <f t="shared" si="20"/>
        <v>3.2500000000000001E-2</v>
      </c>
      <c r="T40" s="55">
        <f t="shared" si="21"/>
        <v>1</v>
      </c>
      <c r="U40" s="45">
        <f t="shared" si="22"/>
        <v>0</v>
      </c>
      <c r="V40" s="60">
        <f>IF(B40="","",_xlfn.IFNA(INDEX(coi_table,MATCH(B40,COI_rate!$A$1:$A$102,0),MATCH(Xinput_gender,COI_rate!$A$1:$C$1,0)),V39))</f>
        <v>8.201E-2</v>
      </c>
      <c r="W40" s="45">
        <f>IF(B40="","",_xlfn.IFNA(VLOOKUP(C40,surrender_charge!$A$1:$B$12,2,FALSE),0))</f>
        <v>0</v>
      </c>
      <c r="X40" s="70">
        <f>IF(B40="","",IF(B40&lt;Xinput_income_start_age,0,IF(B40&gt;Xoutput_income_end_age,0,IF(income_option=1,VLOOKUP(Xinput_income_start_age,withdrawal_percentage!$A$2:$D$32,1+income_option,FALSE),VLOOKUP(Xinput_income_start_age,withdrawal_percentage!$A$2:$D$32,1+income_option,FALSE)+((B40-Xinput_income_start_age)*VLOOKUP(Xinput_income_start_age,withdrawal_percentage!$A$2:$D$32,2+income_option,FALSE))))))</f>
        <v>4.8700000000000035E-2</v>
      </c>
    </row>
    <row r="41" spans="2:24" ht="22.2" customHeight="1" thickTop="1" thickBot="1">
      <c r="B41" s="63">
        <f t="shared" si="13"/>
        <v>93</v>
      </c>
      <c r="C41" s="17">
        <f t="shared" si="8"/>
        <v>38</v>
      </c>
      <c r="D41" s="19">
        <f t="shared" si="23"/>
        <v>1500000</v>
      </c>
      <c r="E41" s="57">
        <f t="shared" si="24"/>
        <v>0</v>
      </c>
      <c r="F41" s="54">
        <f t="shared" si="25"/>
        <v>0</v>
      </c>
      <c r="G41" s="19">
        <f t="shared" si="9"/>
        <v>0</v>
      </c>
      <c r="H41" s="19">
        <f t="shared" si="12"/>
        <v>0</v>
      </c>
      <c r="I41" s="56">
        <f>IF(B41="","",IF(Xinput_rider_choice,IF(Annuity_CashFlow!B41&gt;=40,Annuity_CashFlow!G41*rider_bonus,0),0))</f>
        <v>0</v>
      </c>
      <c r="J41" s="19">
        <f>IF(B41="","",IF(AND(B41&gt;=Xinput_income_start_age,B41&lt;=Xoutput_income_end_age),Summary!$D$63*((1+Summary!$D$61)^(Annuity_CashFlow!B41-Xinput_income_start_age)),0))</f>
        <v>88555.327877788644</v>
      </c>
      <c r="K41" s="20">
        <f t="shared" si="18"/>
        <v>0</v>
      </c>
      <c r="L41" s="19">
        <f t="shared" si="19"/>
        <v>169424.88184548396</v>
      </c>
      <c r="M41" s="19">
        <f t="shared" si="14"/>
        <v>0</v>
      </c>
      <c r="N41" s="19">
        <f t="shared" si="15"/>
        <v>0</v>
      </c>
      <c r="O41" s="20">
        <f t="shared" si="16"/>
        <v>0</v>
      </c>
      <c r="P41" s="19">
        <f t="shared" si="10"/>
        <v>1785863.6222776847</v>
      </c>
      <c r="R41" s="45">
        <f>IF(B41="","",INDEX(index_sum_return_table,MATCH(C41,'Index Selection'!$I$3:$I$104,0),11))</f>
        <v>-6.7901226227793016E-2</v>
      </c>
      <c r="S41" s="45">
        <f t="shared" si="20"/>
        <v>3.2500000000000001E-2</v>
      </c>
      <c r="T41" s="55">
        <f t="shared" si="21"/>
        <v>1</v>
      </c>
      <c r="U41" s="45">
        <f t="shared" si="22"/>
        <v>0</v>
      </c>
      <c r="V41" s="60">
        <f>IF(B41="","",_xlfn.IFNA(INDEX(coi_table,MATCH(B41,COI_rate!$A$1:$A$102,0),MATCH(Xinput_gender,COI_rate!$A$1:$C$1,0)),V40))</f>
        <v>9.487000000000001E-2</v>
      </c>
      <c r="W41" s="45">
        <f>IF(B41="","",_xlfn.IFNA(VLOOKUP(C41,surrender_charge!$A$1:$B$12,2,FALSE),0))</f>
        <v>0</v>
      </c>
      <c r="X41" s="70">
        <f>IF(B41="","",IF(B41&lt;Xinput_income_start_age,0,IF(B41&gt;Xoutput_income_end_age,0,IF(income_option=1,VLOOKUP(Xinput_income_start_age,withdrawal_percentage!$A$2:$D$32,1+income_option,FALSE),VLOOKUP(Xinput_income_start_age,withdrawal_percentage!$A$2:$D$32,1+income_option,FALSE)+((B41-Xinput_income_start_age)*VLOOKUP(Xinput_income_start_age,withdrawal_percentage!$A$2:$D$32,2+income_option,FALSE))))))</f>
        <v>4.8700000000000035E-2</v>
      </c>
    </row>
    <row r="42" spans="2:24" ht="22.2" customHeight="1" thickTop="1" thickBot="1">
      <c r="B42" s="63">
        <f t="shared" si="13"/>
        <v>94</v>
      </c>
      <c r="C42" s="17">
        <f t="shared" si="8"/>
        <v>39</v>
      </c>
      <c r="D42" s="19">
        <f t="shared" si="23"/>
        <v>1500000</v>
      </c>
      <c r="E42" s="57">
        <f t="shared" si="24"/>
        <v>0</v>
      </c>
      <c r="F42" s="54">
        <f t="shared" si="25"/>
        <v>3.2500000000000001E-2</v>
      </c>
      <c r="G42" s="19">
        <f t="shared" si="9"/>
        <v>0</v>
      </c>
      <c r="H42" s="19">
        <f t="shared" si="12"/>
        <v>0</v>
      </c>
      <c r="I42" s="56">
        <f>IF(B42="","",IF(Xinput_rider_choice,IF(Annuity_CashFlow!B42&gt;=40,Annuity_CashFlow!G42*rider_bonus,0),0))</f>
        <v>0</v>
      </c>
      <c r="J42" s="19">
        <f>IF(B42="","",IF(AND(B42&gt;=Xinput_income_start_age,B42&lt;=Xoutput_income_end_age),Summary!$D$63*((1+Summary!$D$61)^(Annuity_CashFlow!B42-Xinput_income_start_age)),0))</f>
        <v>88555.327877788644</v>
      </c>
      <c r="K42" s="20">
        <f t="shared" si="18"/>
        <v>0</v>
      </c>
      <c r="L42" s="19">
        <f t="shared" si="19"/>
        <v>207713.79790711749</v>
      </c>
      <c r="M42" s="19">
        <f t="shared" si="14"/>
        <v>0</v>
      </c>
      <c r="N42" s="19">
        <f t="shared" si="15"/>
        <v>0</v>
      </c>
      <c r="O42" s="20">
        <f t="shared" si="16"/>
        <v>0</v>
      </c>
      <c r="P42" s="19">
        <f t="shared" si="10"/>
        <v>1785863.6222776847</v>
      </c>
      <c r="R42" s="45">
        <f>IF(B42="","",INDEX(index_sum_return_table,MATCH(C42,'Index Selection'!$I$3:$I$104,0),11))</f>
        <v>0.24602677201713347</v>
      </c>
      <c r="S42" s="45">
        <f t="shared" si="20"/>
        <v>3.2500000000000001E-2</v>
      </c>
      <c r="T42" s="55">
        <f t="shared" si="21"/>
        <v>1</v>
      </c>
      <c r="U42" s="45">
        <f t="shared" si="22"/>
        <v>0</v>
      </c>
      <c r="V42" s="60">
        <f>IF(B42="","",_xlfn.IFNA(INDEX(coi_table,MATCH(B42,COI_rate!$A$1:$A$102,0),MATCH(Xinput_gender,COI_rate!$A$1:$C$1,0)),V41))</f>
        <v>0.11631</v>
      </c>
      <c r="W42" s="45">
        <f>IF(B42="","",_xlfn.IFNA(VLOOKUP(C42,surrender_charge!$A$1:$B$12,2,FALSE),0))</f>
        <v>0</v>
      </c>
      <c r="X42" s="70">
        <f>IF(B42="","",IF(B42&lt;Xinput_income_start_age,0,IF(B42&gt;Xoutput_income_end_age,0,IF(income_option=1,VLOOKUP(Xinput_income_start_age,withdrawal_percentage!$A$2:$D$32,1+income_option,FALSE),VLOOKUP(Xinput_income_start_age,withdrawal_percentage!$A$2:$D$32,1+income_option,FALSE)+((B42-Xinput_income_start_age)*VLOOKUP(Xinput_income_start_age,withdrawal_percentage!$A$2:$D$32,2+income_option,FALSE))))))</f>
        <v>4.8700000000000035E-2</v>
      </c>
    </row>
    <row r="43" spans="2:24" ht="22.2" customHeight="1" thickTop="1" thickBot="1">
      <c r="B43" s="63">
        <f t="shared" si="13"/>
        <v>95</v>
      </c>
      <c r="C43" s="17">
        <f t="shared" si="8"/>
        <v>40</v>
      </c>
      <c r="D43" s="19">
        <f t="shared" si="23"/>
        <v>1500000</v>
      </c>
      <c r="E43" s="57">
        <f t="shared" si="24"/>
        <v>0</v>
      </c>
      <c r="F43" s="54">
        <f t="shared" si="25"/>
        <v>3.2500000000000001E-2</v>
      </c>
      <c r="G43" s="19">
        <f t="shared" si="9"/>
        <v>0</v>
      </c>
      <c r="H43" s="19">
        <f t="shared" si="12"/>
        <v>0</v>
      </c>
      <c r="I43" s="56">
        <f>IF(B43="","",IF(Xinput_rider_choice,IF(Annuity_CashFlow!B43&gt;=40,Annuity_CashFlow!G43*rider_bonus,0),0))</f>
        <v>0</v>
      </c>
      <c r="J43" s="19">
        <f>IF(B43="","",IF(AND(B43&gt;=Xinput_income_start_age,B43&lt;=Xoutput_income_end_age),Summary!$D$63*((1+Summary!$D$61)^(Annuity_CashFlow!B43-Xinput_income_start_age)),0))</f>
        <v>88555.327877788644</v>
      </c>
      <c r="K43" s="20">
        <f t="shared" si="18"/>
        <v>0</v>
      </c>
      <c r="L43" s="19">
        <f t="shared" si="19"/>
        <v>269969.0037797176</v>
      </c>
      <c r="M43" s="19">
        <f t="shared" si="14"/>
        <v>0</v>
      </c>
      <c r="N43" s="19">
        <f t="shared" si="15"/>
        <v>0</v>
      </c>
      <c r="O43" s="20">
        <f t="shared" si="16"/>
        <v>0</v>
      </c>
      <c r="P43" s="19">
        <f t="shared" si="10"/>
        <v>1785863.6222776847</v>
      </c>
      <c r="R43" s="45">
        <f>IF(B43="","",INDEX(index_sum_return_table,MATCH(C43,'Index Selection'!$I$3:$I$104,0),11))</f>
        <v>0.21704492448707385</v>
      </c>
      <c r="S43" s="45">
        <f t="shared" si="20"/>
        <v>3.2500000000000001E-2</v>
      </c>
      <c r="T43" s="55">
        <f t="shared" si="21"/>
        <v>1</v>
      </c>
      <c r="U43" s="45">
        <f t="shared" si="22"/>
        <v>0</v>
      </c>
      <c r="V43" s="60">
        <f>IF(B43="","",_xlfn.IFNA(INDEX(coi_table,MATCH(B43,COI_rate!$A$1:$A$102,0),MATCH(Xinput_gender,COI_rate!$A$1:$C$1,0)),V42))</f>
        <v>0.15117</v>
      </c>
      <c r="W43" s="45">
        <f>IF(B43="","",_xlfn.IFNA(VLOOKUP(C43,surrender_charge!$A$1:$B$12,2,FALSE),0))</f>
        <v>0</v>
      </c>
      <c r="X43" s="70">
        <f>IF(B43="","",IF(B43&lt;Xinput_income_start_age,0,IF(B43&gt;Xoutput_income_end_age,0,IF(income_option=1,VLOOKUP(Xinput_income_start_age,withdrawal_percentage!$A$2:$D$32,1+income_option,FALSE),VLOOKUP(Xinput_income_start_age,withdrawal_percentage!$A$2:$D$32,1+income_option,FALSE)+((B43-Xinput_income_start_age)*VLOOKUP(Xinput_income_start_age,withdrawal_percentage!$A$2:$D$32,2+income_option,FALSE))))))</f>
        <v>4.8700000000000035E-2</v>
      </c>
    </row>
    <row r="44" spans="2:24" ht="22.2" customHeight="1" thickTop="1" thickBot="1">
      <c r="B44" s="63">
        <f t="shared" si="13"/>
        <v>96</v>
      </c>
      <c r="C44" s="17">
        <f t="shared" si="8"/>
        <v>41</v>
      </c>
      <c r="D44" s="19">
        <f t="shared" si="23"/>
        <v>1500000</v>
      </c>
      <c r="E44" s="57">
        <f t="shared" si="24"/>
        <v>0</v>
      </c>
      <c r="F44" s="54">
        <f t="shared" si="25"/>
        <v>3.0752287782957875E-2</v>
      </c>
      <c r="G44" s="19">
        <f t="shared" si="9"/>
        <v>0</v>
      </c>
      <c r="H44" s="19">
        <f t="shared" si="12"/>
        <v>0</v>
      </c>
      <c r="I44" s="56">
        <f>IF(B44="","",IF(Xinput_rider_choice,IF(Annuity_CashFlow!B44&gt;=40,Annuity_CashFlow!G44*rider_bonus,0),0))</f>
        <v>0</v>
      </c>
      <c r="J44" s="19">
        <f>IF(B44="","",IF(AND(B44&gt;=Xinput_income_start_age,B44&lt;=Xoutput_income_end_age),Summary!$D$63*((1+Summary!$D$61)^(Annuity_CashFlow!B44-Xinput_income_start_age)),0))</f>
        <v>88555.327877788644</v>
      </c>
      <c r="K44" s="20">
        <f t="shared" si="18"/>
        <v>0</v>
      </c>
      <c r="L44" s="19">
        <f t="shared" si="19"/>
        <v>371888.24070310511</v>
      </c>
      <c r="M44" s="19">
        <f t="shared" si="14"/>
        <v>0</v>
      </c>
      <c r="N44" s="19">
        <f t="shared" si="15"/>
        <v>0</v>
      </c>
      <c r="O44" s="20">
        <f t="shared" si="16"/>
        <v>0</v>
      </c>
      <c r="P44" s="19">
        <f t="shared" si="10"/>
        <v>1785863.6222776847</v>
      </c>
      <c r="R44" s="45">
        <f>IF(B44="","",INDEX(index_sum_return_table,MATCH(C44,'Index Selection'!$I$3:$I$104,0),11))</f>
        <v>3.0752287782957875E-2</v>
      </c>
      <c r="S44" s="45">
        <f t="shared" si="20"/>
        <v>3.2500000000000001E-2</v>
      </c>
      <c r="T44" s="55">
        <f t="shared" si="21"/>
        <v>1</v>
      </c>
      <c r="U44" s="45">
        <f t="shared" si="22"/>
        <v>0</v>
      </c>
      <c r="V44" s="60">
        <f>IF(B44="","",_xlfn.IFNA(INDEX(coi_table,MATCH(B44,COI_rate!$A$1:$A$102,0),MATCH(Xinput_gender,COI_rate!$A$1:$C$1,0)),V43))</f>
        <v>0.20824000000000001</v>
      </c>
      <c r="W44" s="45">
        <f>IF(B44="","",_xlfn.IFNA(VLOOKUP(C44,surrender_charge!$A$1:$B$12,2,FALSE),0))</f>
        <v>0</v>
      </c>
      <c r="X44" s="70">
        <f>IF(B44="","",IF(B44&lt;Xinput_income_start_age,0,IF(B44&gt;Xoutput_income_end_age,0,IF(income_option=1,VLOOKUP(Xinput_income_start_age,withdrawal_percentage!$A$2:$D$32,1+income_option,FALSE),VLOOKUP(Xinput_income_start_age,withdrawal_percentage!$A$2:$D$32,1+income_option,FALSE)+((B44-Xinput_income_start_age)*VLOOKUP(Xinput_income_start_age,withdrawal_percentage!$A$2:$D$32,2+income_option,FALSE))))))</f>
        <v>4.8700000000000035E-2</v>
      </c>
    </row>
    <row r="45" spans="2:24" ht="22.2" customHeight="1" thickTop="1" thickBot="1">
      <c r="B45" s="63">
        <f t="shared" si="13"/>
        <v>97</v>
      </c>
      <c r="C45" s="17">
        <f t="shared" si="8"/>
        <v>42</v>
      </c>
      <c r="D45" s="19">
        <f t="shared" si="23"/>
        <v>1500000</v>
      </c>
      <c r="E45" s="57">
        <f t="shared" si="24"/>
        <v>0</v>
      </c>
      <c r="F45" s="54">
        <f t="shared" si="25"/>
        <v>3.2500000000000001E-2</v>
      </c>
      <c r="G45" s="19">
        <f t="shared" si="9"/>
        <v>0</v>
      </c>
      <c r="H45" s="19">
        <f t="shared" si="12"/>
        <v>0</v>
      </c>
      <c r="I45" s="56">
        <f>IF(B45="","",IF(Xinput_rider_choice,IF(Annuity_CashFlow!B45&gt;=40,Annuity_CashFlow!G45*rider_bonus,0),0))</f>
        <v>0</v>
      </c>
      <c r="J45" s="19">
        <f>IF(B45="","",IF(AND(B45&gt;=Xinput_income_start_age,B45&lt;=Xoutput_income_end_age),Summary!$D$63*((1+Summary!$D$61)^(Annuity_CashFlow!B45-Xinput_income_start_age)),0))</f>
        <v>88555.327877788644</v>
      </c>
      <c r="K45" s="20">
        <f t="shared" si="18"/>
        <v>0</v>
      </c>
      <c r="L45" s="19">
        <f t="shared" si="19"/>
        <v>529240.68446199188</v>
      </c>
      <c r="M45" s="19">
        <f t="shared" si="14"/>
        <v>0</v>
      </c>
      <c r="N45" s="19">
        <f t="shared" si="15"/>
        <v>0</v>
      </c>
      <c r="O45" s="20">
        <f t="shared" si="16"/>
        <v>0</v>
      </c>
      <c r="P45" s="19">
        <f t="shared" si="10"/>
        <v>1785863.6222776847</v>
      </c>
      <c r="R45" s="45">
        <f>IF(B45="","",INDEX(index_sum_return_table,MATCH(C45,'Index Selection'!$I$3:$I$104,0),11))</f>
        <v>0.12658867435913132</v>
      </c>
      <c r="S45" s="45">
        <f t="shared" si="20"/>
        <v>3.2500000000000001E-2</v>
      </c>
      <c r="T45" s="55">
        <f t="shared" si="21"/>
        <v>1</v>
      </c>
      <c r="U45" s="45">
        <f t="shared" si="22"/>
        <v>0</v>
      </c>
      <c r="V45" s="60">
        <f>IF(B45="","",_xlfn.IFNA(INDEX(coi_table,MATCH(B45,COI_rate!$A$1:$A$102,0),MATCH(Xinput_gender,COI_rate!$A$1:$C$1,0)),V44))</f>
        <v>0.29635</v>
      </c>
      <c r="W45" s="45">
        <f>IF(B45="","",_xlfn.IFNA(VLOOKUP(C45,surrender_charge!$A$1:$B$12,2,FALSE),0))</f>
        <v>0</v>
      </c>
      <c r="X45" s="70">
        <f>IF(B45="","",IF(B45&lt;Xinput_income_start_age,0,IF(B45&gt;Xoutput_income_end_age,0,IF(income_option=1,VLOOKUP(Xinput_income_start_age,withdrawal_percentage!$A$2:$D$32,1+income_option,FALSE),VLOOKUP(Xinput_income_start_age,withdrawal_percentage!$A$2:$D$32,1+income_option,FALSE)+((B45-Xinput_income_start_age)*VLOOKUP(Xinput_income_start_age,withdrawal_percentage!$A$2:$D$32,2+income_option,FALSE))))))</f>
        <v>4.8700000000000035E-2</v>
      </c>
    </row>
    <row r="46" spans="2:24" ht="22.2" customHeight="1" thickTop="1" thickBot="1">
      <c r="B46" s="63">
        <f t="shared" si="13"/>
        <v>98</v>
      </c>
      <c r="C46" s="17">
        <f t="shared" si="8"/>
        <v>43</v>
      </c>
      <c r="D46" s="19">
        <f t="shared" si="23"/>
        <v>1500000</v>
      </c>
      <c r="E46" s="57">
        <f t="shared" si="24"/>
        <v>0</v>
      </c>
      <c r="F46" s="54">
        <f t="shared" si="25"/>
        <v>3.2500000000000001E-2</v>
      </c>
      <c r="G46" s="19">
        <f t="shared" si="9"/>
        <v>0</v>
      </c>
      <c r="H46" s="19">
        <f t="shared" si="12"/>
        <v>0</v>
      </c>
      <c r="I46" s="56">
        <f>IF(B46="","",IF(Xinput_rider_choice,IF(Annuity_CashFlow!B46&gt;=40,Annuity_CashFlow!G46*rider_bonus,0),0))</f>
        <v>0</v>
      </c>
      <c r="J46" s="19">
        <f>IF(B46="","",IF(AND(B46&gt;=Xinput_income_start_age,B46&lt;=Xoutput_income_end_age),Summary!$D$63*((1+Summary!$D$61)^(Annuity_CashFlow!B46-Xinput_income_start_age)),0))</f>
        <v>88555.327877788644</v>
      </c>
      <c r="K46" s="20">
        <f t="shared" si="18"/>
        <v>0</v>
      </c>
      <c r="L46" s="19">
        <f t="shared" si="19"/>
        <v>840463.13791632396</v>
      </c>
      <c r="M46" s="19">
        <f t="shared" si="14"/>
        <v>0</v>
      </c>
      <c r="N46" s="19">
        <f t="shared" si="15"/>
        <v>0</v>
      </c>
      <c r="O46" s="20">
        <f t="shared" si="16"/>
        <v>0</v>
      </c>
      <c r="P46" s="19">
        <f t="shared" si="10"/>
        <v>1785863.6222776847</v>
      </c>
      <c r="R46" s="45">
        <f>IF(B46="","",INDEX(index_sum_return_table,MATCH(C46,'Index Selection'!$I$3:$I$104,0),11))</f>
        <v>0.4442153827442783</v>
      </c>
      <c r="S46" s="45">
        <f t="shared" si="20"/>
        <v>3.2500000000000001E-2</v>
      </c>
      <c r="T46" s="55">
        <f t="shared" si="21"/>
        <v>1</v>
      </c>
      <c r="U46" s="45">
        <f t="shared" si="22"/>
        <v>0</v>
      </c>
      <c r="V46" s="60">
        <f>IF(B46="","",_xlfn.IFNA(INDEX(coi_table,MATCH(B46,COI_rate!$A$1:$A$102,0),MATCH(Xinput_gender,COI_rate!$A$1:$C$1,0)),V45))</f>
        <v>0.47061999999999998</v>
      </c>
      <c r="W46" s="45">
        <f>IF(B46="","",_xlfn.IFNA(VLOOKUP(C46,surrender_charge!$A$1:$B$12,2,FALSE),0))</f>
        <v>0</v>
      </c>
      <c r="X46" s="70">
        <f>IF(B46="","",IF(B46&lt;Xinput_income_start_age,0,IF(B46&gt;Xoutput_income_end_age,0,IF(income_option=1,VLOOKUP(Xinput_income_start_age,withdrawal_percentage!$A$2:$D$32,1+income_option,FALSE),VLOOKUP(Xinput_income_start_age,withdrawal_percentage!$A$2:$D$32,1+income_option,FALSE)+((B46-Xinput_income_start_age)*VLOOKUP(Xinput_income_start_age,withdrawal_percentage!$A$2:$D$32,2+income_option,FALSE))))))</f>
        <v>4.8700000000000035E-2</v>
      </c>
    </row>
    <row r="47" spans="2:24" ht="22.2" customHeight="1" thickTop="1" thickBot="1">
      <c r="B47" s="63">
        <f t="shared" si="13"/>
        <v>99</v>
      </c>
      <c r="C47" s="17">
        <f t="shared" si="8"/>
        <v>44</v>
      </c>
      <c r="D47" s="19">
        <f t="shared" si="23"/>
        <v>1500000</v>
      </c>
      <c r="E47" s="57">
        <f t="shared" si="24"/>
        <v>0</v>
      </c>
      <c r="F47" s="54">
        <f t="shared" si="25"/>
        <v>0</v>
      </c>
      <c r="G47" s="19">
        <f t="shared" si="9"/>
        <v>0</v>
      </c>
      <c r="H47" s="19">
        <f t="shared" si="12"/>
        <v>0</v>
      </c>
      <c r="I47" s="56">
        <f>IF(B47="","",IF(Xinput_rider_choice,IF(Annuity_CashFlow!B47&gt;=40,Annuity_CashFlow!G47*rider_bonus,0),0))</f>
        <v>0</v>
      </c>
      <c r="J47" s="19">
        <f>IF(B47="","",IF(AND(B47&gt;=Xinput_income_start_age,B47&lt;=Xoutput_income_end_age),Summary!$D$63*((1+Summary!$D$61)^(Annuity_CashFlow!B47-Xinput_income_start_age)),0))</f>
        <v>88555.327877788644</v>
      </c>
      <c r="K47" s="20">
        <f t="shared" si="18"/>
        <v>0</v>
      </c>
      <c r="L47" s="19">
        <f t="shared" si="19"/>
        <v>1378793.8682157092</v>
      </c>
      <c r="M47" s="19">
        <f t="shared" si="14"/>
        <v>0</v>
      </c>
      <c r="N47" s="19">
        <f t="shared" si="15"/>
        <v>0</v>
      </c>
      <c r="O47" s="20">
        <f t="shared" si="16"/>
        <v>0</v>
      </c>
      <c r="P47" s="19">
        <f t="shared" si="10"/>
        <v>1785863.6222776847</v>
      </c>
      <c r="R47" s="45">
        <f>IF(B47="","",INDEX(index_sum_return_table,MATCH(C47,'Index Selection'!$I$3:$I$104,0),11))</f>
        <v>-0.74008023272287837</v>
      </c>
      <c r="S47" s="45">
        <f t="shared" si="20"/>
        <v>3.2500000000000001E-2</v>
      </c>
      <c r="T47" s="55">
        <f t="shared" si="21"/>
        <v>1</v>
      </c>
      <c r="U47" s="45">
        <f t="shared" si="22"/>
        <v>0</v>
      </c>
      <c r="V47" s="60">
        <f>IF(B47="","",_xlfn.IFNA(INDEX(coi_table,MATCH(B47,COI_rate!$A$1:$A$102,0),MATCH(Xinput_gender,COI_rate!$A$1:$C$1,0)),V46))</f>
        <v>0.77205999999999997</v>
      </c>
      <c r="W47" s="45">
        <f>IF(B47="","",_xlfn.IFNA(VLOOKUP(C47,surrender_charge!$A$1:$B$12,2,FALSE),0))</f>
        <v>0</v>
      </c>
      <c r="X47" s="70">
        <f>IF(B47="","",IF(B47&lt;Xinput_income_start_age,0,IF(B47&gt;Xoutput_income_end_age,0,IF(income_option=1,VLOOKUP(Xinput_income_start_age,withdrawal_percentage!$A$2:$D$32,1+income_option,FALSE),VLOOKUP(Xinput_income_start_age,withdrawal_percentage!$A$2:$D$32,1+income_option,FALSE)+((B47-Xinput_income_start_age)*VLOOKUP(Xinput_income_start_age,withdrawal_percentage!$A$2:$D$32,2+income_option,FALSE))))))</f>
        <v>4.8700000000000035E-2</v>
      </c>
    </row>
    <row r="48" spans="2:24" ht="22.2" customHeight="1" thickTop="1" thickBot="1">
      <c r="B48" s="63">
        <f t="shared" si="13"/>
        <v>100</v>
      </c>
      <c r="C48" s="17">
        <f t="shared" si="8"/>
        <v>45</v>
      </c>
      <c r="D48" s="19">
        <f t="shared" si="23"/>
        <v>1500000</v>
      </c>
      <c r="E48" s="57">
        <f t="shared" si="24"/>
        <v>0</v>
      </c>
      <c r="F48" s="54">
        <f t="shared" si="25"/>
        <v>3.2500000000000001E-2</v>
      </c>
      <c r="G48" s="19">
        <f t="shared" si="9"/>
        <v>0</v>
      </c>
      <c r="H48" s="19">
        <f t="shared" si="12"/>
        <v>0</v>
      </c>
      <c r="I48" s="56">
        <f>IF(B48="","",IF(Xinput_rider_choice,IF(Annuity_CashFlow!B48&gt;=40,Annuity_CashFlow!G48*rider_bonus,0),0))</f>
        <v>0</v>
      </c>
      <c r="J48" s="19">
        <f>IF(B48="","",IF(AND(B48&gt;=Xinput_income_start_age,B48&lt;=Xoutput_income_end_age),Summary!$D$63*((1+Summary!$D$61)^(Annuity_CashFlow!B48-Xinput_income_start_age)),0))</f>
        <v>88555.327877788644</v>
      </c>
      <c r="K48" s="20">
        <f t="shared" si="18"/>
        <v>0</v>
      </c>
      <c r="L48" s="19">
        <f t="shared" si="19"/>
        <v>1785863.6222776847</v>
      </c>
      <c r="M48" s="19">
        <f t="shared" si="14"/>
        <v>0</v>
      </c>
      <c r="N48" s="19">
        <f t="shared" si="15"/>
        <v>0</v>
      </c>
      <c r="O48" s="20">
        <f t="shared" si="16"/>
        <v>0</v>
      </c>
      <c r="P48" s="19">
        <f t="shared" si="10"/>
        <v>1785863.6222776847</v>
      </c>
      <c r="R48" s="45">
        <f>IF(B48="","",INDEX(index_sum_return_table,MATCH(C48,'Index Selection'!$I$3:$I$104,0),11))</f>
        <v>7.2360351381524496E-2</v>
      </c>
      <c r="S48" s="45">
        <f t="shared" si="20"/>
        <v>3.2500000000000001E-2</v>
      </c>
      <c r="T48" s="55">
        <f t="shared" si="21"/>
        <v>1</v>
      </c>
      <c r="U48" s="45">
        <f t="shared" si="22"/>
        <v>0</v>
      </c>
      <c r="V48" s="60">
        <f>IF(B48="","",_xlfn.IFNA(INDEX(coi_table,MATCH(B48,COI_rate!$A$1:$A$102,0),MATCH(Xinput_gender,COI_rate!$A$1:$C$1,0)),V47))</f>
        <v>1</v>
      </c>
      <c r="W48" s="45">
        <f>IF(B48="","",_xlfn.IFNA(VLOOKUP(C48,surrender_charge!$A$1:$B$12,2,FALSE),0))</f>
        <v>0</v>
      </c>
      <c r="X48" s="70">
        <f>IF(B48="","",IF(B48&lt;Xinput_income_start_age,0,IF(B48&gt;Xoutput_income_end_age,0,IF(income_option=1,VLOOKUP(Xinput_income_start_age,withdrawal_percentage!$A$2:$D$32,1+income_option,FALSE),VLOOKUP(Xinput_income_start_age,withdrawal_percentage!$A$2:$D$32,1+income_option,FALSE)+((B48-Xinput_income_start_age)*VLOOKUP(Xinput_income_start_age,withdrawal_percentage!$A$2:$D$32,2+income_option,FALSE))))))</f>
        <v>4.8700000000000035E-2</v>
      </c>
    </row>
    <row r="49" spans="2:24" ht="22.2" customHeight="1" thickTop="1" thickBot="1">
      <c r="B49" s="63" t="str">
        <f t="shared" si="13"/>
        <v/>
      </c>
      <c r="C49" s="17" t="str">
        <f t="shared" si="8"/>
        <v/>
      </c>
      <c r="D49" s="19" t="str">
        <f t="shared" si="23"/>
        <v/>
      </c>
      <c r="E49" s="57" t="str">
        <f t="shared" si="24"/>
        <v/>
      </c>
      <c r="F49" s="54" t="str">
        <f t="shared" si="25"/>
        <v/>
      </c>
      <c r="G49" s="19" t="str">
        <f t="shared" si="9"/>
        <v/>
      </c>
      <c r="H49" s="19" t="str">
        <f t="shared" si="12"/>
        <v/>
      </c>
      <c r="I49" s="56" t="str">
        <f>IF(B49="","",IF(Xinput_rider_choice,IF(Annuity_CashFlow!B49&gt;=40,Annuity_CashFlow!G49*rider_bonus,0),0))</f>
        <v/>
      </c>
      <c r="J49" s="19" t="str">
        <f>IF(B49="","",IF(AND(B49&gt;=Xinput_income_start_age,B49&lt;=Xoutput_income_end_age),Summary!$D$63*((1+Summary!$D$61)^(Annuity_CashFlow!B49-Xinput_income_start_age)),0))</f>
        <v/>
      </c>
      <c r="K49" s="20" t="str">
        <f t="shared" si="18"/>
        <v/>
      </c>
      <c r="L49" s="19" t="str">
        <f t="shared" si="19"/>
        <v/>
      </c>
      <c r="M49" s="19" t="str">
        <f t="shared" si="14"/>
        <v/>
      </c>
      <c r="N49" s="19" t="str">
        <f t="shared" si="15"/>
        <v/>
      </c>
      <c r="O49" s="20" t="str">
        <f t="shared" si="16"/>
        <v/>
      </c>
      <c r="P49" s="19" t="str">
        <f t="shared" si="10"/>
        <v/>
      </c>
      <c r="R49" s="45" t="str">
        <f>IF(B49="","",INDEX(index_sum_return_table,MATCH(C49,'Index Selection'!$I$3:$I$104,0),11))</f>
        <v/>
      </c>
      <c r="S49" s="45" t="str">
        <f t="shared" si="20"/>
        <v/>
      </c>
      <c r="T49" s="55" t="str">
        <f t="shared" si="21"/>
        <v/>
      </c>
      <c r="U49" s="45" t="str">
        <f t="shared" si="22"/>
        <v/>
      </c>
      <c r="V49" s="60" t="str">
        <f>IF(B49="","",_xlfn.IFNA(INDEX(coi_table,MATCH(B49,COI_rate!$A$1:$A$102,0),MATCH(Xinput_gender,COI_rate!$A$1:$C$1,0)),V48))</f>
        <v/>
      </c>
      <c r="W49" s="45" t="str">
        <f>IF(B49="","",_xlfn.IFNA(VLOOKUP(C49,surrender_charge!$A$1:$B$12,2,FALSE),0))</f>
        <v/>
      </c>
      <c r="X49" s="70" t="str">
        <f>IF(B49="","",IF(B49&lt;Xinput_income_start_age,0,IF(B49&gt;Xoutput_income_end_age,0,IF(income_option=1,VLOOKUP(Xinput_income_start_age,withdrawal_percentage!$A$2:$D$32,1+income_option,FALSE),VLOOKUP(Xinput_income_start_age,withdrawal_percentage!$A$2:$D$32,1+income_option,FALSE)+((B49-Xinput_income_start_age)*VLOOKUP(Xinput_income_start_age,withdrawal_percentage!$A$2:$D$32,2+income_option,FALSE))))))</f>
        <v/>
      </c>
    </row>
    <row r="50" spans="2:24" ht="22.2" customHeight="1" thickTop="1" thickBot="1">
      <c r="B50" s="63" t="str">
        <f t="shared" si="13"/>
        <v/>
      </c>
      <c r="C50" s="17" t="str">
        <f t="shared" si="8"/>
        <v/>
      </c>
      <c r="D50" s="19" t="str">
        <f t="shared" si="23"/>
        <v/>
      </c>
      <c r="E50" s="57" t="str">
        <f t="shared" si="24"/>
        <v/>
      </c>
      <c r="F50" s="54" t="str">
        <f t="shared" si="25"/>
        <v/>
      </c>
      <c r="G50" s="19" t="str">
        <f t="shared" si="9"/>
        <v/>
      </c>
      <c r="H50" s="19" t="str">
        <f t="shared" si="12"/>
        <v/>
      </c>
      <c r="I50" s="56" t="str">
        <f>IF(B50="","",IF(Xinput_rider_choice,IF(Annuity_CashFlow!B50&gt;=40,Annuity_CashFlow!G50*rider_bonus,0),0))</f>
        <v/>
      </c>
      <c r="J50" s="19" t="str">
        <f>IF(B50="","",IF(AND(B50&gt;=Xinput_income_start_age,B50&lt;=Xoutput_income_end_age),Summary!$D$63*((1+Summary!$D$61)^(Annuity_CashFlow!B50-Xinput_income_start_age)),0))</f>
        <v/>
      </c>
      <c r="K50" s="20" t="str">
        <f t="shared" si="18"/>
        <v/>
      </c>
      <c r="L50" s="19" t="str">
        <f t="shared" si="19"/>
        <v/>
      </c>
      <c r="M50" s="19" t="str">
        <f t="shared" si="14"/>
        <v/>
      </c>
      <c r="N50" s="19" t="str">
        <f t="shared" si="15"/>
        <v/>
      </c>
      <c r="O50" s="20" t="str">
        <f t="shared" si="16"/>
        <v/>
      </c>
      <c r="P50" s="19" t="str">
        <f t="shared" si="10"/>
        <v/>
      </c>
      <c r="R50" s="45" t="str">
        <f>IF(B50="","",INDEX(index_sum_return_table,MATCH(C50,'Index Selection'!$I$3:$I$104,0),11))</f>
        <v/>
      </c>
      <c r="S50" s="45" t="str">
        <f t="shared" si="20"/>
        <v/>
      </c>
      <c r="T50" s="55" t="str">
        <f t="shared" si="21"/>
        <v/>
      </c>
      <c r="U50" s="45" t="str">
        <f t="shared" si="22"/>
        <v/>
      </c>
      <c r="V50" s="60" t="str">
        <f>IF(B50="","",_xlfn.IFNA(INDEX(coi_table,MATCH(B50,COI_rate!$A$1:$A$102,0),MATCH(Xinput_gender,COI_rate!$A$1:$C$1,0)),V49))</f>
        <v/>
      </c>
      <c r="W50" s="45" t="str">
        <f>IF(B50="","",_xlfn.IFNA(VLOOKUP(C50,surrender_charge!$A$1:$B$12,2,FALSE),0))</f>
        <v/>
      </c>
      <c r="X50" s="70" t="str">
        <f>IF(B50="","",IF(B50&lt;Xinput_income_start_age,0,IF(B50&gt;Xoutput_income_end_age,0,IF(income_option=1,VLOOKUP(Xinput_income_start_age,withdrawal_percentage!$A$2:$D$32,1+income_option,FALSE),VLOOKUP(Xinput_income_start_age,withdrawal_percentage!$A$2:$D$32,1+income_option,FALSE)+((B50-Xinput_income_start_age)*VLOOKUP(Xinput_income_start_age,withdrawal_percentage!$A$2:$D$32,2+income_option,FALSE))))))</f>
        <v/>
      </c>
    </row>
    <row r="51" spans="2:24" ht="22.2" customHeight="1" thickTop="1" thickBot="1">
      <c r="B51" s="63" t="str">
        <f t="shared" si="13"/>
        <v/>
      </c>
      <c r="C51" s="17" t="str">
        <f t="shared" si="8"/>
        <v/>
      </c>
      <c r="D51" s="19" t="str">
        <f t="shared" si="23"/>
        <v/>
      </c>
      <c r="E51" s="57" t="str">
        <f t="shared" si="24"/>
        <v/>
      </c>
      <c r="F51" s="54" t="str">
        <f t="shared" si="25"/>
        <v/>
      </c>
      <c r="G51" s="19" t="str">
        <f t="shared" si="9"/>
        <v/>
      </c>
      <c r="H51" s="19" t="str">
        <f t="shared" si="12"/>
        <v/>
      </c>
      <c r="I51" s="56" t="str">
        <f>IF(B51="","",IF(Xinput_rider_choice,IF(Annuity_CashFlow!B51&gt;=40,Annuity_CashFlow!G51*rider_bonus,0),0))</f>
        <v/>
      </c>
      <c r="J51" s="19" t="str">
        <f>IF(B51="","",IF(AND(B51&gt;=Xinput_income_start_age,B51&lt;=Xoutput_income_end_age),Summary!$D$63*((1+Summary!$D$61)^(Annuity_CashFlow!B51-Xinput_income_start_age)),0))</f>
        <v/>
      </c>
      <c r="K51" s="20" t="str">
        <f t="shared" si="18"/>
        <v/>
      </c>
      <c r="L51" s="19" t="str">
        <f t="shared" si="19"/>
        <v/>
      </c>
      <c r="M51" s="19" t="str">
        <f t="shared" si="14"/>
        <v/>
      </c>
      <c r="N51" s="19" t="str">
        <f t="shared" si="15"/>
        <v/>
      </c>
      <c r="O51" s="20" t="str">
        <f t="shared" si="16"/>
        <v/>
      </c>
      <c r="P51" s="19" t="str">
        <f t="shared" si="10"/>
        <v/>
      </c>
      <c r="R51" s="45" t="str">
        <f>IF(B51="","",INDEX(index_sum_return_table,MATCH(C51,'Index Selection'!$I$3:$I$104,0),11))</f>
        <v/>
      </c>
      <c r="S51" s="45" t="str">
        <f t="shared" si="20"/>
        <v/>
      </c>
      <c r="T51" s="55" t="str">
        <f t="shared" si="21"/>
        <v/>
      </c>
      <c r="U51" s="45" t="str">
        <f t="shared" si="22"/>
        <v/>
      </c>
      <c r="V51" s="60" t="str">
        <f>IF(B51="","",_xlfn.IFNA(INDEX(coi_table,MATCH(B51,COI_rate!$A$1:$A$102,0),MATCH(Xinput_gender,COI_rate!$A$1:$C$1,0)),V50))</f>
        <v/>
      </c>
      <c r="W51" s="45" t="str">
        <f>IF(B51="","",_xlfn.IFNA(VLOOKUP(C51,surrender_charge!$A$1:$B$12,2,FALSE),0))</f>
        <v/>
      </c>
      <c r="X51" s="70" t="str">
        <f>IF(B51="","",IF(B51&lt;Xinput_income_start_age,0,IF(B51&gt;Xoutput_income_end_age,0,IF(income_option=1,VLOOKUP(Xinput_income_start_age,withdrawal_percentage!$A$2:$D$32,1+income_option,FALSE),VLOOKUP(Xinput_income_start_age,withdrawal_percentage!$A$2:$D$32,1+income_option,FALSE)+((B51-Xinput_income_start_age)*VLOOKUP(Xinput_income_start_age,withdrawal_percentage!$A$2:$D$32,2+income_option,FALSE))))))</f>
        <v/>
      </c>
    </row>
    <row r="52" spans="2:24" ht="22.2" customHeight="1" thickTop="1" thickBot="1">
      <c r="B52" s="63" t="str">
        <f t="shared" si="13"/>
        <v/>
      </c>
      <c r="C52" s="17" t="str">
        <f t="shared" si="8"/>
        <v/>
      </c>
      <c r="D52" s="19" t="str">
        <f t="shared" si="23"/>
        <v/>
      </c>
      <c r="E52" s="57" t="str">
        <f t="shared" si="24"/>
        <v/>
      </c>
      <c r="F52" s="54" t="str">
        <f t="shared" si="25"/>
        <v/>
      </c>
      <c r="G52" s="19" t="str">
        <f t="shared" si="9"/>
        <v/>
      </c>
      <c r="H52" s="19" t="str">
        <f t="shared" si="12"/>
        <v/>
      </c>
      <c r="I52" s="56" t="str">
        <f>IF(B52="","",IF(Xinput_rider_choice,IF(Annuity_CashFlow!B52&gt;=40,Annuity_CashFlow!G52*rider_bonus,0),0))</f>
        <v/>
      </c>
      <c r="J52" s="19" t="str">
        <f>IF(B52="","",IF(AND(B52&gt;=Xinput_income_start_age,B52&lt;=Xoutput_income_end_age),Summary!$D$63*((1+Summary!$D$61)^(Annuity_CashFlow!B52-Xinput_income_start_age)),0))</f>
        <v/>
      </c>
      <c r="K52" s="20" t="str">
        <f t="shared" si="18"/>
        <v/>
      </c>
      <c r="L52" s="19" t="str">
        <f t="shared" si="19"/>
        <v/>
      </c>
      <c r="M52" s="19" t="str">
        <f t="shared" si="14"/>
        <v/>
      </c>
      <c r="N52" s="19" t="str">
        <f t="shared" si="15"/>
        <v/>
      </c>
      <c r="O52" s="20" t="str">
        <f t="shared" si="16"/>
        <v/>
      </c>
      <c r="P52" s="19" t="str">
        <f t="shared" si="10"/>
        <v/>
      </c>
      <c r="R52" s="45" t="str">
        <f>IF(B52="","",INDEX(index_sum_return_table,MATCH(C52,'Index Selection'!$I$3:$I$104,0),11))</f>
        <v/>
      </c>
      <c r="S52" s="45" t="str">
        <f t="shared" si="20"/>
        <v/>
      </c>
      <c r="T52" s="55" t="str">
        <f t="shared" si="21"/>
        <v/>
      </c>
      <c r="U52" s="45" t="str">
        <f t="shared" si="22"/>
        <v/>
      </c>
      <c r="V52" s="60" t="str">
        <f>IF(B52="","",_xlfn.IFNA(INDEX(coi_table,MATCH(B52,COI_rate!$A$1:$A$102,0),MATCH(Xinput_gender,COI_rate!$A$1:$C$1,0)),V51))</f>
        <v/>
      </c>
      <c r="W52" s="45" t="str">
        <f>IF(B52="","",_xlfn.IFNA(VLOOKUP(C52,surrender_charge!$A$1:$B$12,2,FALSE),0))</f>
        <v/>
      </c>
      <c r="X52" s="70" t="str">
        <f>IF(B52="","",IF(B52&lt;Xinput_income_start_age,0,IF(B52&gt;Xoutput_income_end_age,0,IF(income_option=1,VLOOKUP(Xinput_income_start_age,withdrawal_percentage!$A$2:$D$32,1+income_option,FALSE),VLOOKUP(Xinput_income_start_age,withdrawal_percentage!$A$2:$D$32,1+income_option,FALSE)+((B52-Xinput_income_start_age)*VLOOKUP(Xinput_income_start_age,withdrawal_percentage!$A$2:$D$32,2+income_option,FALSE))))))</f>
        <v/>
      </c>
    </row>
    <row r="53" spans="2:24" ht="22.2" customHeight="1" thickTop="1" thickBot="1">
      <c r="B53" s="63" t="str">
        <f t="shared" si="13"/>
        <v/>
      </c>
      <c r="C53" s="17" t="str">
        <f t="shared" si="8"/>
        <v/>
      </c>
      <c r="D53" s="19" t="str">
        <f t="shared" si="23"/>
        <v/>
      </c>
      <c r="E53" s="57" t="str">
        <f t="shared" si="24"/>
        <v/>
      </c>
      <c r="F53" s="54" t="str">
        <f t="shared" si="25"/>
        <v/>
      </c>
      <c r="G53" s="19" t="str">
        <f t="shared" si="9"/>
        <v/>
      </c>
      <c r="H53" s="19" t="str">
        <f t="shared" si="12"/>
        <v/>
      </c>
      <c r="I53" s="56" t="str">
        <f>IF(B53="","",IF(Xinput_rider_choice,IF(Annuity_CashFlow!B53&gt;=40,Annuity_CashFlow!G53*rider_bonus,0),0))</f>
        <v/>
      </c>
      <c r="J53" s="19" t="str">
        <f>IF(B53="","",IF(AND(B53&gt;=Xinput_income_start_age,B53&lt;=Xoutput_income_end_age),Summary!$D$63*((1+Summary!$D$61)^(Annuity_CashFlow!B53-Xinput_income_start_age)),0))</f>
        <v/>
      </c>
      <c r="K53" s="20" t="str">
        <f t="shared" si="18"/>
        <v/>
      </c>
      <c r="L53" s="19" t="str">
        <f t="shared" si="19"/>
        <v/>
      </c>
      <c r="M53" s="19" t="str">
        <f t="shared" si="14"/>
        <v/>
      </c>
      <c r="N53" s="19" t="str">
        <f t="shared" si="15"/>
        <v/>
      </c>
      <c r="O53" s="20" t="str">
        <f t="shared" si="16"/>
        <v/>
      </c>
      <c r="P53" s="19" t="str">
        <f t="shared" si="10"/>
        <v/>
      </c>
      <c r="R53" s="45" t="str">
        <f>IF(B53="","",INDEX(index_sum_return_table,MATCH(C53,'Index Selection'!$I$3:$I$104,0),11))</f>
        <v/>
      </c>
      <c r="S53" s="45" t="str">
        <f t="shared" si="20"/>
        <v/>
      </c>
      <c r="T53" s="55" t="str">
        <f t="shared" si="21"/>
        <v/>
      </c>
      <c r="U53" s="45" t="str">
        <f t="shared" si="22"/>
        <v/>
      </c>
      <c r="V53" s="60" t="str">
        <f>IF(B53="","",_xlfn.IFNA(INDEX(coi_table,MATCH(B53,COI_rate!$A$1:$A$102,0),MATCH(Xinput_gender,COI_rate!$A$1:$C$1,0)),V52))</f>
        <v/>
      </c>
      <c r="W53" s="45" t="str">
        <f>IF(B53="","",_xlfn.IFNA(VLOOKUP(C53,surrender_charge!$A$1:$B$12,2,FALSE),0))</f>
        <v/>
      </c>
      <c r="X53" s="70" t="str">
        <f>IF(B53="","",IF(B53&lt;Xinput_income_start_age,0,IF(B53&gt;Xoutput_income_end_age,0,IF(income_option=1,VLOOKUP(Xinput_income_start_age,withdrawal_percentage!$A$2:$D$32,1+income_option,FALSE),VLOOKUP(Xinput_income_start_age,withdrawal_percentage!$A$2:$D$32,1+income_option,FALSE)+((B53-Xinput_income_start_age)*VLOOKUP(Xinput_income_start_age,withdrawal_percentage!$A$2:$D$32,2+income_option,FALSE))))))</f>
        <v/>
      </c>
    </row>
    <row r="54" spans="2:24" ht="22.2" customHeight="1" thickTop="1" thickBot="1">
      <c r="B54" s="63" t="str">
        <f t="shared" si="13"/>
        <v/>
      </c>
      <c r="C54" s="17" t="str">
        <f t="shared" si="8"/>
        <v/>
      </c>
      <c r="D54" s="19" t="str">
        <f t="shared" si="23"/>
        <v/>
      </c>
      <c r="E54" s="57" t="str">
        <f t="shared" si="24"/>
        <v/>
      </c>
      <c r="F54" s="54" t="str">
        <f t="shared" si="25"/>
        <v/>
      </c>
      <c r="G54" s="19" t="str">
        <f t="shared" si="9"/>
        <v/>
      </c>
      <c r="H54" s="19" t="str">
        <f t="shared" si="12"/>
        <v/>
      </c>
      <c r="I54" s="56" t="str">
        <f>IF(B54="","",IF(Xinput_rider_choice,IF(Annuity_CashFlow!B54&gt;=40,Annuity_CashFlow!G54*rider_bonus,0),0))</f>
        <v/>
      </c>
      <c r="J54" s="19" t="str">
        <f>IF(B54="","",IF(AND(B54&gt;=Xinput_income_start_age,B54&lt;=Xoutput_income_end_age),Summary!$D$63*((1+Summary!$D$61)^(Annuity_CashFlow!B54-Xinput_income_start_age)),0))</f>
        <v/>
      </c>
      <c r="K54" s="20" t="str">
        <f t="shared" si="18"/>
        <v/>
      </c>
      <c r="L54" s="19" t="str">
        <f t="shared" si="19"/>
        <v/>
      </c>
      <c r="M54" s="19" t="str">
        <f t="shared" si="14"/>
        <v/>
      </c>
      <c r="N54" s="19" t="str">
        <f t="shared" si="15"/>
        <v/>
      </c>
      <c r="O54" s="20" t="str">
        <f t="shared" si="16"/>
        <v/>
      </c>
      <c r="P54" s="19" t="str">
        <f t="shared" si="10"/>
        <v/>
      </c>
      <c r="R54" s="45" t="str">
        <f>IF(B54="","",INDEX(index_sum_return_table,MATCH(C54,'Index Selection'!$I$3:$I$104,0),11))</f>
        <v/>
      </c>
      <c r="S54" s="45" t="str">
        <f t="shared" si="20"/>
        <v/>
      </c>
      <c r="T54" s="55" t="str">
        <f t="shared" si="21"/>
        <v/>
      </c>
      <c r="U54" s="45" t="str">
        <f t="shared" si="22"/>
        <v/>
      </c>
      <c r="V54" s="60" t="str">
        <f>IF(B54="","",_xlfn.IFNA(INDEX(coi_table,MATCH(B54,COI_rate!$A$1:$A$102,0),MATCH(Xinput_gender,COI_rate!$A$1:$C$1,0)),V53))</f>
        <v/>
      </c>
      <c r="W54" s="45" t="str">
        <f>IF(B54="","",_xlfn.IFNA(VLOOKUP(C54,surrender_charge!$A$1:$B$12,2,FALSE),0))</f>
        <v/>
      </c>
      <c r="X54" s="70" t="str">
        <f>IF(B54="","",IF(B54&lt;Xinput_income_start_age,0,IF(B54&gt;Xoutput_income_end_age,0,IF(income_option=1,VLOOKUP(Xinput_income_start_age,withdrawal_percentage!$A$2:$D$32,1+income_option,FALSE),VLOOKUP(Xinput_income_start_age,withdrawal_percentage!$A$2:$D$32,1+income_option,FALSE)+((B54-Xinput_income_start_age)*VLOOKUP(Xinput_income_start_age,withdrawal_percentage!$A$2:$D$32,2+income_option,FALSE))))))</f>
        <v/>
      </c>
    </row>
    <row r="55" spans="2:24" ht="22.2" customHeight="1" thickTop="1" thickBot="1">
      <c r="B55" s="63" t="str">
        <f t="shared" si="13"/>
        <v/>
      </c>
      <c r="C55" s="17" t="str">
        <f t="shared" si="8"/>
        <v/>
      </c>
      <c r="D55" s="19" t="str">
        <f t="shared" si="23"/>
        <v/>
      </c>
      <c r="E55" s="57" t="str">
        <f t="shared" si="24"/>
        <v/>
      </c>
      <c r="F55" s="54" t="str">
        <f t="shared" si="25"/>
        <v/>
      </c>
      <c r="G55" s="19" t="str">
        <f t="shared" si="9"/>
        <v/>
      </c>
      <c r="H55" s="19" t="str">
        <f t="shared" si="12"/>
        <v/>
      </c>
      <c r="I55" s="56" t="str">
        <f>IF(B55="","",IF(Xinput_rider_choice,IF(Annuity_CashFlow!B55&gt;=40,Annuity_CashFlow!G55*rider_bonus,0),0))</f>
        <v/>
      </c>
      <c r="J55" s="19" t="str">
        <f>IF(B55="","",IF(AND(B55&gt;=Xinput_income_start_age,B55&lt;=Xoutput_income_end_age),Summary!$D$63*((1+Summary!$D$61)^(Annuity_CashFlow!B55-Xinput_income_start_age)),0))</f>
        <v/>
      </c>
      <c r="K55" s="20" t="str">
        <f t="shared" si="18"/>
        <v/>
      </c>
      <c r="L55" s="19" t="str">
        <f t="shared" si="19"/>
        <v/>
      </c>
      <c r="M55" s="19" t="str">
        <f t="shared" si="14"/>
        <v/>
      </c>
      <c r="N55" s="19" t="str">
        <f t="shared" si="15"/>
        <v/>
      </c>
      <c r="O55" s="20" t="str">
        <f t="shared" si="16"/>
        <v/>
      </c>
      <c r="P55" s="19" t="str">
        <f t="shared" si="10"/>
        <v/>
      </c>
      <c r="R55" s="45" t="str">
        <f>IF(B55="","",INDEX(index_sum_return_table,MATCH(C55,'Index Selection'!$I$3:$I$104,0),11))</f>
        <v/>
      </c>
      <c r="S55" s="45" t="str">
        <f t="shared" si="20"/>
        <v/>
      </c>
      <c r="T55" s="55" t="str">
        <f t="shared" si="21"/>
        <v/>
      </c>
      <c r="U55" s="45" t="str">
        <f t="shared" si="22"/>
        <v/>
      </c>
      <c r="V55" s="60" t="str">
        <f>IF(B55="","",_xlfn.IFNA(INDEX(coi_table,MATCH(B55,COI_rate!$A$1:$A$102,0),MATCH(Xinput_gender,COI_rate!$A$1:$C$1,0)),V54))</f>
        <v/>
      </c>
      <c r="W55" s="45" t="str">
        <f>IF(B55="","",_xlfn.IFNA(VLOOKUP(C55,surrender_charge!$A$1:$B$12,2,FALSE),0))</f>
        <v/>
      </c>
      <c r="X55" s="70" t="str">
        <f>IF(B55="","",IF(B55&lt;Xinput_income_start_age,0,IF(B55&gt;Xoutput_income_end_age,0,IF(income_option=1,VLOOKUP(Xinput_income_start_age,withdrawal_percentage!$A$2:$D$32,1+income_option,FALSE),VLOOKUP(Xinput_income_start_age,withdrawal_percentage!$A$2:$D$32,1+income_option,FALSE)+((B55-Xinput_income_start_age)*VLOOKUP(Xinput_income_start_age,withdrawal_percentage!$A$2:$D$32,2+income_option,FALSE))))))</f>
        <v/>
      </c>
    </row>
    <row r="56" spans="2:24" ht="22.2" customHeight="1" thickTop="1" thickBot="1">
      <c r="B56" s="63" t="str">
        <f t="shared" si="13"/>
        <v/>
      </c>
      <c r="C56" s="17" t="str">
        <f t="shared" si="8"/>
        <v/>
      </c>
      <c r="D56" s="19" t="str">
        <f t="shared" si="23"/>
        <v/>
      </c>
      <c r="E56" s="57" t="str">
        <f t="shared" si="24"/>
        <v/>
      </c>
      <c r="F56" s="54" t="str">
        <f t="shared" si="25"/>
        <v/>
      </c>
      <c r="G56" s="19" t="str">
        <f t="shared" si="9"/>
        <v/>
      </c>
      <c r="H56" s="19" t="str">
        <f t="shared" si="12"/>
        <v/>
      </c>
      <c r="I56" s="56" t="str">
        <f>IF(B56="","",IF(Xinput_rider_choice,IF(Annuity_CashFlow!B56&gt;=40,Annuity_CashFlow!G56*rider_bonus,0),0))</f>
        <v/>
      </c>
      <c r="J56" s="19" t="str">
        <f>IF(B56="","",IF(AND(B56&gt;=Xinput_income_start_age,B56&lt;=Xoutput_income_end_age),Summary!$D$63*((1+Summary!$D$61)^(Annuity_CashFlow!B56-Xinput_income_start_age)),0))</f>
        <v/>
      </c>
      <c r="K56" s="20" t="str">
        <f t="shared" si="18"/>
        <v/>
      </c>
      <c r="L56" s="19" t="str">
        <f t="shared" si="19"/>
        <v/>
      </c>
      <c r="M56" s="19" t="str">
        <f t="shared" si="14"/>
        <v/>
      </c>
      <c r="N56" s="19" t="str">
        <f t="shared" si="15"/>
        <v/>
      </c>
      <c r="O56" s="20" t="str">
        <f t="shared" si="16"/>
        <v/>
      </c>
      <c r="P56" s="19" t="str">
        <f t="shared" si="10"/>
        <v/>
      </c>
      <c r="R56" s="45" t="str">
        <f>IF(B56="","",INDEX(index_sum_return_table,MATCH(C56,'Index Selection'!$I$3:$I$104,0),11))</f>
        <v/>
      </c>
      <c r="S56" s="45" t="str">
        <f t="shared" si="20"/>
        <v/>
      </c>
      <c r="T56" s="55" t="str">
        <f t="shared" si="21"/>
        <v/>
      </c>
      <c r="U56" s="45" t="str">
        <f t="shared" si="22"/>
        <v/>
      </c>
      <c r="V56" s="60" t="str">
        <f>IF(B56="","",_xlfn.IFNA(INDEX(coi_table,MATCH(B56,COI_rate!$A$1:$A$102,0),MATCH(Xinput_gender,COI_rate!$A$1:$C$1,0)),V55))</f>
        <v/>
      </c>
      <c r="W56" s="45" t="str">
        <f>IF(B56="","",_xlfn.IFNA(VLOOKUP(C56,surrender_charge!$A$1:$B$12,2,FALSE),0))</f>
        <v/>
      </c>
      <c r="X56" s="70" t="str">
        <f>IF(B56="","",IF(B56&lt;Xinput_income_start_age,0,IF(B56&gt;Xoutput_income_end_age,0,IF(income_option=1,VLOOKUP(Xinput_income_start_age,withdrawal_percentage!$A$2:$D$32,1+income_option,FALSE),VLOOKUP(Xinput_income_start_age,withdrawal_percentage!$A$2:$D$32,1+income_option,FALSE)+((B56-Xinput_income_start_age)*VLOOKUP(Xinput_income_start_age,withdrawal_percentage!$A$2:$D$32,2+income_option,FALSE))))))</f>
        <v/>
      </c>
    </row>
    <row r="57" spans="2:24" ht="22.2" customHeight="1" thickTop="1" thickBot="1">
      <c r="B57" s="63" t="str">
        <f t="shared" si="13"/>
        <v/>
      </c>
      <c r="C57" s="17" t="str">
        <f t="shared" si="8"/>
        <v/>
      </c>
      <c r="D57" s="19" t="str">
        <f t="shared" si="23"/>
        <v/>
      </c>
      <c r="E57" s="57" t="str">
        <f t="shared" si="24"/>
        <v/>
      </c>
      <c r="F57" s="54" t="str">
        <f t="shared" si="25"/>
        <v/>
      </c>
      <c r="G57" s="19" t="str">
        <f t="shared" si="9"/>
        <v/>
      </c>
      <c r="H57" s="19" t="str">
        <f t="shared" si="12"/>
        <v/>
      </c>
      <c r="I57" s="56" t="str">
        <f>IF(B57="","",IF(Xinput_rider_choice,IF(Annuity_CashFlow!B57&gt;=40,Annuity_CashFlow!G57*rider_bonus,0),0))</f>
        <v/>
      </c>
      <c r="J57" s="19" t="str">
        <f>IF(B57="","",IF(AND(B57&gt;=Xinput_income_start_age,B57&lt;=Xoutput_income_end_age),Summary!$D$63*((1+Summary!$D$61)^(Annuity_CashFlow!B57-Xinput_income_start_age)),0))</f>
        <v/>
      </c>
      <c r="K57" s="20" t="str">
        <f t="shared" si="18"/>
        <v/>
      </c>
      <c r="L57" s="19" t="str">
        <f t="shared" si="19"/>
        <v/>
      </c>
      <c r="M57" s="19" t="str">
        <f t="shared" si="14"/>
        <v/>
      </c>
      <c r="N57" s="19" t="str">
        <f t="shared" si="15"/>
        <v/>
      </c>
      <c r="O57" s="20" t="str">
        <f t="shared" si="16"/>
        <v/>
      </c>
      <c r="P57" s="19" t="str">
        <f t="shared" si="10"/>
        <v/>
      </c>
      <c r="R57" s="45" t="str">
        <f>IF(B57="","",INDEX(index_sum_return_table,MATCH(C57,'Index Selection'!$I$3:$I$104,0),11))</f>
        <v/>
      </c>
      <c r="S57" s="45" t="str">
        <f t="shared" si="20"/>
        <v/>
      </c>
      <c r="T57" s="55" t="str">
        <f t="shared" si="21"/>
        <v/>
      </c>
      <c r="U57" s="45" t="str">
        <f t="shared" si="22"/>
        <v/>
      </c>
      <c r="V57" s="60" t="str">
        <f>IF(B57="","",_xlfn.IFNA(INDEX(coi_table,MATCH(B57,COI_rate!$A$1:$A$102,0),MATCH(Xinput_gender,COI_rate!$A$1:$C$1,0)),V56))</f>
        <v/>
      </c>
      <c r="W57" s="45" t="str">
        <f>IF(B57="","",_xlfn.IFNA(VLOOKUP(C57,surrender_charge!$A$1:$B$12,2,FALSE),0))</f>
        <v/>
      </c>
      <c r="X57" s="70" t="str">
        <f>IF(B57="","",IF(B57&lt;Xinput_income_start_age,0,IF(B57&gt;Xoutput_income_end_age,0,IF(income_option=1,VLOOKUP(Xinput_income_start_age,withdrawal_percentage!$A$2:$D$32,1+income_option,FALSE),VLOOKUP(Xinput_income_start_age,withdrawal_percentage!$A$2:$D$32,1+income_option,FALSE)+((B57-Xinput_income_start_age)*VLOOKUP(Xinput_income_start_age,withdrawal_percentage!$A$2:$D$32,2+income_option,FALSE))))))</f>
        <v/>
      </c>
    </row>
    <row r="58" spans="2:24" ht="22.2" customHeight="1" thickTop="1" thickBot="1">
      <c r="B58" s="63" t="str">
        <f t="shared" si="13"/>
        <v/>
      </c>
      <c r="C58" s="17" t="str">
        <f t="shared" si="8"/>
        <v/>
      </c>
      <c r="D58" s="19" t="str">
        <f t="shared" si="23"/>
        <v/>
      </c>
      <c r="E58" s="57" t="str">
        <f t="shared" si="24"/>
        <v/>
      </c>
      <c r="F58" s="54" t="str">
        <f t="shared" si="25"/>
        <v/>
      </c>
      <c r="G58" s="19" t="str">
        <f t="shared" si="9"/>
        <v/>
      </c>
      <c r="H58" s="19" t="str">
        <f t="shared" si="12"/>
        <v/>
      </c>
      <c r="I58" s="56" t="str">
        <f>IF(B58="","",IF(Xinput_rider_choice,IF(Annuity_CashFlow!B58&gt;=40,Annuity_CashFlow!G58*rider_bonus,0),0))</f>
        <v/>
      </c>
      <c r="J58" s="19" t="str">
        <f>IF(B58="","",IF(AND(B58&gt;=Xinput_income_start_age,B58&lt;=Xoutput_income_end_age),Summary!$D$63*((1+Summary!$D$61)^(Annuity_CashFlow!B58-Xinput_income_start_age)),0))</f>
        <v/>
      </c>
      <c r="K58" s="20" t="str">
        <f t="shared" si="18"/>
        <v/>
      </c>
      <c r="L58" s="19" t="str">
        <f t="shared" si="19"/>
        <v/>
      </c>
      <c r="M58" s="19" t="str">
        <f t="shared" si="14"/>
        <v/>
      </c>
      <c r="N58" s="19" t="str">
        <f t="shared" si="15"/>
        <v/>
      </c>
      <c r="O58" s="20" t="str">
        <f t="shared" si="16"/>
        <v/>
      </c>
      <c r="P58" s="19" t="str">
        <f t="shared" si="10"/>
        <v/>
      </c>
      <c r="R58" s="45" t="str">
        <f>IF(B58="","",INDEX(index_sum_return_table,MATCH(C58,'Index Selection'!$I$3:$I$104,0),11))</f>
        <v/>
      </c>
      <c r="S58" s="45" t="str">
        <f t="shared" si="20"/>
        <v/>
      </c>
      <c r="T58" s="55" t="str">
        <f t="shared" si="21"/>
        <v/>
      </c>
      <c r="U58" s="45" t="str">
        <f t="shared" si="22"/>
        <v/>
      </c>
      <c r="V58" s="60" t="str">
        <f>IF(B58="","",_xlfn.IFNA(INDEX(coi_table,MATCH(B58,COI_rate!$A$1:$A$102,0),MATCH(Xinput_gender,COI_rate!$A$1:$C$1,0)),V57))</f>
        <v/>
      </c>
      <c r="W58" s="45" t="str">
        <f>IF(B58="","",_xlfn.IFNA(VLOOKUP(C58,surrender_charge!$A$1:$B$12,2,FALSE),0))</f>
        <v/>
      </c>
      <c r="X58" s="70" t="str">
        <f>IF(B58="","",IF(B58&lt;Xinput_income_start_age,0,IF(B58&gt;Xoutput_income_end_age,0,IF(income_option=1,VLOOKUP(Xinput_income_start_age,withdrawal_percentage!$A$2:$D$32,1+income_option,FALSE),VLOOKUP(Xinput_income_start_age,withdrawal_percentage!$A$2:$D$32,1+income_option,FALSE)+((B58-Xinput_income_start_age)*VLOOKUP(Xinput_income_start_age,withdrawal_percentage!$A$2:$D$32,2+income_option,FALSE))))))</f>
        <v/>
      </c>
    </row>
    <row r="59" spans="2:24" ht="22.2" customHeight="1" thickTop="1" thickBot="1">
      <c r="B59" s="63" t="str">
        <f t="shared" si="13"/>
        <v/>
      </c>
      <c r="C59" s="17" t="str">
        <f t="shared" si="8"/>
        <v/>
      </c>
      <c r="D59" s="19" t="str">
        <f t="shared" si="23"/>
        <v/>
      </c>
      <c r="E59" s="57" t="str">
        <f t="shared" si="24"/>
        <v/>
      </c>
      <c r="F59" s="54" t="str">
        <f t="shared" si="25"/>
        <v/>
      </c>
      <c r="G59" s="19" t="str">
        <f t="shared" si="9"/>
        <v/>
      </c>
      <c r="H59" s="19" t="str">
        <f t="shared" si="12"/>
        <v/>
      </c>
      <c r="I59" s="56" t="str">
        <f>IF(B59="","",IF(Xinput_rider_choice,IF(Annuity_CashFlow!B59&gt;=40,Annuity_CashFlow!G59*rider_bonus,0),0))</f>
        <v/>
      </c>
      <c r="J59" s="19" t="str">
        <f>IF(B59="","",IF(AND(B59&gt;=Xinput_income_start_age,B59&lt;=Xoutput_income_end_age),Summary!$D$63*((1+Summary!$D$61)^(Annuity_CashFlow!B59-Xinput_income_start_age)),0))</f>
        <v/>
      </c>
      <c r="K59" s="20" t="str">
        <f t="shared" si="18"/>
        <v/>
      </c>
      <c r="L59" s="19" t="str">
        <f t="shared" si="19"/>
        <v/>
      </c>
      <c r="M59" s="19" t="str">
        <f t="shared" si="14"/>
        <v/>
      </c>
      <c r="N59" s="19" t="str">
        <f t="shared" si="15"/>
        <v/>
      </c>
      <c r="O59" s="20" t="str">
        <f t="shared" si="16"/>
        <v/>
      </c>
      <c r="P59" s="19" t="str">
        <f t="shared" si="10"/>
        <v/>
      </c>
      <c r="R59" s="45" t="str">
        <f>IF(B59="","",INDEX(index_sum_return_table,MATCH(C59,'Index Selection'!$I$3:$I$104,0),11))</f>
        <v/>
      </c>
      <c r="S59" s="45" t="str">
        <f t="shared" si="20"/>
        <v/>
      </c>
      <c r="T59" s="55" t="str">
        <f t="shared" si="21"/>
        <v/>
      </c>
      <c r="U59" s="45" t="str">
        <f t="shared" si="22"/>
        <v/>
      </c>
      <c r="V59" s="60" t="str">
        <f>IF(B59="","",_xlfn.IFNA(INDEX(coi_table,MATCH(B59,COI_rate!$A$1:$A$102,0),MATCH(Xinput_gender,COI_rate!$A$1:$C$1,0)),V58))</f>
        <v/>
      </c>
      <c r="W59" s="45" t="str">
        <f>IF(B59="","",_xlfn.IFNA(VLOOKUP(C59,surrender_charge!$A$1:$B$12,2,FALSE),0))</f>
        <v/>
      </c>
      <c r="X59" s="70" t="str">
        <f>IF(B59="","",IF(B59&lt;Xinput_income_start_age,0,IF(B59&gt;Xoutput_income_end_age,0,IF(income_option=1,VLOOKUP(Xinput_income_start_age,withdrawal_percentage!$A$2:$D$32,1+income_option,FALSE),VLOOKUP(Xinput_income_start_age,withdrawal_percentage!$A$2:$D$32,1+income_option,FALSE)+((B59-Xinput_income_start_age)*VLOOKUP(Xinput_income_start_age,withdrawal_percentage!$A$2:$D$32,2+income_option,FALSE))))))</f>
        <v/>
      </c>
    </row>
    <row r="60" spans="2:24" ht="22.2" customHeight="1" thickTop="1" thickBot="1">
      <c r="B60" s="63" t="str">
        <f t="shared" si="13"/>
        <v/>
      </c>
      <c r="C60" s="17" t="str">
        <f t="shared" si="8"/>
        <v/>
      </c>
      <c r="D60" s="19" t="str">
        <f t="shared" si="23"/>
        <v/>
      </c>
      <c r="E60" s="57" t="str">
        <f t="shared" si="24"/>
        <v/>
      </c>
      <c r="F60" s="54" t="str">
        <f t="shared" si="25"/>
        <v/>
      </c>
      <c r="G60" s="19" t="str">
        <f t="shared" si="9"/>
        <v/>
      </c>
      <c r="H60" s="19" t="str">
        <f t="shared" si="12"/>
        <v/>
      </c>
      <c r="I60" s="56" t="str">
        <f>IF(B60="","",IF(Xinput_rider_choice,IF(Annuity_CashFlow!B60&gt;=40,Annuity_CashFlow!G60*rider_bonus,0),0))</f>
        <v/>
      </c>
      <c r="J60" s="19" t="str">
        <f>IF(B60="","",IF(AND(B60&gt;=Xinput_income_start_age,B60&lt;=Xoutput_income_end_age),Summary!$D$63*((1+Summary!$D$61)^(Annuity_CashFlow!B60-Xinput_income_start_age)),0))</f>
        <v/>
      </c>
      <c r="K60" s="20" t="str">
        <f t="shared" si="18"/>
        <v/>
      </c>
      <c r="L60" s="19" t="str">
        <f t="shared" si="19"/>
        <v/>
      </c>
      <c r="M60" s="19" t="str">
        <f t="shared" si="14"/>
        <v/>
      </c>
      <c r="N60" s="19" t="str">
        <f t="shared" si="15"/>
        <v/>
      </c>
      <c r="O60" s="20" t="str">
        <f t="shared" si="16"/>
        <v/>
      </c>
      <c r="P60" s="19" t="str">
        <f t="shared" si="10"/>
        <v/>
      </c>
      <c r="R60" s="45" t="str">
        <f>IF(B60="","",INDEX(index_sum_return_table,MATCH(C60,'Index Selection'!$I$3:$I$104,0),11))</f>
        <v/>
      </c>
      <c r="S60" s="45" t="str">
        <f t="shared" si="20"/>
        <v/>
      </c>
      <c r="T60" s="55" t="str">
        <f t="shared" si="21"/>
        <v/>
      </c>
      <c r="U60" s="45" t="str">
        <f t="shared" si="22"/>
        <v/>
      </c>
      <c r="V60" s="60" t="str">
        <f>IF(B60="","",_xlfn.IFNA(INDEX(coi_table,MATCH(B60,COI_rate!$A$1:$A$102,0),MATCH(Xinput_gender,COI_rate!$A$1:$C$1,0)),V59))</f>
        <v/>
      </c>
      <c r="W60" s="45" t="str">
        <f>IF(B60="","",_xlfn.IFNA(VLOOKUP(C60,surrender_charge!$A$1:$B$12,2,FALSE),0))</f>
        <v/>
      </c>
      <c r="X60" s="70" t="str">
        <f>IF(B60="","",IF(B60&lt;Xinput_income_start_age,0,IF(B60&gt;Xoutput_income_end_age,0,IF(income_option=1,VLOOKUP(Xinput_income_start_age,withdrawal_percentage!$A$2:$D$32,1+income_option,FALSE),VLOOKUP(Xinput_income_start_age,withdrawal_percentage!$A$2:$D$32,1+income_option,FALSE)+((B60-Xinput_income_start_age)*VLOOKUP(Xinput_income_start_age,withdrawal_percentage!$A$2:$D$32,2+income_option,FALSE))))))</f>
        <v/>
      </c>
    </row>
    <row r="61" spans="2:24" ht="22.2" customHeight="1" thickTop="1" thickBot="1">
      <c r="B61" s="63" t="str">
        <f t="shared" si="13"/>
        <v/>
      </c>
      <c r="C61" s="17" t="str">
        <f t="shared" si="8"/>
        <v/>
      </c>
      <c r="D61" s="19" t="str">
        <f t="shared" si="23"/>
        <v/>
      </c>
      <c r="E61" s="57" t="str">
        <f t="shared" si="24"/>
        <v/>
      </c>
      <c r="F61" s="54" t="str">
        <f t="shared" si="25"/>
        <v/>
      </c>
      <c r="G61" s="19" t="str">
        <f t="shared" si="9"/>
        <v/>
      </c>
      <c r="H61" s="19" t="str">
        <f t="shared" si="12"/>
        <v/>
      </c>
      <c r="I61" s="56" t="str">
        <f>IF(B61="","",IF(Xinput_rider_choice,IF(Annuity_CashFlow!B61&gt;=40,Annuity_CashFlow!G61*rider_bonus,0),0))</f>
        <v/>
      </c>
      <c r="J61" s="19" t="str">
        <f>IF(B61="","",IF(AND(B61&gt;=Xinput_income_start_age,B61&lt;=Xoutput_income_end_age),Summary!$D$63*((1+Summary!$D$61)^(Annuity_CashFlow!B61-Xinput_income_start_age)),0))</f>
        <v/>
      </c>
      <c r="K61" s="20" t="str">
        <f t="shared" si="18"/>
        <v/>
      </c>
      <c r="L61" s="19" t="str">
        <f t="shared" si="19"/>
        <v/>
      </c>
      <c r="M61" s="19" t="str">
        <f t="shared" si="14"/>
        <v/>
      </c>
      <c r="N61" s="19" t="str">
        <f t="shared" si="15"/>
        <v/>
      </c>
      <c r="O61" s="20" t="str">
        <f t="shared" si="16"/>
        <v/>
      </c>
      <c r="P61" s="19" t="str">
        <f t="shared" si="10"/>
        <v/>
      </c>
      <c r="R61" s="45" t="str">
        <f>IF(B61="","",INDEX(index_sum_return_table,MATCH(C61,'Index Selection'!$I$3:$I$104,0),11))</f>
        <v/>
      </c>
      <c r="S61" s="45" t="str">
        <f t="shared" si="20"/>
        <v/>
      </c>
      <c r="T61" s="55" t="str">
        <f t="shared" si="21"/>
        <v/>
      </c>
      <c r="U61" s="45" t="str">
        <f t="shared" si="22"/>
        <v/>
      </c>
      <c r="V61" s="60" t="str">
        <f>IF(B61="","",_xlfn.IFNA(INDEX(coi_table,MATCH(B61,COI_rate!$A$1:$A$102,0),MATCH(Xinput_gender,COI_rate!$A$1:$C$1,0)),V60))</f>
        <v/>
      </c>
      <c r="W61" s="45" t="str">
        <f>IF(B61="","",_xlfn.IFNA(VLOOKUP(C61,surrender_charge!$A$1:$B$12,2,FALSE),0))</f>
        <v/>
      </c>
      <c r="X61" s="70" t="str">
        <f>IF(B61="","",IF(B61&lt;Xinput_income_start_age,0,IF(B61&gt;Xoutput_income_end_age,0,IF(income_option=1,VLOOKUP(Xinput_income_start_age,withdrawal_percentage!$A$2:$D$32,1+income_option,FALSE),VLOOKUP(Xinput_income_start_age,withdrawal_percentage!$A$2:$D$32,1+income_option,FALSE)+((B61-Xinput_income_start_age)*VLOOKUP(Xinput_income_start_age,withdrawal_percentage!$A$2:$D$32,2+income_option,FALSE))))))</f>
        <v/>
      </c>
    </row>
    <row r="62" spans="2:24" ht="22.2" customHeight="1" thickTop="1" thickBot="1">
      <c r="B62" s="63" t="str">
        <f t="shared" si="13"/>
        <v/>
      </c>
      <c r="C62" s="17" t="str">
        <f t="shared" si="8"/>
        <v/>
      </c>
      <c r="D62" s="19" t="str">
        <f t="shared" si="23"/>
        <v/>
      </c>
      <c r="E62" s="57" t="str">
        <f t="shared" si="24"/>
        <v/>
      </c>
      <c r="F62" s="54" t="str">
        <f t="shared" si="25"/>
        <v/>
      </c>
      <c r="G62" s="19" t="str">
        <f t="shared" si="9"/>
        <v/>
      </c>
      <c r="H62" s="19" t="str">
        <f t="shared" si="12"/>
        <v/>
      </c>
      <c r="I62" s="56" t="str">
        <f>IF(B62="","",IF(Xinput_rider_choice,IF(Annuity_CashFlow!B62&gt;=40,Annuity_CashFlow!G62*rider_bonus,0),0))</f>
        <v/>
      </c>
      <c r="J62" s="19" t="str">
        <f>IF(B62="","",IF(AND(B62&gt;=Xinput_income_start_age,B62&lt;=Xoutput_income_end_age),Summary!$D$63*((1+Summary!$D$61)^(Annuity_CashFlow!B62-Xinput_income_start_age)),0))</f>
        <v/>
      </c>
      <c r="K62" s="20" t="str">
        <f t="shared" si="18"/>
        <v/>
      </c>
      <c r="L62" s="19" t="str">
        <f t="shared" si="19"/>
        <v/>
      </c>
      <c r="M62" s="19" t="str">
        <f t="shared" si="14"/>
        <v/>
      </c>
      <c r="N62" s="19" t="str">
        <f t="shared" si="15"/>
        <v/>
      </c>
      <c r="O62" s="20" t="str">
        <f t="shared" si="16"/>
        <v/>
      </c>
      <c r="P62" s="19" t="str">
        <f t="shared" si="10"/>
        <v/>
      </c>
      <c r="R62" s="45" t="str">
        <f>IF(B62="","",INDEX(index_sum_return_table,MATCH(C62,'Index Selection'!$I$3:$I$104,0),11))</f>
        <v/>
      </c>
      <c r="S62" s="45" t="str">
        <f t="shared" si="20"/>
        <v/>
      </c>
      <c r="T62" s="55" t="str">
        <f t="shared" si="21"/>
        <v/>
      </c>
      <c r="U62" s="45" t="str">
        <f t="shared" si="22"/>
        <v/>
      </c>
      <c r="V62" s="60" t="str">
        <f>IF(B62="","",_xlfn.IFNA(INDEX(coi_table,MATCH(B62,COI_rate!$A$1:$A$102,0),MATCH(Xinput_gender,COI_rate!$A$1:$C$1,0)),V61))</f>
        <v/>
      </c>
      <c r="W62" s="45" t="str">
        <f>IF(B62="","",_xlfn.IFNA(VLOOKUP(C62,surrender_charge!$A$1:$B$12,2,FALSE),0))</f>
        <v/>
      </c>
      <c r="X62" s="70" t="str">
        <f>IF(B62="","",IF(B62&lt;Xinput_income_start_age,0,IF(B62&gt;Xoutput_income_end_age,0,IF(income_option=1,VLOOKUP(Xinput_income_start_age,withdrawal_percentage!$A$2:$D$32,1+income_option,FALSE),VLOOKUP(Xinput_income_start_age,withdrawal_percentage!$A$2:$D$32,1+income_option,FALSE)+((B62-Xinput_income_start_age)*VLOOKUP(Xinput_income_start_age,withdrawal_percentage!$A$2:$D$32,2+income_option,FALSE))))))</f>
        <v/>
      </c>
    </row>
    <row r="63" spans="2:24" ht="22.2" customHeight="1" thickTop="1" thickBot="1">
      <c r="B63" s="63" t="str">
        <f t="shared" si="13"/>
        <v/>
      </c>
      <c r="C63" s="17" t="str">
        <f t="shared" si="8"/>
        <v/>
      </c>
      <c r="D63" s="19" t="str">
        <f t="shared" si="23"/>
        <v/>
      </c>
      <c r="E63" s="57" t="str">
        <f t="shared" si="24"/>
        <v/>
      </c>
      <c r="F63" s="54" t="str">
        <f t="shared" si="25"/>
        <v/>
      </c>
      <c r="G63" s="19" t="str">
        <f t="shared" si="9"/>
        <v/>
      </c>
      <c r="H63" s="19" t="str">
        <f t="shared" si="12"/>
        <v/>
      </c>
      <c r="I63" s="56" t="str">
        <f>IF(B63="","",IF(Xinput_rider_choice,IF(Annuity_CashFlow!B63&gt;=40,Annuity_CashFlow!G63*rider_bonus,0),0))</f>
        <v/>
      </c>
      <c r="J63" s="19" t="str">
        <f>IF(B63="","",IF(AND(B63&gt;=Xinput_income_start_age,B63&lt;=Xoutput_income_end_age),Summary!$D$63*((1+Summary!$D$61)^(Annuity_CashFlow!B63-Xinput_income_start_age)),0))</f>
        <v/>
      </c>
      <c r="K63" s="20" t="str">
        <f t="shared" si="18"/>
        <v/>
      </c>
      <c r="L63" s="19" t="str">
        <f t="shared" si="19"/>
        <v/>
      </c>
      <c r="M63" s="19" t="str">
        <f t="shared" si="14"/>
        <v/>
      </c>
      <c r="N63" s="19" t="str">
        <f t="shared" si="15"/>
        <v/>
      </c>
      <c r="O63" s="20" t="str">
        <f t="shared" si="16"/>
        <v/>
      </c>
      <c r="P63" s="19" t="str">
        <f t="shared" si="10"/>
        <v/>
      </c>
      <c r="R63" s="45" t="str">
        <f>IF(B63="","",INDEX(index_sum_return_table,MATCH(C63,'Index Selection'!$I$3:$I$104,0),11))</f>
        <v/>
      </c>
      <c r="S63" s="45" t="str">
        <f t="shared" si="20"/>
        <v/>
      </c>
      <c r="T63" s="55" t="str">
        <f t="shared" si="21"/>
        <v/>
      </c>
      <c r="U63" s="45" t="str">
        <f t="shared" si="22"/>
        <v/>
      </c>
      <c r="V63" s="60" t="str">
        <f>IF(B63="","",_xlfn.IFNA(INDEX(coi_table,MATCH(B63,COI_rate!$A$1:$A$102,0),MATCH(Xinput_gender,COI_rate!$A$1:$C$1,0)),V62))</f>
        <v/>
      </c>
      <c r="W63" s="45" t="str">
        <f>IF(B63="","",_xlfn.IFNA(VLOOKUP(C63,surrender_charge!$A$1:$B$12,2,FALSE),0))</f>
        <v/>
      </c>
      <c r="X63" s="70" t="str">
        <f>IF(B63="","",IF(B63&lt;Xinput_income_start_age,0,IF(B63&gt;Xoutput_income_end_age,0,IF(income_option=1,VLOOKUP(Xinput_income_start_age,withdrawal_percentage!$A$2:$D$32,1+income_option,FALSE),VLOOKUP(Xinput_income_start_age,withdrawal_percentage!$A$2:$D$32,1+income_option,FALSE)+((B63-Xinput_income_start_age)*VLOOKUP(Xinput_income_start_age,withdrawal_percentage!$A$2:$D$32,2+income_option,FALSE))))))</f>
        <v/>
      </c>
    </row>
    <row r="64" spans="2:24" ht="22.2" customHeight="1" thickTop="1" thickBot="1">
      <c r="B64" s="63" t="str">
        <f t="shared" si="13"/>
        <v/>
      </c>
      <c r="C64" s="17" t="str">
        <f t="shared" si="8"/>
        <v/>
      </c>
      <c r="D64" s="19" t="str">
        <f t="shared" si="23"/>
        <v/>
      </c>
      <c r="E64" s="57" t="str">
        <f t="shared" si="24"/>
        <v/>
      </c>
      <c r="F64" s="54" t="str">
        <f t="shared" si="25"/>
        <v/>
      </c>
      <c r="G64" s="19" t="str">
        <f t="shared" si="9"/>
        <v/>
      </c>
      <c r="H64" s="19" t="str">
        <f>IF(B64="","",E64+G64)</f>
        <v/>
      </c>
      <c r="I64" s="56" t="str">
        <f>IF(B64="","",IF(Xinput_rider_choice,IF(Annuity_CashFlow!B64&gt;=40,Annuity_CashFlow!G64*rider_bonus,0),0))</f>
        <v/>
      </c>
      <c r="J64" s="19" t="str">
        <f>IF(B64="","",IF(AND(B64&gt;=Xinput_income_start_age,B64&lt;=Xoutput_income_end_age),Summary!$D$63*((1+Summary!$D$61)^(Annuity_CashFlow!B64-Xinput_income_start_age)),0))</f>
        <v/>
      </c>
      <c r="K64" s="20" t="str">
        <f t="shared" si="18"/>
        <v/>
      </c>
      <c r="L64" s="19" t="str">
        <f t="shared" si="19"/>
        <v/>
      </c>
      <c r="M64" s="19" t="str">
        <f t="shared" si="14"/>
        <v/>
      </c>
      <c r="N64" s="19" t="str">
        <f t="shared" si="15"/>
        <v/>
      </c>
      <c r="O64" s="20" t="str">
        <f t="shared" si="16"/>
        <v/>
      </c>
      <c r="P64" s="19" t="str">
        <f t="shared" si="10"/>
        <v/>
      </c>
      <c r="R64" s="45" t="str">
        <f>IF(B64="","",INDEX(index_sum_return_table,MATCH(C64,'Index Selection'!$I$3:$I$104,0),11))</f>
        <v/>
      </c>
      <c r="S64" s="45" t="str">
        <f t="shared" si="20"/>
        <v/>
      </c>
      <c r="T64" s="55" t="str">
        <f t="shared" si="21"/>
        <v/>
      </c>
      <c r="U64" s="45" t="str">
        <f t="shared" si="22"/>
        <v/>
      </c>
      <c r="V64" s="60" t="str">
        <f>IF(B64="","",_xlfn.IFNA(INDEX(coi_table,MATCH(B64,COI_rate!$A$1:$A$102,0),MATCH(Xinput_gender,COI_rate!$A$1:$C$1,0)),V63))</f>
        <v/>
      </c>
      <c r="W64" s="45" t="str">
        <f>IF(B64="","",_xlfn.IFNA(VLOOKUP(C64,surrender_charge!$A$1:$B$12,2,FALSE),0))</f>
        <v/>
      </c>
      <c r="X64" s="70" t="str">
        <f>IF(B64="","",IF(B64&lt;Xinput_income_start_age,0,IF(B64&gt;Xoutput_income_end_age,0,IF(income_option=1,VLOOKUP(Xinput_income_start_age,withdrawal_percentage!$A$2:$D$32,1+income_option,FALSE),VLOOKUP(Xinput_income_start_age,withdrawal_percentage!$A$2:$D$32,1+income_option,FALSE)+((B64-Xinput_income_start_age)*VLOOKUP(Xinput_income_start_age,withdrawal_percentage!$A$2:$D$32,2+income_option,FALSE))))))</f>
        <v/>
      </c>
    </row>
    <row r="65" spans="2:24" ht="22.2" customHeight="1" thickTop="1" thickBot="1">
      <c r="B65" s="63" t="str">
        <f t="shared" si="13"/>
        <v/>
      </c>
      <c r="C65" s="17" t="str">
        <f t="shared" si="8"/>
        <v/>
      </c>
      <c r="D65" s="19" t="str">
        <f t="shared" si="23"/>
        <v/>
      </c>
      <c r="E65" s="57" t="str">
        <f t="shared" si="24"/>
        <v/>
      </c>
      <c r="F65" s="54" t="str">
        <f t="shared" si="25"/>
        <v/>
      </c>
      <c r="G65" s="19" t="str">
        <f t="shared" si="9"/>
        <v/>
      </c>
      <c r="H65" s="19" t="str">
        <f t="shared" si="12"/>
        <v/>
      </c>
      <c r="I65" s="56" t="str">
        <f>IF(B65="","",IF(Xinput_rider_choice,IF(Annuity_CashFlow!B65&gt;=40,Annuity_CashFlow!G65*rider_bonus,0),0))</f>
        <v/>
      </c>
      <c r="J65" s="19" t="str">
        <f>IF(B65="","",IF(AND(B65&gt;=Xinput_income_start_age,B65&lt;=Xoutput_income_end_age),Summary!$D$63*((1+Summary!$D$61)^(Annuity_CashFlow!B65-Xinput_income_start_age)),0))</f>
        <v/>
      </c>
      <c r="K65" s="20" t="str">
        <f t="shared" si="18"/>
        <v/>
      </c>
      <c r="L65" s="19" t="str">
        <f t="shared" si="19"/>
        <v/>
      </c>
      <c r="M65" s="19" t="str">
        <f t="shared" si="14"/>
        <v/>
      </c>
      <c r="N65" s="19" t="str">
        <f t="shared" si="15"/>
        <v/>
      </c>
      <c r="O65" s="20" t="str">
        <f t="shared" si="16"/>
        <v/>
      </c>
      <c r="P65" s="19" t="str">
        <f t="shared" si="10"/>
        <v/>
      </c>
      <c r="R65" s="45" t="str">
        <f>IF(B65="","",INDEX(index_sum_return_table,MATCH(C65,'Index Selection'!$I$3:$I$104,0),11))</f>
        <v/>
      </c>
      <c r="S65" s="45" t="str">
        <f t="shared" si="20"/>
        <v/>
      </c>
      <c r="T65" s="55" t="str">
        <f t="shared" si="21"/>
        <v/>
      </c>
      <c r="U65" s="45" t="str">
        <f t="shared" si="22"/>
        <v/>
      </c>
      <c r="V65" s="60" t="str">
        <f>IF(B65="","",_xlfn.IFNA(INDEX(coi_table,MATCH(B65,COI_rate!$A$1:$A$102,0),MATCH(Xinput_gender,COI_rate!$A$1:$C$1,0)),V64))</f>
        <v/>
      </c>
      <c r="W65" s="45" t="str">
        <f>IF(B65="","",_xlfn.IFNA(VLOOKUP(C65,surrender_charge!$A$1:$B$12,2,FALSE),0))</f>
        <v/>
      </c>
      <c r="X65" s="70" t="str">
        <f>IF(B65="","",IF(B65&lt;Xinput_income_start_age,0,IF(B65&gt;Xoutput_income_end_age,0,IF(income_option=1,VLOOKUP(Xinput_income_start_age,withdrawal_percentage!$A$2:$D$32,1+income_option,FALSE),VLOOKUP(Xinput_income_start_age,withdrawal_percentage!$A$2:$D$32,1+income_option,FALSE)+((B65-Xinput_income_start_age)*VLOOKUP(Xinput_income_start_age,withdrawal_percentage!$A$2:$D$32,2+income_option,FALSE))))))</f>
        <v/>
      </c>
    </row>
    <row r="66" spans="2:24" ht="22.2" customHeight="1" thickTop="1" thickBot="1">
      <c r="B66" s="63" t="str">
        <f t="shared" si="13"/>
        <v/>
      </c>
      <c r="C66" s="17" t="str">
        <f t="shared" si="8"/>
        <v/>
      </c>
      <c r="D66" s="19" t="str">
        <f t="shared" si="23"/>
        <v/>
      </c>
      <c r="E66" s="57" t="str">
        <f t="shared" si="24"/>
        <v/>
      </c>
      <c r="F66" s="54" t="str">
        <f t="shared" si="25"/>
        <v/>
      </c>
      <c r="G66" s="19" t="str">
        <f t="shared" si="9"/>
        <v/>
      </c>
      <c r="H66" s="19" t="str">
        <f t="shared" si="12"/>
        <v/>
      </c>
      <c r="I66" s="56" t="str">
        <f>IF(B66="","",IF(Xinput_rider_choice,IF(Annuity_CashFlow!B66&gt;=40,Annuity_CashFlow!G66*rider_bonus,0),0))</f>
        <v/>
      </c>
      <c r="J66" s="19" t="str">
        <f>IF(B66="","",IF(AND(B66&gt;=Xinput_income_start_age,B66&lt;=Xoutput_income_end_age),Summary!$D$63*((1+Summary!$D$61)^(Annuity_CashFlow!B66-Xinput_income_start_age)),0))</f>
        <v/>
      </c>
      <c r="K66" s="20" t="str">
        <f t="shared" si="18"/>
        <v/>
      </c>
      <c r="L66" s="19" t="str">
        <f t="shared" si="19"/>
        <v/>
      </c>
      <c r="M66" s="19" t="str">
        <f t="shared" si="14"/>
        <v/>
      </c>
      <c r="N66" s="19" t="str">
        <f t="shared" si="15"/>
        <v/>
      </c>
      <c r="O66" s="20" t="str">
        <f t="shared" si="16"/>
        <v/>
      </c>
      <c r="P66" s="19" t="str">
        <f t="shared" si="10"/>
        <v/>
      </c>
      <c r="R66" s="45" t="str">
        <f>IF(B66="","",INDEX(index_sum_return_table,MATCH(C66,'Index Selection'!$I$3:$I$104,0),11))</f>
        <v/>
      </c>
      <c r="S66" s="45" t="str">
        <f t="shared" si="20"/>
        <v/>
      </c>
      <c r="T66" s="55" t="str">
        <f t="shared" si="21"/>
        <v/>
      </c>
      <c r="U66" s="45" t="str">
        <f t="shared" si="22"/>
        <v/>
      </c>
      <c r="V66" s="60" t="str">
        <f>IF(B66="","",_xlfn.IFNA(INDEX(coi_table,MATCH(B66,COI_rate!$A$1:$A$102,0),MATCH(Xinput_gender,COI_rate!$A$1:$C$1,0)),V65))</f>
        <v/>
      </c>
      <c r="W66" s="45" t="str">
        <f>IF(B66="","",_xlfn.IFNA(VLOOKUP(C66,surrender_charge!$A$1:$B$12,2,FALSE),0))</f>
        <v/>
      </c>
      <c r="X66" s="70" t="str">
        <f>IF(B66="","",IF(B66&lt;Xinput_income_start_age,0,IF(B66&gt;Xoutput_income_end_age,0,IF(income_option=1,VLOOKUP(Xinput_income_start_age,withdrawal_percentage!$A$2:$D$32,1+income_option,FALSE),VLOOKUP(Xinput_income_start_age,withdrawal_percentage!$A$2:$D$32,1+income_option,FALSE)+((B66-Xinput_income_start_age)*VLOOKUP(Xinput_income_start_age,withdrawal_percentage!$A$2:$D$32,2+income_option,FALSE))))))</f>
        <v/>
      </c>
    </row>
    <row r="67" spans="2:24" ht="22.2" customHeight="1" thickTop="1" thickBot="1">
      <c r="B67" s="63" t="str">
        <f t="shared" si="13"/>
        <v/>
      </c>
      <c r="C67" s="17" t="str">
        <f t="shared" si="8"/>
        <v/>
      </c>
      <c r="D67" s="19" t="str">
        <f t="shared" si="23"/>
        <v/>
      </c>
      <c r="E67" s="57" t="str">
        <f t="shared" si="24"/>
        <v/>
      </c>
      <c r="F67" s="54" t="str">
        <f t="shared" si="25"/>
        <v/>
      </c>
      <c r="G67" s="19" t="str">
        <f t="shared" si="9"/>
        <v/>
      </c>
      <c r="H67" s="19" t="str">
        <f t="shared" si="12"/>
        <v/>
      </c>
      <c r="I67" s="56" t="str">
        <f>IF(B67="","",IF(Xinput_rider_choice,IF(Annuity_CashFlow!B67&gt;=40,Annuity_CashFlow!G67*rider_bonus,0),0))</f>
        <v/>
      </c>
      <c r="J67" s="19" t="str">
        <f>IF(B67="","",IF(AND(B67&gt;=Xinput_income_start_age,B67&lt;=Xoutput_income_end_age),Summary!$D$63*((1+Summary!$D$61)^(Annuity_CashFlow!B67-Xinput_income_start_age)),0))</f>
        <v/>
      </c>
      <c r="K67" s="20" t="str">
        <f t="shared" si="18"/>
        <v/>
      </c>
      <c r="L67" s="19" t="str">
        <f t="shared" si="19"/>
        <v/>
      </c>
      <c r="M67" s="19" t="str">
        <f t="shared" si="14"/>
        <v/>
      </c>
      <c r="N67" s="19" t="str">
        <f t="shared" si="15"/>
        <v/>
      </c>
      <c r="O67" s="20" t="str">
        <f t="shared" si="16"/>
        <v/>
      </c>
      <c r="P67" s="19" t="str">
        <f t="shared" si="10"/>
        <v/>
      </c>
      <c r="R67" s="45" t="str">
        <f>IF(B67="","",INDEX(index_sum_return_table,MATCH(C67,'Index Selection'!$I$3:$I$104,0),11))</f>
        <v/>
      </c>
      <c r="S67" s="45" t="str">
        <f t="shared" si="20"/>
        <v/>
      </c>
      <c r="T67" s="55" t="str">
        <f t="shared" si="21"/>
        <v/>
      </c>
      <c r="U67" s="45" t="str">
        <f t="shared" si="22"/>
        <v/>
      </c>
      <c r="V67" s="60" t="str">
        <f>IF(B67="","",_xlfn.IFNA(INDEX(coi_table,MATCH(B67,COI_rate!$A$1:$A$102,0),MATCH(Xinput_gender,COI_rate!$A$1:$C$1,0)),V66))</f>
        <v/>
      </c>
      <c r="W67" s="45" t="str">
        <f>IF(B67="","",_xlfn.IFNA(VLOOKUP(C67,surrender_charge!$A$1:$B$12,2,FALSE),0))</f>
        <v/>
      </c>
      <c r="X67" s="70" t="str">
        <f>IF(B67="","",IF(B67&lt;Xinput_income_start_age,0,IF(B67&gt;Xoutput_income_end_age,0,IF(income_option=1,VLOOKUP(Xinput_income_start_age,withdrawal_percentage!$A$2:$D$32,1+income_option,FALSE),VLOOKUP(Xinput_income_start_age,withdrawal_percentage!$A$2:$D$32,1+income_option,FALSE)+((B67-Xinput_income_start_age)*VLOOKUP(Xinput_income_start_age,withdrawal_percentage!$A$2:$D$32,2+income_option,FALSE))))))</f>
        <v/>
      </c>
    </row>
    <row r="68" spans="2:24" ht="22.2" customHeight="1" thickTop="1" thickBot="1">
      <c r="B68" s="63" t="str">
        <f t="shared" si="13"/>
        <v/>
      </c>
      <c r="C68" s="17" t="str">
        <f t="shared" si="8"/>
        <v/>
      </c>
      <c r="D68" s="19" t="str">
        <f t="shared" si="23"/>
        <v/>
      </c>
      <c r="E68" s="57" t="str">
        <f t="shared" si="24"/>
        <v/>
      </c>
      <c r="F68" s="54" t="str">
        <f t="shared" si="25"/>
        <v/>
      </c>
      <c r="G68" s="19" t="str">
        <f t="shared" si="9"/>
        <v/>
      </c>
      <c r="H68" s="19" t="str">
        <f t="shared" si="12"/>
        <v/>
      </c>
      <c r="I68" s="56" t="str">
        <f>IF(B68="","",IF(Xinput_rider_choice,IF(Annuity_CashFlow!B68&gt;=40,Annuity_CashFlow!G68*rider_bonus,0),0))</f>
        <v/>
      </c>
      <c r="J68" s="19" t="str">
        <f>IF(B68="","",IF(AND(B68&gt;=Xinput_income_start_age,B68&lt;=Xoutput_income_end_age),Summary!$D$63*((1+Summary!$D$61)^(Annuity_CashFlow!B68-Xinput_income_start_age)),0))</f>
        <v/>
      </c>
      <c r="K68" s="20" t="str">
        <f t="shared" ref="K68:K103" si="26">IF(B68="","",IF(B68&lt;Xinput_income_start_age,rider_rate*H68,0))</f>
        <v/>
      </c>
      <c r="L68" s="19" t="str">
        <f t="shared" ref="L68:L103" si="27">IF(B68="","",P68*V68)</f>
        <v/>
      </c>
      <c r="M68" s="19" t="str">
        <f t="shared" si="14"/>
        <v/>
      </c>
      <c r="N68" s="19" t="str">
        <f t="shared" si="15"/>
        <v/>
      </c>
      <c r="O68" s="20" t="str">
        <f t="shared" si="16"/>
        <v/>
      </c>
      <c r="P68" s="19" t="str">
        <f t="shared" si="10"/>
        <v/>
      </c>
      <c r="R68" s="45" t="str">
        <f>IF(B68="","",INDEX(index_sum_return_table,MATCH(C68,'Index Selection'!$I$3:$I$104,0),11))</f>
        <v/>
      </c>
      <c r="S68" s="45" t="str">
        <f t="shared" ref="S68:S103" si="28">IF(B68="","",IF(Xinput_allocation_option&lt;&gt;1,IF(Xinput_allocation_option&lt;&gt;2,1,Xoutput_cap),Xoutput_cap))</f>
        <v/>
      </c>
      <c r="T68" s="55" t="str">
        <f t="shared" ref="T68:T103" si="29">IF(B68="","",IF(Xinput_allocation_option&lt;&gt;4,IF(Xinput_allocation_option&lt;&gt;5,1,Xoutput_par),Xoutput_par))</f>
        <v/>
      </c>
      <c r="U68" s="45" t="str">
        <f t="shared" ref="U68:U103" si="30">IF(B68="","",IF(Xinput_allocation_option&lt;&gt;3,0,Xoutput_spread))</f>
        <v/>
      </c>
      <c r="V68" s="60" t="str">
        <f>IF(B68="","",_xlfn.IFNA(INDEX(coi_table,MATCH(B68,COI_rate!$A$1:$A$102,0),MATCH(Xinput_gender,COI_rate!$A$1:$C$1,0)),V67))</f>
        <v/>
      </c>
      <c r="W68" s="45" t="str">
        <f>IF(B68="","",_xlfn.IFNA(VLOOKUP(C68,surrender_charge!$A$1:$B$12,2,FALSE),0))</f>
        <v/>
      </c>
      <c r="X68" s="70" t="str">
        <f>IF(B68="","",IF(B68&lt;Xinput_income_start_age,0,IF(B68&gt;Xoutput_income_end_age,0,IF(income_option=1,VLOOKUP(Xinput_income_start_age,withdrawal_percentage!$A$2:$D$32,1+income_option,FALSE),VLOOKUP(Xinput_income_start_age,withdrawal_percentage!$A$2:$D$32,1+income_option,FALSE)+((B68-Xinput_income_start_age)*VLOOKUP(Xinput_income_start_age,withdrawal_percentage!$A$2:$D$32,2+income_option,FALSE))))))</f>
        <v/>
      </c>
    </row>
    <row r="69" spans="2:24" ht="22.2" customHeight="1" thickTop="1" thickBot="1">
      <c r="B69" s="63" t="str">
        <f t="shared" si="13"/>
        <v/>
      </c>
      <c r="C69" s="17" t="str">
        <f t="shared" si="8"/>
        <v/>
      </c>
      <c r="D69" s="19" t="str">
        <f t="shared" ref="D69:D100" si="31">IF(C69="","",IF(C69&gt;Xinput_term,D68,D68+(Xinput_premium*Xinput_frequency)))</f>
        <v/>
      </c>
      <c r="E69" s="57" t="str">
        <f t="shared" ref="E69:E103" si="32">IF(C69="","",IF(C69&gt;Xinput_term,M68,M68+Xinput_premium))</f>
        <v/>
      </c>
      <c r="F69" s="54" t="str">
        <f t="shared" ref="F69:F103" si="33">IF(C69="","",IF(Xinput_interest_choice=1,Xoutput_interest_rate,MAX(0,(MIN(S69,R69)*T69)-U69)))</f>
        <v/>
      </c>
      <c r="G69" s="19" t="str">
        <f t="shared" ref="G69:G103" si="34">IF(C69="","",E69*F69)</f>
        <v/>
      </c>
      <c r="H69" s="19" t="str">
        <f t="shared" ref="H69:H103" si="35">IF(B69="","",E69+G69)</f>
        <v/>
      </c>
      <c r="I69" s="56" t="str">
        <f>IF(B69="","",IF(Xinput_rider_choice,IF(Annuity_CashFlow!B69&gt;=40,Annuity_CashFlow!G69*rider_bonus,0),0))</f>
        <v/>
      </c>
      <c r="J69" s="19" t="str">
        <f>IF(B69="","",IF(AND(B69&gt;=Xinput_income_start_age,B69&lt;=Xoutput_income_end_age),Summary!$D$63*((1+Summary!$D$61)^(Annuity_CashFlow!B69-Xinput_income_start_age)),0))</f>
        <v/>
      </c>
      <c r="K69" s="20" t="str">
        <f t="shared" si="26"/>
        <v/>
      </c>
      <c r="L69" s="19" t="str">
        <f t="shared" si="27"/>
        <v/>
      </c>
      <c r="M69" s="19" t="str">
        <f t="shared" ref="M69:M103" si="36">IF(IF(B69="","",H69+I69-SUM(J69:L69))&lt;0,0,IF(B69="","",H69+I69-SUM(J69:L69)))</f>
        <v/>
      </c>
      <c r="N69" s="19" t="str">
        <f t="shared" ref="N69:N103" si="37">IF(B69="","",W69*M69)</f>
        <v/>
      </c>
      <c r="O69" s="20" t="str">
        <f t="shared" ref="O69:O103" si="38">IF(B69="","",H69+I69-N69)</f>
        <v/>
      </c>
      <c r="P69" s="19" t="str">
        <f t="shared" ref="P69:P103" si="39">IF(B69="","",IF(X69=0,H69+I69,P68))</f>
        <v/>
      </c>
      <c r="R69" s="45" t="str">
        <f>IF(B69="","",INDEX(index_sum_return_table,MATCH(C69,'Index Selection'!$I$3:$I$104,0),11))</f>
        <v/>
      </c>
      <c r="S69" s="45" t="str">
        <f t="shared" si="28"/>
        <v/>
      </c>
      <c r="T69" s="55" t="str">
        <f t="shared" si="29"/>
        <v/>
      </c>
      <c r="U69" s="45" t="str">
        <f t="shared" si="30"/>
        <v/>
      </c>
      <c r="V69" s="60" t="str">
        <f>IF(B69="","",_xlfn.IFNA(INDEX(coi_table,MATCH(B69,COI_rate!$A$1:$A$102,0),MATCH(Xinput_gender,COI_rate!$A$1:$C$1,0)),V68))</f>
        <v/>
      </c>
      <c r="W69" s="45" t="str">
        <f>IF(B69="","",_xlfn.IFNA(VLOOKUP(C69,surrender_charge!$A$1:$B$12,2,FALSE),0))</f>
        <v/>
      </c>
      <c r="X69" s="70" t="str">
        <f>IF(B69="","",IF(B69&lt;Xinput_income_start_age,0,IF(B69&gt;Xoutput_income_end_age,0,IF(income_option=1,VLOOKUP(Xinput_income_start_age,withdrawal_percentage!$A$2:$D$32,1+income_option,FALSE),VLOOKUP(Xinput_income_start_age,withdrawal_percentage!$A$2:$D$32,1+income_option,FALSE)+((B69-Xinput_income_start_age)*VLOOKUP(Xinput_income_start_age,withdrawal_percentage!$A$2:$D$32,2+income_option,FALSE))))))</f>
        <v/>
      </c>
    </row>
    <row r="70" spans="2:24" ht="22.2" customHeight="1" thickTop="1" thickBot="1">
      <c r="B70" s="63" t="str">
        <f t="shared" ref="B70:B103" si="40">IF(B69="","",IF(B69+1&gt;100,"",B69+1))</f>
        <v/>
      </c>
      <c r="C70" s="17" t="str">
        <f t="shared" ref="C70:C103" si="41">IF(B70="","",C69+1)</f>
        <v/>
      </c>
      <c r="D70" s="19" t="str">
        <f t="shared" si="31"/>
        <v/>
      </c>
      <c r="E70" s="57" t="str">
        <f t="shared" si="32"/>
        <v/>
      </c>
      <c r="F70" s="54" t="str">
        <f t="shared" si="33"/>
        <v/>
      </c>
      <c r="G70" s="19" t="str">
        <f t="shared" si="34"/>
        <v/>
      </c>
      <c r="H70" s="19" t="str">
        <f t="shared" si="35"/>
        <v/>
      </c>
      <c r="I70" s="56" t="str">
        <f>IF(B70="","",IF(Xinput_rider_choice,IF(Annuity_CashFlow!B70&gt;=40,Annuity_CashFlow!G70*rider_bonus,0),0))</f>
        <v/>
      </c>
      <c r="J70" s="19" t="str">
        <f>IF(B70="","",IF(AND(B70&gt;=Xinput_income_start_age,B70&lt;=Xoutput_income_end_age),Summary!$D$63*((1+Summary!$D$61)^(Annuity_CashFlow!B70-Xinput_income_start_age)),0))</f>
        <v/>
      </c>
      <c r="K70" s="20" t="str">
        <f t="shared" si="26"/>
        <v/>
      </c>
      <c r="L70" s="19" t="str">
        <f t="shared" si="27"/>
        <v/>
      </c>
      <c r="M70" s="19" t="str">
        <f t="shared" si="36"/>
        <v/>
      </c>
      <c r="N70" s="19" t="str">
        <f t="shared" si="37"/>
        <v/>
      </c>
      <c r="O70" s="20" t="str">
        <f t="shared" si="38"/>
        <v/>
      </c>
      <c r="P70" s="19" t="str">
        <f t="shared" si="39"/>
        <v/>
      </c>
      <c r="R70" s="45" t="str">
        <f>IF(B70="","",INDEX(index_sum_return_table,MATCH(C70,'Index Selection'!$I$3:$I$104,0),11))</f>
        <v/>
      </c>
      <c r="S70" s="45" t="str">
        <f t="shared" si="28"/>
        <v/>
      </c>
      <c r="T70" s="55" t="str">
        <f t="shared" si="29"/>
        <v/>
      </c>
      <c r="U70" s="45" t="str">
        <f t="shared" si="30"/>
        <v/>
      </c>
      <c r="V70" s="60" t="str">
        <f>IF(B70="","",_xlfn.IFNA(INDEX(coi_table,MATCH(B70,COI_rate!$A$1:$A$102,0),MATCH(Xinput_gender,COI_rate!$A$1:$C$1,0)),V69))</f>
        <v/>
      </c>
      <c r="W70" s="45" t="str">
        <f>IF(B70="","",_xlfn.IFNA(VLOOKUP(C70,surrender_charge!$A$1:$B$12,2,FALSE),0))</f>
        <v/>
      </c>
      <c r="X70" s="70" t="str">
        <f>IF(B70="","",IF(B70&lt;Xinput_income_start_age,0,IF(B70&gt;Xoutput_income_end_age,0,IF(income_option=1,VLOOKUP(Xinput_income_start_age,withdrawal_percentage!$A$2:$D$32,1+income_option,FALSE),VLOOKUP(Xinput_income_start_age,withdrawal_percentage!$A$2:$D$32,1+income_option,FALSE)+((B70-Xinput_income_start_age)*VLOOKUP(Xinput_income_start_age,withdrawal_percentage!$A$2:$D$32,2+income_option,FALSE))))))</f>
        <v/>
      </c>
    </row>
    <row r="71" spans="2:24" ht="22.2" customHeight="1" thickTop="1" thickBot="1">
      <c r="B71" s="63" t="str">
        <f t="shared" si="40"/>
        <v/>
      </c>
      <c r="C71" s="17" t="str">
        <f t="shared" si="41"/>
        <v/>
      </c>
      <c r="D71" s="19" t="str">
        <f t="shared" si="31"/>
        <v/>
      </c>
      <c r="E71" s="57" t="str">
        <f t="shared" si="32"/>
        <v/>
      </c>
      <c r="F71" s="54" t="str">
        <f t="shared" si="33"/>
        <v/>
      </c>
      <c r="G71" s="19" t="str">
        <f t="shared" si="34"/>
        <v/>
      </c>
      <c r="H71" s="19" t="str">
        <f t="shared" si="35"/>
        <v/>
      </c>
      <c r="I71" s="56" t="str">
        <f>IF(B71="","",IF(Xinput_rider_choice,IF(Annuity_CashFlow!B71&gt;=40,Annuity_CashFlow!G71*rider_bonus,0),0))</f>
        <v/>
      </c>
      <c r="J71" s="19" t="str">
        <f>IF(B71="","",IF(AND(B71&gt;=Xinput_income_start_age,B71&lt;=Xoutput_income_end_age),Summary!$D$63*((1+Summary!$D$61)^(Annuity_CashFlow!B71-Xinput_income_start_age)),0))</f>
        <v/>
      </c>
      <c r="K71" s="20" t="str">
        <f t="shared" si="26"/>
        <v/>
      </c>
      <c r="L71" s="19" t="str">
        <f t="shared" si="27"/>
        <v/>
      </c>
      <c r="M71" s="19" t="str">
        <f t="shared" si="36"/>
        <v/>
      </c>
      <c r="N71" s="19" t="str">
        <f t="shared" si="37"/>
        <v/>
      </c>
      <c r="O71" s="20" t="str">
        <f t="shared" si="38"/>
        <v/>
      </c>
      <c r="P71" s="19" t="str">
        <f t="shared" si="39"/>
        <v/>
      </c>
      <c r="R71" s="45" t="str">
        <f>IF(B71="","",INDEX(index_sum_return_table,MATCH(C71,'Index Selection'!$I$3:$I$104,0),11))</f>
        <v/>
      </c>
      <c r="S71" s="45" t="str">
        <f t="shared" si="28"/>
        <v/>
      </c>
      <c r="T71" s="55" t="str">
        <f t="shared" si="29"/>
        <v/>
      </c>
      <c r="U71" s="45" t="str">
        <f t="shared" si="30"/>
        <v/>
      </c>
      <c r="V71" s="60" t="str">
        <f>IF(B71="","",_xlfn.IFNA(INDEX(coi_table,MATCH(B71,COI_rate!$A$1:$A$102,0),MATCH(Xinput_gender,COI_rate!$A$1:$C$1,0)),V70))</f>
        <v/>
      </c>
      <c r="W71" s="45" t="str">
        <f>IF(B71="","",_xlfn.IFNA(VLOOKUP(C71,surrender_charge!$A$1:$B$12,2,FALSE),0))</f>
        <v/>
      </c>
      <c r="X71" s="70" t="str">
        <f>IF(B71="","",IF(B71&lt;Xinput_income_start_age,0,IF(B71&gt;Xoutput_income_end_age,0,IF(income_option=1,VLOOKUP(Xinput_income_start_age,withdrawal_percentage!$A$2:$D$32,1+income_option,FALSE),VLOOKUP(Xinput_income_start_age,withdrawal_percentage!$A$2:$D$32,1+income_option,FALSE)+((B71-Xinput_income_start_age)*VLOOKUP(Xinput_income_start_age,withdrawal_percentage!$A$2:$D$32,2+income_option,FALSE))))))</f>
        <v/>
      </c>
    </row>
    <row r="72" spans="2:24" ht="22.2" customHeight="1" thickTop="1" thickBot="1">
      <c r="B72" s="63" t="str">
        <f t="shared" si="40"/>
        <v/>
      </c>
      <c r="C72" s="17" t="str">
        <f t="shared" si="41"/>
        <v/>
      </c>
      <c r="D72" s="19" t="str">
        <f t="shared" si="31"/>
        <v/>
      </c>
      <c r="E72" s="57" t="str">
        <f t="shared" si="32"/>
        <v/>
      </c>
      <c r="F72" s="54" t="str">
        <f t="shared" si="33"/>
        <v/>
      </c>
      <c r="G72" s="19" t="str">
        <f t="shared" si="34"/>
        <v/>
      </c>
      <c r="H72" s="19" t="str">
        <f t="shared" si="35"/>
        <v/>
      </c>
      <c r="I72" s="56" t="str">
        <f>IF(B72="","",IF(Xinput_rider_choice,IF(Annuity_CashFlow!B72&gt;=40,Annuity_CashFlow!G72*rider_bonus,0),0))</f>
        <v/>
      </c>
      <c r="J72" s="19" t="str">
        <f>IF(B72="","",IF(AND(B72&gt;=Xinput_income_start_age,B72&lt;=Xoutput_income_end_age),Summary!$D$63*((1+Summary!$D$61)^(Annuity_CashFlow!B72-Xinput_income_start_age)),0))</f>
        <v/>
      </c>
      <c r="K72" s="20" t="str">
        <f t="shared" si="26"/>
        <v/>
      </c>
      <c r="L72" s="19" t="str">
        <f t="shared" si="27"/>
        <v/>
      </c>
      <c r="M72" s="19" t="str">
        <f t="shared" si="36"/>
        <v/>
      </c>
      <c r="N72" s="19" t="str">
        <f t="shared" si="37"/>
        <v/>
      </c>
      <c r="O72" s="20" t="str">
        <f t="shared" si="38"/>
        <v/>
      </c>
      <c r="P72" s="19" t="str">
        <f t="shared" si="39"/>
        <v/>
      </c>
      <c r="R72" s="45" t="str">
        <f>IF(B72="","",INDEX(index_sum_return_table,MATCH(C72,'Index Selection'!$I$3:$I$104,0),11))</f>
        <v/>
      </c>
      <c r="S72" s="45" t="str">
        <f t="shared" si="28"/>
        <v/>
      </c>
      <c r="T72" s="55" t="str">
        <f t="shared" si="29"/>
        <v/>
      </c>
      <c r="U72" s="45" t="str">
        <f t="shared" si="30"/>
        <v/>
      </c>
      <c r="V72" s="60" t="str">
        <f>IF(B72="","",_xlfn.IFNA(INDEX(coi_table,MATCH(B72,COI_rate!$A$1:$A$102,0),MATCH(Xinput_gender,COI_rate!$A$1:$C$1,0)),V71))</f>
        <v/>
      </c>
      <c r="W72" s="45" t="str">
        <f>IF(B72="","",_xlfn.IFNA(VLOOKUP(C72,surrender_charge!$A$1:$B$12,2,FALSE),0))</f>
        <v/>
      </c>
      <c r="X72" s="70" t="str">
        <f>IF(B72="","",IF(B72&lt;Xinput_income_start_age,0,IF(B72&gt;Xoutput_income_end_age,0,IF(income_option=1,VLOOKUP(Xinput_income_start_age,withdrawal_percentage!$A$2:$D$32,1+income_option,FALSE),VLOOKUP(Xinput_income_start_age,withdrawal_percentage!$A$2:$D$32,1+income_option,FALSE)+((B72-Xinput_income_start_age)*VLOOKUP(Xinput_income_start_age,withdrawal_percentage!$A$2:$D$32,2+income_option,FALSE))))))</f>
        <v/>
      </c>
    </row>
    <row r="73" spans="2:24" ht="22.2" customHeight="1" thickTop="1" thickBot="1">
      <c r="B73" s="63" t="str">
        <f t="shared" si="40"/>
        <v/>
      </c>
      <c r="C73" s="17" t="str">
        <f t="shared" si="41"/>
        <v/>
      </c>
      <c r="D73" s="19" t="str">
        <f t="shared" si="31"/>
        <v/>
      </c>
      <c r="E73" s="57" t="str">
        <f t="shared" si="32"/>
        <v/>
      </c>
      <c r="F73" s="54" t="str">
        <f t="shared" si="33"/>
        <v/>
      </c>
      <c r="G73" s="19" t="str">
        <f t="shared" si="34"/>
        <v/>
      </c>
      <c r="H73" s="19" t="str">
        <f t="shared" si="35"/>
        <v/>
      </c>
      <c r="I73" s="56" t="str">
        <f>IF(B73="","",IF(Xinput_rider_choice,IF(Annuity_CashFlow!B73&gt;=40,Annuity_CashFlow!G73*rider_bonus,0),0))</f>
        <v/>
      </c>
      <c r="J73" s="19" t="str">
        <f>IF(B73="","",IF(AND(B73&gt;=Xinput_income_start_age,B73&lt;=Xoutput_income_end_age),Summary!$D$63*((1+Summary!$D$61)^(Annuity_CashFlow!B73-Xinput_income_start_age)),0))</f>
        <v/>
      </c>
      <c r="K73" s="20" t="str">
        <f t="shared" si="26"/>
        <v/>
      </c>
      <c r="L73" s="19" t="str">
        <f t="shared" si="27"/>
        <v/>
      </c>
      <c r="M73" s="19" t="str">
        <f t="shared" si="36"/>
        <v/>
      </c>
      <c r="N73" s="19" t="str">
        <f t="shared" si="37"/>
        <v/>
      </c>
      <c r="O73" s="20" t="str">
        <f t="shared" si="38"/>
        <v/>
      </c>
      <c r="P73" s="19" t="str">
        <f t="shared" si="39"/>
        <v/>
      </c>
      <c r="R73" s="45" t="str">
        <f>IF(B73="","",INDEX(index_sum_return_table,MATCH(C73,'Index Selection'!$I$3:$I$104,0),11))</f>
        <v/>
      </c>
      <c r="S73" s="45" t="str">
        <f t="shared" si="28"/>
        <v/>
      </c>
      <c r="T73" s="55" t="str">
        <f t="shared" si="29"/>
        <v/>
      </c>
      <c r="U73" s="45" t="str">
        <f t="shared" si="30"/>
        <v/>
      </c>
      <c r="V73" s="60" t="str">
        <f>IF(B73="","",_xlfn.IFNA(INDEX(coi_table,MATCH(B73,COI_rate!$A$1:$A$102,0),MATCH(Xinput_gender,COI_rate!$A$1:$C$1,0)),V72))</f>
        <v/>
      </c>
      <c r="W73" s="45" t="str">
        <f>IF(B73="","",_xlfn.IFNA(VLOOKUP(C73,surrender_charge!$A$1:$B$12,2,FALSE),0))</f>
        <v/>
      </c>
      <c r="X73" s="70" t="str">
        <f>IF(B73="","",IF(B73&lt;Xinput_income_start_age,0,IF(B73&gt;Xoutput_income_end_age,0,IF(income_option=1,VLOOKUP(Xinput_income_start_age,withdrawal_percentage!$A$2:$D$32,1+income_option,FALSE),VLOOKUP(Xinput_income_start_age,withdrawal_percentage!$A$2:$D$32,1+income_option,FALSE)+((B73-Xinput_income_start_age)*VLOOKUP(Xinput_income_start_age,withdrawal_percentage!$A$2:$D$32,2+income_option,FALSE))))))</f>
        <v/>
      </c>
    </row>
    <row r="74" spans="2:24" ht="22.2" customHeight="1" thickTop="1" thickBot="1">
      <c r="B74" s="63" t="str">
        <f t="shared" si="40"/>
        <v/>
      </c>
      <c r="C74" s="17" t="str">
        <f t="shared" si="41"/>
        <v/>
      </c>
      <c r="D74" s="19" t="str">
        <f t="shared" si="31"/>
        <v/>
      </c>
      <c r="E74" s="57" t="str">
        <f t="shared" si="32"/>
        <v/>
      </c>
      <c r="F74" s="54" t="str">
        <f t="shared" si="33"/>
        <v/>
      </c>
      <c r="G74" s="19" t="str">
        <f t="shared" si="34"/>
        <v/>
      </c>
      <c r="H74" s="19" t="str">
        <f t="shared" si="35"/>
        <v/>
      </c>
      <c r="I74" s="56" t="str">
        <f>IF(B74="","",IF(Xinput_rider_choice,IF(Annuity_CashFlow!B74&gt;=40,Annuity_CashFlow!G74*rider_bonus,0),0))</f>
        <v/>
      </c>
      <c r="J74" s="19" t="str">
        <f>IF(B74="","",IF(AND(B74&gt;=Xinput_income_start_age,B74&lt;=Xoutput_income_end_age),Summary!$D$63*((1+Summary!$D$61)^(Annuity_CashFlow!B74-Xinput_income_start_age)),0))</f>
        <v/>
      </c>
      <c r="K74" s="20" t="str">
        <f t="shared" si="26"/>
        <v/>
      </c>
      <c r="L74" s="19" t="str">
        <f t="shared" si="27"/>
        <v/>
      </c>
      <c r="M74" s="19" t="str">
        <f t="shared" si="36"/>
        <v/>
      </c>
      <c r="N74" s="19" t="str">
        <f t="shared" si="37"/>
        <v/>
      </c>
      <c r="O74" s="20" t="str">
        <f t="shared" si="38"/>
        <v/>
      </c>
      <c r="P74" s="19" t="str">
        <f t="shared" si="39"/>
        <v/>
      </c>
      <c r="R74" s="45" t="str">
        <f>IF(B74="","",INDEX(index_sum_return_table,MATCH(C74,'Index Selection'!$I$3:$I$104,0),11))</f>
        <v/>
      </c>
      <c r="S74" s="45" t="str">
        <f t="shared" si="28"/>
        <v/>
      </c>
      <c r="T74" s="55" t="str">
        <f t="shared" si="29"/>
        <v/>
      </c>
      <c r="U74" s="45" t="str">
        <f t="shared" si="30"/>
        <v/>
      </c>
      <c r="V74" s="60" t="str">
        <f>IF(B74="","",_xlfn.IFNA(INDEX(coi_table,MATCH(B74,COI_rate!$A$1:$A$102,0),MATCH(Xinput_gender,COI_rate!$A$1:$C$1,0)),V73))</f>
        <v/>
      </c>
      <c r="W74" s="45" t="str">
        <f>IF(B74="","",_xlfn.IFNA(VLOOKUP(C74,surrender_charge!$A$1:$B$12,2,FALSE),0))</f>
        <v/>
      </c>
      <c r="X74" s="70" t="str">
        <f>IF(B74="","",IF(B74&lt;Xinput_income_start_age,0,IF(B74&gt;Xoutput_income_end_age,0,IF(income_option=1,VLOOKUP(Xinput_income_start_age,withdrawal_percentage!$A$2:$D$32,1+income_option,FALSE),VLOOKUP(Xinput_income_start_age,withdrawal_percentage!$A$2:$D$32,1+income_option,FALSE)+((B74-Xinput_income_start_age)*VLOOKUP(Xinput_income_start_age,withdrawal_percentage!$A$2:$D$32,2+income_option,FALSE))))))</f>
        <v/>
      </c>
    </row>
    <row r="75" spans="2:24" ht="22.2" customHeight="1" thickTop="1" thickBot="1">
      <c r="B75" s="63" t="str">
        <f t="shared" si="40"/>
        <v/>
      </c>
      <c r="C75" s="17" t="str">
        <f t="shared" si="41"/>
        <v/>
      </c>
      <c r="D75" s="19" t="str">
        <f t="shared" si="31"/>
        <v/>
      </c>
      <c r="E75" s="57" t="str">
        <f t="shared" si="32"/>
        <v/>
      </c>
      <c r="F75" s="54" t="str">
        <f t="shared" si="33"/>
        <v/>
      </c>
      <c r="G75" s="19" t="str">
        <f t="shared" si="34"/>
        <v/>
      </c>
      <c r="H75" s="19" t="str">
        <f t="shared" si="35"/>
        <v/>
      </c>
      <c r="I75" s="56" t="str">
        <f>IF(B75="","",IF(Xinput_rider_choice,IF(Annuity_CashFlow!B75&gt;=40,Annuity_CashFlow!G75*rider_bonus,0),0))</f>
        <v/>
      </c>
      <c r="J75" s="19" t="str">
        <f>IF(B75="","",IF(AND(B75&gt;=Xinput_income_start_age,B75&lt;=Xoutput_income_end_age),Summary!$D$63*((1+Summary!$D$61)^(Annuity_CashFlow!B75-Xinput_income_start_age)),0))</f>
        <v/>
      </c>
      <c r="K75" s="20" t="str">
        <f t="shared" si="26"/>
        <v/>
      </c>
      <c r="L75" s="19" t="str">
        <f t="shared" si="27"/>
        <v/>
      </c>
      <c r="M75" s="19" t="str">
        <f t="shared" si="36"/>
        <v/>
      </c>
      <c r="N75" s="19" t="str">
        <f t="shared" si="37"/>
        <v/>
      </c>
      <c r="O75" s="20" t="str">
        <f t="shared" si="38"/>
        <v/>
      </c>
      <c r="P75" s="19" t="str">
        <f t="shared" si="39"/>
        <v/>
      </c>
      <c r="R75" s="45" t="str">
        <f>IF(B75="","",INDEX(index_sum_return_table,MATCH(C75,'Index Selection'!$I$3:$I$104,0),11))</f>
        <v/>
      </c>
      <c r="S75" s="45" t="str">
        <f t="shared" si="28"/>
        <v/>
      </c>
      <c r="T75" s="55" t="str">
        <f t="shared" si="29"/>
        <v/>
      </c>
      <c r="U75" s="45" t="str">
        <f t="shared" si="30"/>
        <v/>
      </c>
      <c r="V75" s="60" t="str">
        <f>IF(B75="","",_xlfn.IFNA(INDEX(coi_table,MATCH(B75,COI_rate!$A$1:$A$102,0),MATCH(Xinput_gender,COI_rate!$A$1:$C$1,0)),V74))</f>
        <v/>
      </c>
      <c r="W75" s="45" t="str">
        <f>IF(B75="","",_xlfn.IFNA(VLOOKUP(C75,surrender_charge!$A$1:$B$12,2,FALSE),0))</f>
        <v/>
      </c>
      <c r="X75" s="70" t="str">
        <f>IF(B75="","",IF(B75&lt;Xinput_income_start_age,0,IF(B75&gt;Xoutput_income_end_age,0,IF(income_option=1,VLOOKUP(Xinput_income_start_age,withdrawal_percentage!$A$2:$D$32,1+income_option,FALSE),VLOOKUP(Xinput_income_start_age,withdrawal_percentage!$A$2:$D$32,1+income_option,FALSE)+((B75-Xinput_income_start_age)*VLOOKUP(Xinput_income_start_age,withdrawal_percentage!$A$2:$D$32,2+income_option,FALSE))))))</f>
        <v/>
      </c>
    </row>
    <row r="76" spans="2:24" ht="22.2" customHeight="1" thickTop="1" thickBot="1">
      <c r="B76" s="63" t="str">
        <f t="shared" si="40"/>
        <v/>
      </c>
      <c r="C76" s="17" t="str">
        <f t="shared" si="41"/>
        <v/>
      </c>
      <c r="D76" s="19" t="str">
        <f t="shared" si="31"/>
        <v/>
      </c>
      <c r="E76" s="57" t="str">
        <f t="shared" si="32"/>
        <v/>
      </c>
      <c r="F76" s="54" t="str">
        <f t="shared" si="33"/>
        <v/>
      </c>
      <c r="G76" s="19" t="str">
        <f t="shared" si="34"/>
        <v/>
      </c>
      <c r="H76" s="19" t="str">
        <f t="shared" si="35"/>
        <v/>
      </c>
      <c r="I76" s="56" t="str">
        <f>IF(B76="","",IF(Xinput_rider_choice,IF(Annuity_CashFlow!B76&gt;=40,Annuity_CashFlow!G76*rider_bonus,0),0))</f>
        <v/>
      </c>
      <c r="J76" s="19" t="str">
        <f>IF(B76="","",IF(AND(B76&gt;=Xinput_income_start_age,B76&lt;=Xoutput_income_end_age),Summary!$D$63*((1+Summary!$D$61)^(Annuity_CashFlow!B76-Xinput_income_start_age)),0))</f>
        <v/>
      </c>
      <c r="K76" s="20" t="str">
        <f t="shared" si="26"/>
        <v/>
      </c>
      <c r="L76" s="19" t="str">
        <f t="shared" si="27"/>
        <v/>
      </c>
      <c r="M76" s="19" t="str">
        <f t="shared" si="36"/>
        <v/>
      </c>
      <c r="N76" s="19" t="str">
        <f t="shared" si="37"/>
        <v/>
      </c>
      <c r="O76" s="20" t="str">
        <f t="shared" si="38"/>
        <v/>
      </c>
      <c r="P76" s="19" t="str">
        <f t="shared" si="39"/>
        <v/>
      </c>
      <c r="R76" s="45" t="str">
        <f>IF(B76="","",INDEX(index_sum_return_table,MATCH(C76,'Index Selection'!$I$3:$I$104,0),11))</f>
        <v/>
      </c>
      <c r="S76" s="45" t="str">
        <f t="shared" si="28"/>
        <v/>
      </c>
      <c r="T76" s="55" t="str">
        <f t="shared" si="29"/>
        <v/>
      </c>
      <c r="U76" s="45" t="str">
        <f t="shared" si="30"/>
        <v/>
      </c>
      <c r="V76" s="60" t="str">
        <f>IF(B76="","",_xlfn.IFNA(INDEX(coi_table,MATCH(B76,COI_rate!$A$1:$A$102,0),MATCH(Xinput_gender,COI_rate!$A$1:$C$1,0)),V75))</f>
        <v/>
      </c>
      <c r="W76" s="45" t="str">
        <f>IF(B76="","",_xlfn.IFNA(VLOOKUP(C76,surrender_charge!$A$1:$B$12,2,FALSE),0))</f>
        <v/>
      </c>
      <c r="X76" s="70" t="str">
        <f>IF(B76="","",IF(B76&lt;Xinput_income_start_age,0,IF(B76&gt;Xoutput_income_end_age,0,IF(income_option=1,VLOOKUP(Xinput_income_start_age,withdrawal_percentage!$A$2:$D$32,1+income_option,FALSE),VLOOKUP(Xinput_income_start_age,withdrawal_percentage!$A$2:$D$32,1+income_option,FALSE)+((B76-Xinput_income_start_age)*VLOOKUP(Xinput_income_start_age,withdrawal_percentage!$A$2:$D$32,2+income_option,FALSE))))))</f>
        <v/>
      </c>
    </row>
    <row r="77" spans="2:24" ht="22.2" customHeight="1" thickTop="1" thickBot="1">
      <c r="B77" s="63" t="str">
        <f t="shared" si="40"/>
        <v/>
      </c>
      <c r="C77" s="17" t="str">
        <f t="shared" si="41"/>
        <v/>
      </c>
      <c r="D77" s="19" t="str">
        <f t="shared" si="31"/>
        <v/>
      </c>
      <c r="E77" s="57" t="str">
        <f t="shared" si="32"/>
        <v/>
      </c>
      <c r="F77" s="54" t="str">
        <f t="shared" si="33"/>
        <v/>
      </c>
      <c r="G77" s="19" t="str">
        <f t="shared" si="34"/>
        <v/>
      </c>
      <c r="H77" s="19" t="str">
        <f t="shared" si="35"/>
        <v/>
      </c>
      <c r="I77" s="56" t="str">
        <f>IF(B77="","",IF(Xinput_rider_choice,IF(Annuity_CashFlow!B77&gt;=40,Annuity_CashFlow!G77*rider_bonus,0),0))</f>
        <v/>
      </c>
      <c r="J77" s="19" t="str">
        <f>IF(B77="","",IF(AND(B77&gt;=Xinput_income_start_age,B77&lt;=Xoutput_income_end_age),Summary!$D$63*((1+Summary!$D$61)^(Annuity_CashFlow!B77-Xinput_income_start_age)),0))</f>
        <v/>
      </c>
      <c r="K77" s="20" t="str">
        <f t="shared" si="26"/>
        <v/>
      </c>
      <c r="L77" s="19" t="str">
        <f t="shared" si="27"/>
        <v/>
      </c>
      <c r="M77" s="19" t="str">
        <f t="shared" si="36"/>
        <v/>
      </c>
      <c r="N77" s="19" t="str">
        <f t="shared" si="37"/>
        <v/>
      </c>
      <c r="O77" s="20" t="str">
        <f t="shared" si="38"/>
        <v/>
      </c>
      <c r="P77" s="19" t="str">
        <f t="shared" si="39"/>
        <v/>
      </c>
      <c r="R77" s="45" t="str">
        <f>IF(B77="","",INDEX(index_sum_return_table,MATCH(C77,'Index Selection'!$I$3:$I$104,0),11))</f>
        <v/>
      </c>
      <c r="S77" s="45" t="str">
        <f t="shared" si="28"/>
        <v/>
      </c>
      <c r="T77" s="55" t="str">
        <f t="shared" si="29"/>
        <v/>
      </c>
      <c r="U77" s="45" t="str">
        <f t="shared" si="30"/>
        <v/>
      </c>
      <c r="V77" s="60" t="str">
        <f>IF(B77="","",_xlfn.IFNA(INDEX(coi_table,MATCH(B77,COI_rate!$A$1:$A$102,0),MATCH(Xinput_gender,COI_rate!$A$1:$C$1,0)),V76))</f>
        <v/>
      </c>
      <c r="W77" s="45" t="str">
        <f>IF(B77="","",_xlfn.IFNA(VLOOKUP(C77,surrender_charge!$A$1:$B$12,2,FALSE),0))</f>
        <v/>
      </c>
      <c r="X77" s="70" t="str">
        <f>IF(B77="","",IF(B77&lt;Xinput_income_start_age,0,IF(B77&gt;Xoutput_income_end_age,0,IF(income_option=1,VLOOKUP(Xinput_income_start_age,withdrawal_percentage!$A$2:$D$32,1+income_option,FALSE),VLOOKUP(Xinput_income_start_age,withdrawal_percentage!$A$2:$D$32,1+income_option,FALSE)+((B77-Xinput_income_start_age)*VLOOKUP(Xinput_income_start_age,withdrawal_percentage!$A$2:$D$32,2+income_option,FALSE))))))</f>
        <v/>
      </c>
    </row>
    <row r="78" spans="2:24" ht="22.2" customHeight="1" thickTop="1" thickBot="1">
      <c r="B78" s="63" t="str">
        <f t="shared" si="40"/>
        <v/>
      </c>
      <c r="C78" s="17" t="str">
        <f t="shared" si="41"/>
        <v/>
      </c>
      <c r="D78" s="19" t="str">
        <f t="shared" si="31"/>
        <v/>
      </c>
      <c r="E78" s="57" t="str">
        <f t="shared" si="32"/>
        <v/>
      </c>
      <c r="F78" s="54" t="str">
        <f t="shared" si="33"/>
        <v/>
      </c>
      <c r="G78" s="19" t="str">
        <f t="shared" si="34"/>
        <v/>
      </c>
      <c r="H78" s="19" t="str">
        <f t="shared" si="35"/>
        <v/>
      </c>
      <c r="I78" s="56" t="str">
        <f>IF(B78="","",IF(Xinput_rider_choice,IF(Annuity_CashFlow!B78&gt;=40,Annuity_CashFlow!G78*rider_bonus,0),0))</f>
        <v/>
      </c>
      <c r="J78" s="19" t="str">
        <f>IF(B78="","",IF(AND(B78&gt;=Xinput_income_start_age,B78&lt;=Xoutput_income_end_age),Summary!$D$63*((1+Summary!$D$61)^(Annuity_CashFlow!B78-Xinput_income_start_age)),0))</f>
        <v/>
      </c>
      <c r="K78" s="20" t="str">
        <f t="shared" si="26"/>
        <v/>
      </c>
      <c r="L78" s="19" t="str">
        <f t="shared" si="27"/>
        <v/>
      </c>
      <c r="M78" s="19" t="str">
        <f t="shared" si="36"/>
        <v/>
      </c>
      <c r="N78" s="19" t="str">
        <f t="shared" si="37"/>
        <v/>
      </c>
      <c r="O78" s="20" t="str">
        <f t="shared" si="38"/>
        <v/>
      </c>
      <c r="P78" s="19" t="str">
        <f t="shared" si="39"/>
        <v/>
      </c>
      <c r="R78" s="45" t="str">
        <f>IF(B78="","",INDEX(index_sum_return_table,MATCH(C78,'Index Selection'!$I$3:$I$104,0),11))</f>
        <v/>
      </c>
      <c r="S78" s="45" t="str">
        <f t="shared" si="28"/>
        <v/>
      </c>
      <c r="T78" s="55" t="str">
        <f t="shared" si="29"/>
        <v/>
      </c>
      <c r="U78" s="45" t="str">
        <f t="shared" si="30"/>
        <v/>
      </c>
      <c r="V78" s="60" t="str">
        <f>IF(B78="","",_xlfn.IFNA(INDEX(coi_table,MATCH(B78,COI_rate!$A$1:$A$102,0),MATCH(Xinput_gender,COI_rate!$A$1:$C$1,0)),V77))</f>
        <v/>
      </c>
      <c r="W78" s="45" t="str">
        <f>IF(B78="","",_xlfn.IFNA(VLOOKUP(C78,surrender_charge!$A$1:$B$12,2,FALSE),0))</f>
        <v/>
      </c>
      <c r="X78" s="70" t="str">
        <f>IF(B78="","",IF(B78&lt;Xinput_income_start_age,0,IF(B78&gt;Xoutput_income_end_age,0,IF(income_option=1,VLOOKUP(Xinput_income_start_age,withdrawal_percentage!$A$2:$D$32,1+income_option,FALSE),VLOOKUP(Xinput_income_start_age,withdrawal_percentage!$A$2:$D$32,1+income_option,FALSE)+((B78-Xinput_income_start_age)*VLOOKUP(Xinput_income_start_age,withdrawal_percentage!$A$2:$D$32,2+income_option,FALSE))))))</f>
        <v/>
      </c>
    </row>
    <row r="79" spans="2:24" ht="22.2" customHeight="1" thickTop="1" thickBot="1">
      <c r="B79" s="63" t="str">
        <f t="shared" si="40"/>
        <v/>
      </c>
      <c r="C79" s="17" t="str">
        <f t="shared" si="41"/>
        <v/>
      </c>
      <c r="D79" s="19" t="str">
        <f t="shared" si="31"/>
        <v/>
      </c>
      <c r="E79" s="57" t="str">
        <f t="shared" si="32"/>
        <v/>
      </c>
      <c r="F79" s="54" t="str">
        <f t="shared" si="33"/>
        <v/>
      </c>
      <c r="G79" s="19" t="str">
        <f t="shared" si="34"/>
        <v/>
      </c>
      <c r="H79" s="19" t="str">
        <f t="shared" si="35"/>
        <v/>
      </c>
      <c r="I79" s="56" t="str">
        <f>IF(B79="","",IF(Xinput_rider_choice,IF(Annuity_CashFlow!B79&gt;=40,Annuity_CashFlow!G79*rider_bonus,0),0))</f>
        <v/>
      </c>
      <c r="J79" s="19" t="str">
        <f>IF(B79="","",IF(AND(B79&gt;=Xinput_income_start_age,B79&lt;=Xoutput_income_end_age),Summary!$D$63*((1+Summary!$D$61)^(Annuity_CashFlow!B79-Xinput_income_start_age)),0))</f>
        <v/>
      </c>
      <c r="K79" s="20" t="str">
        <f t="shared" si="26"/>
        <v/>
      </c>
      <c r="L79" s="19" t="str">
        <f t="shared" si="27"/>
        <v/>
      </c>
      <c r="M79" s="19" t="str">
        <f t="shared" si="36"/>
        <v/>
      </c>
      <c r="N79" s="19" t="str">
        <f t="shared" si="37"/>
        <v/>
      </c>
      <c r="O79" s="20" t="str">
        <f t="shared" si="38"/>
        <v/>
      </c>
      <c r="P79" s="19" t="str">
        <f t="shared" si="39"/>
        <v/>
      </c>
      <c r="R79" s="45" t="str">
        <f>IF(B79="","",INDEX(index_sum_return_table,MATCH(C79,'Index Selection'!$I$3:$I$104,0),11))</f>
        <v/>
      </c>
      <c r="S79" s="45" t="str">
        <f t="shared" si="28"/>
        <v/>
      </c>
      <c r="T79" s="55" t="str">
        <f t="shared" si="29"/>
        <v/>
      </c>
      <c r="U79" s="45" t="str">
        <f t="shared" si="30"/>
        <v/>
      </c>
      <c r="V79" s="60" t="str">
        <f>IF(B79="","",_xlfn.IFNA(INDEX(coi_table,MATCH(B79,COI_rate!$A$1:$A$102,0),MATCH(Xinput_gender,COI_rate!$A$1:$C$1,0)),V78))</f>
        <v/>
      </c>
      <c r="W79" s="45" t="str">
        <f>IF(B79="","",_xlfn.IFNA(VLOOKUP(C79,surrender_charge!$A$1:$B$12,2,FALSE),0))</f>
        <v/>
      </c>
      <c r="X79" s="70" t="str">
        <f>IF(B79="","",IF(B79&lt;Xinput_income_start_age,0,IF(B79&gt;Xoutput_income_end_age,0,IF(income_option=1,VLOOKUP(Xinput_income_start_age,withdrawal_percentage!$A$2:$D$32,1+income_option,FALSE),VLOOKUP(Xinput_income_start_age,withdrawal_percentage!$A$2:$D$32,1+income_option,FALSE)+((B79-Xinput_income_start_age)*VLOOKUP(Xinput_income_start_age,withdrawal_percentage!$A$2:$D$32,2+income_option,FALSE))))))</f>
        <v/>
      </c>
    </row>
    <row r="80" spans="2:24" ht="22.2" customHeight="1" thickTop="1" thickBot="1">
      <c r="B80" s="63" t="str">
        <f t="shared" si="40"/>
        <v/>
      </c>
      <c r="C80" s="17" t="str">
        <f t="shared" si="41"/>
        <v/>
      </c>
      <c r="D80" s="19" t="str">
        <f t="shared" si="31"/>
        <v/>
      </c>
      <c r="E80" s="57" t="str">
        <f t="shared" si="32"/>
        <v/>
      </c>
      <c r="F80" s="54" t="str">
        <f t="shared" si="33"/>
        <v/>
      </c>
      <c r="G80" s="19" t="str">
        <f t="shared" si="34"/>
        <v/>
      </c>
      <c r="H80" s="19" t="str">
        <f t="shared" si="35"/>
        <v/>
      </c>
      <c r="I80" s="56" t="str">
        <f>IF(B80="","",IF(Xinput_rider_choice,IF(Annuity_CashFlow!B80&gt;=40,Annuity_CashFlow!G80*rider_bonus,0),0))</f>
        <v/>
      </c>
      <c r="J80" s="19" t="str">
        <f>IF(B80="","",IF(AND(B80&gt;=Xinput_income_start_age,B80&lt;=Xoutput_income_end_age),Summary!$D$63*((1+Summary!$D$61)^(Annuity_CashFlow!B80-Xinput_income_start_age)),0))</f>
        <v/>
      </c>
      <c r="K80" s="20" t="str">
        <f t="shared" si="26"/>
        <v/>
      </c>
      <c r="L80" s="19" t="str">
        <f t="shared" si="27"/>
        <v/>
      </c>
      <c r="M80" s="19" t="str">
        <f t="shared" si="36"/>
        <v/>
      </c>
      <c r="N80" s="19" t="str">
        <f t="shared" si="37"/>
        <v/>
      </c>
      <c r="O80" s="20" t="str">
        <f t="shared" si="38"/>
        <v/>
      </c>
      <c r="P80" s="19" t="str">
        <f t="shared" si="39"/>
        <v/>
      </c>
      <c r="R80" s="45" t="str">
        <f>IF(B80="","",INDEX(index_sum_return_table,MATCH(C80,'Index Selection'!$I$3:$I$104,0),11))</f>
        <v/>
      </c>
      <c r="S80" s="45" t="str">
        <f t="shared" si="28"/>
        <v/>
      </c>
      <c r="T80" s="55" t="str">
        <f t="shared" si="29"/>
        <v/>
      </c>
      <c r="U80" s="45" t="str">
        <f t="shared" si="30"/>
        <v/>
      </c>
      <c r="V80" s="60" t="str">
        <f>IF(B80="","",_xlfn.IFNA(INDEX(coi_table,MATCH(B80,COI_rate!$A$1:$A$102,0),MATCH(Xinput_gender,COI_rate!$A$1:$C$1,0)),V79))</f>
        <v/>
      </c>
      <c r="W80" s="45" t="str">
        <f>IF(B80="","",_xlfn.IFNA(VLOOKUP(C80,surrender_charge!$A$1:$B$12,2,FALSE),0))</f>
        <v/>
      </c>
      <c r="X80" s="70" t="str">
        <f>IF(B80="","",IF(B80&lt;Xinput_income_start_age,0,IF(B80&gt;Xoutput_income_end_age,0,IF(income_option=1,VLOOKUP(Xinput_income_start_age,withdrawal_percentage!$A$2:$D$32,1+income_option,FALSE),VLOOKUP(Xinput_income_start_age,withdrawal_percentage!$A$2:$D$32,1+income_option,FALSE)+((B80-Xinput_income_start_age)*VLOOKUP(Xinput_income_start_age,withdrawal_percentage!$A$2:$D$32,2+income_option,FALSE))))))</f>
        <v/>
      </c>
    </row>
    <row r="81" spans="2:24" ht="22.2" customHeight="1" thickTop="1" thickBot="1">
      <c r="B81" s="63" t="str">
        <f t="shared" si="40"/>
        <v/>
      </c>
      <c r="C81" s="17" t="str">
        <f t="shared" si="41"/>
        <v/>
      </c>
      <c r="D81" s="19" t="str">
        <f t="shared" si="31"/>
        <v/>
      </c>
      <c r="E81" s="57" t="str">
        <f t="shared" si="32"/>
        <v/>
      </c>
      <c r="F81" s="54" t="str">
        <f t="shared" si="33"/>
        <v/>
      </c>
      <c r="G81" s="19" t="str">
        <f t="shared" si="34"/>
        <v/>
      </c>
      <c r="H81" s="19" t="str">
        <f t="shared" si="35"/>
        <v/>
      </c>
      <c r="I81" s="56" t="str">
        <f>IF(B81="","",IF(Xinput_rider_choice,IF(Annuity_CashFlow!B81&gt;=40,Annuity_CashFlow!G81*rider_bonus,0),0))</f>
        <v/>
      </c>
      <c r="J81" s="19" t="str">
        <f>IF(B81="","",IF(AND(B81&gt;=Xinput_income_start_age,B81&lt;=Xoutput_income_end_age),Summary!$D$63*((1+Summary!$D$61)^(Annuity_CashFlow!B81-Xinput_income_start_age)),0))</f>
        <v/>
      </c>
      <c r="K81" s="20" t="str">
        <f t="shared" si="26"/>
        <v/>
      </c>
      <c r="L81" s="19" t="str">
        <f t="shared" si="27"/>
        <v/>
      </c>
      <c r="M81" s="19" t="str">
        <f t="shared" si="36"/>
        <v/>
      </c>
      <c r="N81" s="19" t="str">
        <f t="shared" si="37"/>
        <v/>
      </c>
      <c r="O81" s="20" t="str">
        <f t="shared" si="38"/>
        <v/>
      </c>
      <c r="P81" s="19" t="str">
        <f t="shared" si="39"/>
        <v/>
      </c>
      <c r="R81" s="45" t="str">
        <f>IF(B81="","",INDEX(index_sum_return_table,MATCH(C81,'Index Selection'!$I$3:$I$104,0),11))</f>
        <v/>
      </c>
      <c r="S81" s="45" t="str">
        <f t="shared" si="28"/>
        <v/>
      </c>
      <c r="T81" s="55" t="str">
        <f t="shared" si="29"/>
        <v/>
      </c>
      <c r="U81" s="45" t="str">
        <f t="shared" si="30"/>
        <v/>
      </c>
      <c r="V81" s="60" t="str">
        <f>IF(B81="","",_xlfn.IFNA(INDEX(coi_table,MATCH(B81,COI_rate!$A$1:$A$102,0),MATCH(Xinput_gender,COI_rate!$A$1:$C$1,0)),V80))</f>
        <v/>
      </c>
      <c r="W81" s="45" t="str">
        <f>IF(B81="","",_xlfn.IFNA(VLOOKUP(C81,surrender_charge!$A$1:$B$12,2,FALSE),0))</f>
        <v/>
      </c>
      <c r="X81" s="70" t="str">
        <f>IF(B81="","",IF(B81&lt;Xinput_income_start_age,0,IF(B81&gt;Xoutput_income_end_age,0,IF(income_option=1,VLOOKUP(Xinput_income_start_age,withdrawal_percentage!$A$2:$D$32,1+income_option,FALSE),VLOOKUP(Xinput_income_start_age,withdrawal_percentage!$A$2:$D$32,1+income_option,FALSE)+((B81-Xinput_income_start_age)*VLOOKUP(Xinput_income_start_age,withdrawal_percentage!$A$2:$D$32,2+income_option,FALSE))))))</f>
        <v/>
      </c>
    </row>
    <row r="82" spans="2:24" ht="22.2" customHeight="1" thickTop="1" thickBot="1">
      <c r="B82" s="63" t="str">
        <f t="shared" si="40"/>
        <v/>
      </c>
      <c r="C82" s="17" t="str">
        <f t="shared" si="41"/>
        <v/>
      </c>
      <c r="D82" s="19" t="str">
        <f t="shared" si="31"/>
        <v/>
      </c>
      <c r="E82" s="57" t="str">
        <f t="shared" si="32"/>
        <v/>
      </c>
      <c r="F82" s="54" t="str">
        <f t="shared" si="33"/>
        <v/>
      </c>
      <c r="G82" s="19" t="str">
        <f t="shared" si="34"/>
        <v/>
      </c>
      <c r="H82" s="19" t="str">
        <f t="shared" si="35"/>
        <v/>
      </c>
      <c r="I82" s="56" t="str">
        <f>IF(B82="","",IF(Xinput_rider_choice,IF(Annuity_CashFlow!B82&gt;=40,Annuity_CashFlow!G82*rider_bonus,0),0))</f>
        <v/>
      </c>
      <c r="J82" s="19" t="str">
        <f>IF(B82="","",IF(AND(B82&gt;=Xinput_income_start_age,B82&lt;=Xoutput_income_end_age),Summary!$D$63*((1+Summary!$D$61)^(Annuity_CashFlow!B82-Xinput_income_start_age)),0))</f>
        <v/>
      </c>
      <c r="K82" s="20" t="str">
        <f t="shared" si="26"/>
        <v/>
      </c>
      <c r="L82" s="19" t="str">
        <f t="shared" si="27"/>
        <v/>
      </c>
      <c r="M82" s="19" t="str">
        <f t="shared" si="36"/>
        <v/>
      </c>
      <c r="N82" s="19" t="str">
        <f t="shared" si="37"/>
        <v/>
      </c>
      <c r="O82" s="20" t="str">
        <f t="shared" si="38"/>
        <v/>
      </c>
      <c r="P82" s="19" t="str">
        <f t="shared" si="39"/>
        <v/>
      </c>
      <c r="R82" s="45" t="str">
        <f>IF(B82="","",INDEX(index_sum_return_table,MATCH(C82,'Index Selection'!$I$3:$I$104,0),11))</f>
        <v/>
      </c>
      <c r="S82" s="45" t="str">
        <f t="shared" si="28"/>
        <v/>
      </c>
      <c r="T82" s="55" t="str">
        <f t="shared" si="29"/>
        <v/>
      </c>
      <c r="U82" s="45" t="str">
        <f t="shared" si="30"/>
        <v/>
      </c>
      <c r="V82" s="60" t="str">
        <f>IF(B82="","",_xlfn.IFNA(INDEX(coi_table,MATCH(B82,COI_rate!$A$1:$A$102,0),MATCH(Xinput_gender,COI_rate!$A$1:$C$1,0)),V81))</f>
        <v/>
      </c>
      <c r="W82" s="45" t="str">
        <f>IF(B82="","",_xlfn.IFNA(VLOOKUP(C82,surrender_charge!$A$1:$B$12,2,FALSE),0))</f>
        <v/>
      </c>
      <c r="X82" s="70" t="str">
        <f>IF(B82="","",IF(B82&lt;Xinput_income_start_age,0,IF(B82&gt;Xoutput_income_end_age,0,IF(income_option=1,VLOOKUP(Xinput_income_start_age,withdrawal_percentage!$A$2:$D$32,1+income_option,FALSE),VLOOKUP(Xinput_income_start_age,withdrawal_percentage!$A$2:$D$32,1+income_option,FALSE)+((B82-Xinput_income_start_age)*VLOOKUP(Xinput_income_start_age,withdrawal_percentage!$A$2:$D$32,2+income_option,FALSE))))))</f>
        <v/>
      </c>
    </row>
    <row r="83" spans="2:24" ht="22.2" customHeight="1" thickTop="1" thickBot="1">
      <c r="B83" s="63" t="str">
        <f t="shared" si="40"/>
        <v/>
      </c>
      <c r="C83" s="17" t="str">
        <f t="shared" si="41"/>
        <v/>
      </c>
      <c r="D83" s="19" t="str">
        <f t="shared" si="31"/>
        <v/>
      </c>
      <c r="E83" s="57" t="str">
        <f t="shared" si="32"/>
        <v/>
      </c>
      <c r="F83" s="54" t="str">
        <f t="shared" si="33"/>
        <v/>
      </c>
      <c r="G83" s="19" t="str">
        <f t="shared" si="34"/>
        <v/>
      </c>
      <c r="H83" s="19" t="str">
        <f t="shared" si="35"/>
        <v/>
      </c>
      <c r="I83" s="56" t="str">
        <f>IF(B83="","",IF(Xinput_rider_choice,IF(Annuity_CashFlow!B83&gt;=40,Annuity_CashFlow!G83*rider_bonus,0),0))</f>
        <v/>
      </c>
      <c r="J83" s="19" t="str">
        <f>IF(B83="","",IF(AND(B83&gt;=Xinput_income_start_age,B83&lt;=Xoutput_income_end_age),Summary!$D$63*((1+Summary!$D$61)^(Annuity_CashFlow!B83-Xinput_income_start_age)),0))</f>
        <v/>
      </c>
      <c r="K83" s="20" t="str">
        <f t="shared" si="26"/>
        <v/>
      </c>
      <c r="L83" s="19" t="str">
        <f t="shared" si="27"/>
        <v/>
      </c>
      <c r="M83" s="19" t="str">
        <f t="shared" si="36"/>
        <v/>
      </c>
      <c r="N83" s="19" t="str">
        <f t="shared" si="37"/>
        <v/>
      </c>
      <c r="O83" s="20" t="str">
        <f t="shared" si="38"/>
        <v/>
      </c>
      <c r="P83" s="19" t="str">
        <f t="shared" si="39"/>
        <v/>
      </c>
      <c r="R83" s="45" t="str">
        <f>IF(B83="","",INDEX(index_sum_return_table,MATCH(C83,'Index Selection'!$I$3:$I$104,0),11))</f>
        <v/>
      </c>
      <c r="S83" s="45" t="str">
        <f t="shared" si="28"/>
        <v/>
      </c>
      <c r="T83" s="55" t="str">
        <f t="shared" si="29"/>
        <v/>
      </c>
      <c r="U83" s="45" t="str">
        <f t="shared" si="30"/>
        <v/>
      </c>
      <c r="V83" s="60" t="str">
        <f>IF(B83="","",_xlfn.IFNA(INDEX(coi_table,MATCH(B83,COI_rate!$A$1:$A$102,0),MATCH(Xinput_gender,COI_rate!$A$1:$C$1,0)),V82))</f>
        <v/>
      </c>
      <c r="W83" s="45" t="str">
        <f>IF(B83="","",_xlfn.IFNA(VLOOKUP(C83,surrender_charge!$A$1:$B$12,2,FALSE),0))</f>
        <v/>
      </c>
      <c r="X83" s="70" t="str">
        <f>IF(B83="","",IF(B83&lt;Xinput_income_start_age,0,IF(B83&gt;Xoutput_income_end_age,0,IF(income_option=1,VLOOKUP(Xinput_income_start_age,withdrawal_percentage!$A$2:$D$32,1+income_option,FALSE),VLOOKUP(Xinput_income_start_age,withdrawal_percentage!$A$2:$D$32,1+income_option,FALSE)+((B83-Xinput_income_start_age)*VLOOKUP(Xinput_income_start_age,withdrawal_percentage!$A$2:$D$32,2+income_option,FALSE))))))</f>
        <v/>
      </c>
    </row>
    <row r="84" spans="2:24" ht="22.2" customHeight="1" thickTop="1" thickBot="1">
      <c r="B84" s="63" t="str">
        <f t="shared" si="40"/>
        <v/>
      </c>
      <c r="C84" s="17" t="str">
        <f t="shared" si="41"/>
        <v/>
      </c>
      <c r="D84" s="19" t="str">
        <f t="shared" si="31"/>
        <v/>
      </c>
      <c r="E84" s="57" t="str">
        <f t="shared" si="32"/>
        <v/>
      </c>
      <c r="F84" s="54" t="str">
        <f t="shared" si="33"/>
        <v/>
      </c>
      <c r="G84" s="19" t="str">
        <f t="shared" si="34"/>
        <v/>
      </c>
      <c r="H84" s="19" t="str">
        <f t="shared" si="35"/>
        <v/>
      </c>
      <c r="I84" s="56" t="str">
        <f>IF(B84="","",IF(Xinput_rider_choice,IF(Annuity_CashFlow!B84&gt;=40,Annuity_CashFlow!G84*rider_bonus,0),0))</f>
        <v/>
      </c>
      <c r="J84" s="19" t="str">
        <f>IF(B84="","",IF(AND(B84&gt;=Xinput_income_start_age,B84&lt;=Xoutput_income_end_age),Summary!$D$63*((1+Summary!$D$61)^(Annuity_CashFlow!B84-Xinput_income_start_age)),0))</f>
        <v/>
      </c>
      <c r="K84" s="20" t="str">
        <f t="shared" si="26"/>
        <v/>
      </c>
      <c r="L84" s="19" t="str">
        <f t="shared" si="27"/>
        <v/>
      </c>
      <c r="M84" s="19" t="str">
        <f t="shared" si="36"/>
        <v/>
      </c>
      <c r="N84" s="19" t="str">
        <f t="shared" si="37"/>
        <v/>
      </c>
      <c r="O84" s="20" t="str">
        <f t="shared" si="38"/>
        <v/>
      </c>
      <c r="P84" s="19" t="str">
        <f t="shared" si="39"/>
        <v/>
      </c>
      <c r="R84" s="45" t="str">
        <f>IF(B84="","",INDEX(index_sum_return_table,MATCH(C84,'Index Selection'!$I$3:$I$104,0),11))</f>
        <v/>
      </c>
      <c r="S84" s="45" t="str">
        <f t="shared" si="28"/>
        <v/>
      </c>
      <c r="T84" s="55" t="str">
        <f t="shared" si="29"/>
        <v/>
      </c>
      <c r="U84" s="45" t="str">
        <f t="shared" si="30"/>
        <v/>
      </c>
      <c r="V84" s="60" t="str">
        <f>IF(B84="","",_xlfn.IFNA(INDEX(coi_table,MATCH(B84,COI_rate!$A$1:$A$102,0),MATCH(Xinput_gender,COI_rate!$A$1:$C$1,0)),V83))</f>
        <v/>
      </c>
      <c r="W84" s="45" t="str">
        <f>IF(B84="","",_xlfn.IFNA(VLOOKUP(C84,surrender_charge!$A$1:$B$12,2,FALSE),0))</f>
        <v/>
      </c>
      <c r="X84" s="70" t="str">
        <f>IF(B84="","",IF(B84&lt;Xinput_income_start_age,0,IF(B84&gt;Xoutput_income_end_age,0,IF(income_option=1,VLOOKUP(Xinput_income_start_age,withdrawal_percentage!$A$2:$D$32,1+income_option,FALSE),VLOOKUP(Xinput_income_start_age,withdrawal_percentage!$A$2:$D$32,1+income_option,FALSE)+((B84-Xinput_income_start_age)*VLOOKUP(Xinput_income_start_age,withdrawal_percentage!$A$2:$D$32,2+income_option,FALSE))))))</f>
        <v/>
      </c>
    </row>
    <row r="85" spans="2:24" ht="22.2" customHeight="1" thickTop="1" thickBot="1">
      <c r="B85" s="63" t="str">
        <f t="shared" si="40"/>
        <v/>
      </c>
      <c r="C85" s="17" t="str">
        <f t="shared" si="41"/>
        <v/>
      </c>
      <c r="D85" s="19" t="str">
        <f t="shared" si="31"/>
        <v/>
      </c>
      <c r="E85" s="57" t="str">
        <f t="shared" si="32"/>
        <v/>
      </c>
      <c r="F85" s="54" t="str">
        <f t="shared" si="33"/>
        <v/>
      </c>
      <c r="G85" s="19" t="str">
        <f t="shared" si="34"/>
        <v/>
      </c>
      <c r="H85" s="19" t="str">
        <f t="shared" si="35"/>
        <v/>
      </c>
      <c r="I85" s="56" t="str">
        <f>IF(B85="","",IF(Xinput_rider_choice,IF(Annuity_CashFlow!B85&gt;=40,Annuity_CashFlow!G85*rider_bonus,0),0))</f>
        <v/>
      </c>
      <c r="J85" s="19" t="str">
        <f>IF(B85="","",IF(AND(B85&gt;=Xinput_income_start_age,B85&lt;=Xoutput_income_end_age),Summary!$D$63*((1+Summary!$D$61)^(Annuity_CashFlow!B85-Xinput_income_start_age)),0))</f>
        <v/>
      </c>
      <c r="K85" s="20" t="str">
        <f t="shared" si="26"/>
        <v/>
      </c>
      <c r="L85" s="19" t="str">
        <f t="shared" si="27"/>
        <v/>
      </c>
      <c r="M85" s="19" t="str">
        <f t="shared" si="36"/>
        <v/>
      </c>
      <c r="N85" s="19" t="str">
        <f t="shared" si="37"/>
        <v/>
      </c>
      <c r="O85" s="20" t="str">
        <f t="shared" si="38"/>
        <v/>
      </c>
      <c r="P85" s="19" t="str">
        <f t="shared" si="39"/>
        <v/>
      </c>
      <c r="R85" s="45" t="str">
        <f>IF(B85="","",INDEX(index_sum_return_table,MATCH(C85,'Index Selection'!$I$3:$I$104,0),11))</f>
        <v/>
      </c>
      <c r="S85" s="45" t="str">
        <f t="shared" si="28"/>
        <v/>
      </c>
      <c r="T85" s="55" t="str">
        <f t="shared" si="29"/>
        <v/>
      </c>
      <c r="U85" s="45" t="str">
        <f t="shared" si="30"/>
        <v/>
      </c>
      <c r="V85" s="60" t="str">
        <f>IF(B85="","",_xlfn.IFNA(INDEX(coi_table,MATCH(B85,COI_rate!$A$1:$A$102,0),MATCH(Xinput_gender,COI_rate!$A$1:$C$1,0)),V84))</f>
        <v/>
      </c>
      <c r="W85" s="45" t="str">
        <f>IF(B85="","",_xlfn.IFNA(VLOOKUP(C85,surrender_charge!$A$1:$B$12,2,FALSE),0))</f>
        <v/>
      </c>
      <c r="X85" s="70" t="str">
        <f>IF(B85="","",IF(B85&lt;Xinput_income_start_age,0,IF(B85&gt;Xoutput_income_end_age,0,IF(income_option=1,VLOOKUP(Xinput_income_start_age,withdrawal_percentage!$A$2:$D$32,1+income_option,FALSE),VLOOKUP(Xinput_income_start_age,withdrawal_percentage!$A$2:$D$32,1+income_option,FALSE)+((B85-Xinput_income_start_age)*VLOOKUP(Xinput_income_start_age,withdrawal_percentage!$A$2:$D$32,2+income_option,FALSE))))))</f>
        <v/>
      </c>
    </row>
    <row r="86" spans="2:24" ht="22.2" customHeight="1" thickTop="1" thickBot="1">
      <c r="B86" s="63" t="str">
        <f t="shared" si="40"/>
        <v/>
      </c>
      <c r="C86" s="17" t="str">
        <f t="shared" si="41"/>
        <v/>
      </c>
      <c r="D86" s="19" t="str">
        <f t="shared" si="31"/>
        <v/>
      </c>
      <c r="E86" s="57" t="str">
        <f t="shared" si="32"/>
        <v/>
      </c>
      <c r="F86" s="54" t="str">
        <f t="shared" si="33"/>
        <v/>
      </c>
      <c r="G86" s="19" t="str">
        <f t="shared" si="34"/>
        <v/>
      </c>
      <c r="H86" s="19" t="str">
        <f t="shared" si="35"/>
        <v/>
      </c>
      <c r="I86" s="56" t="str">
        <f>IF(B86="","",IF(Xinput_rider_choice,IF(Annuity_CashFlow!B86&gt;=40,Annuity_CashFlow!G86*rider_bonus,0),0))</f>
        <v/>
      </c>
      <c r="J86" s="19" t="str">
        <f>IF(B86="","",IF(AND(B86&gt;=Xinput_income_start_age,B86&lt;=Xoutput_income_end_age),Summary!$D$63*((1+Summary!$D$61)^(Annuity_CashFlow!B86-Xinput_income_start_age)),0))</f>
        <v/>
      </c>
      <c r="K86" s="20" t="str">
        <f t="shared" si="26"/>
        <v/>
      </c>
      <c r="L86" s="19" t="str">
        <f t="shared" si="27"/>
        <v/>
      </c>
      <c r="M86" s="19" t="str">
        <f t="shared" si="36"/>
        <v/>
      </c>
      <c r="N86" s="19" t="str">
        <f t="shared" si="37"/>
        <v/>
      </c>
      <c r="O86" s="20" t="str">
        <f t="shared" si="38"/>
        <v/>
      </c>
      <c r="P86" s="19" t="str">
        <f t="shared" si="39"/>
        <v/>
      </c>
      <c r="R86" s="45" t="str">
        <f>IF(B86="","",INDEX(index_sum_return_table,MATCH(C86,'Index Selection'!$I$3:$I$104,0),11))</f>
        <v/>
      </c>
      <c r="S86" s="45" t="str">
        <f t="shared" si="28"/>
        <v/>
      </c>
      <c r="T86" s="55" t="str">
        <f t="shared" si="29"/>
        <v/>
      </c>
      <c r="U86" s="45" t="str">
        <f t="shared" si="30"/>
        <v/>
      </c>
      <c r="V86" s="60" t="str">
        <f>IF(B86="","",_xlfn.IFNA(INDEX(coi_table,MATCH(B86,COI_rate!$A$1:$A$102,0),MATCH(Xinput_gender,COI_rate!$A$1:$C$1,0)),V85))</f>
        <v/>
      </c>
      <c r="W86" s="45" t="str">
        <f>IF(B86="","",_xlfn.IFNA(VLOOKUP(C86,surrender_charge!$A$1:$B$12,2,FALSE),0))</f>
        <v/>
      </c>
      <c r="X86" s="70" t="str">
        <f>IF(B86="","",IF(B86&lt;Xinput_income_start_age,0,IF(B86&gt;Xoutput_income_end_age,0,IF(income_option=1,VLOOKUP(Xinput_income_start_age,withdrawal_percentage!$A$2:$D$32,1+income_option,FALSE),VLOOKUP(Xinput_income_start_age,withdrawal_percentage!$A$2:$D$32,1+income_option,FALSE)+((B86-Xinput_income_start_age)*VLOOKUP(Xinput_income_start_age,withdrawal_percentage!$A$2:$D$32,2+income_option,FALSE))))))</f>
        <v/>
      </c>
    </row>
    <row r="87" spans="2:24" ht="22.2" customHeight="1" thickTop="1" thickBot="1">
      <c r="B87" s="63" t="str">
        <f t="shared" si="40"/>
        <v/>
      </c>
      <c r="C87" s="17" t="str">
        <f t="shared" si="41"/>
        <v/>
      </c>
      <c r="D87" s="19" t="str">
        <f t="shared" si="31"/>
        <v/>
      </c>
      <c r="E87" s="57" t="str">
        <f t="shared" si="32"/>
        <v/>
      </c>
      <c r="F87" s="54" t="str">
        <f t="shared" si="33"/>
        <v/>
      </c>
      <c r="G87" s="19" t="str">
        <f t="shared" si="34"/>
        <v/>
      </c>
      <c r="H87" s="19" t="str">
        <f t="shared" si="35"/>
        <v/>
      </c>
      <c r="I87" s="56" t="str">
        <f>IF(B87="","",IF(Xinput_rider_choice,IF(Annuity_CashFlow!B87&gt;=40,Annuity_CashFlow!G87*rider_bonus,0),0))</f>
        <v/>
      </c>
      <c r="J87" s="19" t="str">
        <f>IF(B87="","",IF(AND(B87&gt;=Xinput_income_start_age,B87&lt;=Xoutput_income_end_age),Summary!$D$63*((1+Summary!$D$61)^(Annuity_CashFlow!B87-Xinput_income_start_age)),0))</f>
        <v/>
      </c>
      <c r="K87" s="20" t="str">
        <f t="shared" si="26"/>
        <v/>
      </c>
      <c r="L87" s="19" t="str">
        <f t="shared" si="27"/>
        <v/>
      </c>
      <c r="M87" s="19" t="str">
        <f t="shared" si="36"/>
        <v/>
      </c>
      <c r="N87" s="19" t="str">
        <f t="shared" si="37"/>
        <v/>
      </c>
      <c r="O87" s="20" t="str">
        <f t="shared" si="38"/>
        <v/>
      </c>
      <c r="P87" s="19" t="str">
        <f t="shared" si="39"/>
        <v/>
      </c>
      <c r="R87" s="45" t="str">
        <f>IF(B87="","",INDEX(index_sum_return_table,MATCH(C87,'Index Selection'!$I$3:$I$104,0),11))</f>
        <v/>
      </c>
      <c r="S87" s="45" t="str">
        <f t="shared" si="28"/>
        <v/>
      </c>
      <c r="T87" s="55" t="str">
        <f t="shared" si="29"/>
        <v/>
      </c>
      <c r="U87" s="45" t="str">
        <f t="shared" si="30"/>
        <v/>
      </c>
      <c r="V87" s="60" t="str">
        <f>IF(B87="","",_xlfn.IFNA(INDEX(coi_table,MATCH(B87,COI_rate!$A$1:$A$102,0),MATCH(Xinput_gender,COI_rate!$A$1:$C$1,0)),V86))</f>
        <v/>
      </c>
      <c r="W87" s="45" t="str">
        <f>IF(B87="","",_xlfn.IFNA(VLOOKUP(C87,surrender_charge!$A$1:$B$12,2,FALSE),0))</f>
        <v/>
      </c>
      <c r="X87" s="70" t="str">
        <f>IF(B87="","",IF(B87&lt;Xinput_income_start_age,0,IF(B87&gt;Xoutput_income_end_age,0,IF(income_option=1,VLOOKUP(Xinput_income_start_age,withdrawal_percentage!$A$2:$D$32,1+income_option,FALSE),VLOOKUP(Xinput_income_start_age,withdrawal_percentage!$A$2:$D$32,1+income_option,FALSE)+((B87-Xinput_income_start_age)*VLOOKUP(Xinput_income_start_age,withdrawal_percentage!$A$2:$D$32,2+income_option,FALSE))))))</f>
        <v/>
      </c>
    </row>
    <row r="88" spans="2:24" ht="22.2" customHeight="1" thickTop="1" thickBot="1">
      <c r="B88" s="63" t="str">
        <f t="shared" si="40"/>
        <v/>
      </c>
      <c r="C88" s="17" t="str">
        <f t="shared" si="41"/>
        <v/>
      </c>
      <c r="D88" s="19" t="str">
        <f t="shared" si="31"/>
        <v/>
      </c>
      <c r="E88" s="57" t="str">
        <f t="shared" si="32"/>
        <v/>
      </c>
      <c r="F88" s="54" t="str">
        <f t="shared" si="33"/>
        <v/>
      </c>
      <c r="G88" s="19" t="str">
        <f t="shared" si="34"/>
        <v/>
      </c>
      <c r="H88" s="19" t="str">
        <f t="shared" si="35"/>
        <v/>
      </c>
      <c r="I88" s="56" t="str">
        <f>IF(B88="","",IF(Xinput_rider_choice,IF(Annuity_CashFlow!B88&gt;=40,Annuity_CashFlow!G88*rider_bonus,0),0))</f>
        <v/>
      </c>
      <c r="J88" s="19" t="str">
        <f>IF(B88="","",IF(AND(B88&gt;=Xinput_income_start_age,B88&lt;=Xoutput_income_end_age),Summary!$D$63*((1+Summary!$D$61)^(Annuity_CashFlow!B88-Xinput_income_start_age)),0))</f>
        <v/>
      </c>
      <c r="K88" s="20" t="str">
        <f t="shared" si="26"/>
        <v/>
      </c>
      <c r="L88" s="19" t="str">
        <f t="shared" si="27"/>
        <v/>
      </c>
      <c r="M88" s="19" t="str">
        <f t="shared" si="36"/>
        <v/>
      </c>
      <c r="N88" s="19" t="str">
        <f t="shared" si="37"/>
        <v/>
      </c>
      <c r="O88" s="20" t="str">
        <f t="shared" si="38"/>
        <v/>
      </c>
      <c r="P88" s="19" t="str">
        <f t="shared" si="39"/>
        <v/>
      </c>
      <c r="R88" s="45" t="str">
        <f>IF(B88="","",INDEX(index_sum_return_table,MATCH(C88,'Index Selection'!$I$3:$I$104,0),11))</f>
        <v/>
      </c>
      <c r="S88" s="45" t="str">
        <f t="shared" si="28"/>
        <v/>
      </c>
      <c r="T88" s="55" t="str">
        <f t="shared" si="29"/>
        <v/>
      </c>
      <c r="U88" s="45" t="str">
        <f t="shared" si="30"/>
        <v/>
      </c>
      <c r="V88" s="60" t="str">
        <f>IF(B88="","",_xlfn.IFNA(INDEX(coi_table,MATCH(B88,COI_rate!$A$1:$A$102,0),MATCH(Xinput_gender,COI_rate!$A$1:$C$1,0)),V87))</f>
        <v/>
      </c>
      <c r="W88" s="45" t="str">
        <f>IF(B88="","",_xlfn.IFNA(VLOOKUP(C88,surrender_charge!$A$1:$B$12,2,FALSE),0))</f>
        <v/>
      </c>
      <c r="X88" s="70" t="str">
        <f>IF(B88="","",IF(B88&lt;Xinput_income_start_age,0,IF(B88&gt;Xoutput_income_end_age,0,IF(income_option=1,VLOOKUP(Xinput_income_start_age,withdrawal_percentage!$A$2:$D$32,1+income_option,FALSE),VLOOKUP(Xinput_income_start_age,withdrawal_percentage!$A$2:$D$32,1+income_option,FALSE)+((B88-Xinput_income_start_age)*VLOOKUP(Xinput_income_start_age,withdrawal_percentage!$A$2:$D$32,2+income_option,FALSE))))))</f>
        <v/>
      </c>
    </row>
    <row r="89" spans="2:24" ht="22.2" customHeight="1" thickTop="1" thickBot="1">
      <c r="B89" s="63" t="str">
        <f t="shared" si="40"/>
        <v/>
      </c>
      <c r="C89" s="17" t="str">
        <f t="shared" si="41"/>
        <v/>
      </c>
      <c r="D89" s="19" t="str">
        <f t="shared" si="31"/>
        <v/>
      </c>
      <c r="E89" s="57" t="str">
        <f t="shared" si="32"/>
        <v/>
      </c>
      <c r="F89" s="54" t="str">
        <f t="shared" si="33"/>
        <v/>
      </c>
      <c r="G89" s="19" t="str">
        <f t="shared" si="34"/>
        <v/>
      </c>
      <c r="H89" s="19" t="str">
        <f t="shared" si="35"/>
        <v/>
      </c>
      <c r="I89" s="56" t="str">
        <f>IF(B89="","",IF(Xinput_rider_choice,IF(Annuity_CashFlow!B89&gt;=40,Annuity_CashFlow!G89*rider_bonus,0),0))</f>
        <v/>
      </c>
      <c r="J89" s="19" t="str">
        <f>IF(B89="","",IF(AND(B89&gt;=Xinput_income_start_age,B89&lt;=Xoutput_income_end_age),Summary!$D$63*((1+Summary!$D$61)^(Annuity_CashFlow!B89-Xinput_income_start_age)),0))</f>
        <v/>
      </c>
      <c r="K89" s="20" t="str">
        <f t="shared" si="26"/>
        <v/>
      </c>
      <c r="L89" s="19" t="str">
        <f t="shared" si="27"/>
        <v/>
      </c>
      <c r="M89" s="19" t="str">
        <f t="shared" si="36"/>
        <v/>
      </c>
      <c r="N89" s="19" t="str">
        <f t="shared" si="37"/>
        <v/>
      </c>
      <c r="O89" s="20" t="str">
        <f t="shared" si="38"/>
        <v/>
      </c>
      <c r="P89" s="19" t="str">
        <f t="shared" si="39"/>
        <v/>
      </c>
      <c r="R89" s="45" t="str">
        <f>IF(B89="","",INDEX(index_sum_return_table,MATCH(C89,'Index Selection'!$I$3:$I$104,0),11))</f>
        <v/>
      </c>
      <c r="S89" s="45" t="str">
        <f t="shared" si="28"/>
        <v/>
      </c>
      <c r="T89" s="55" t="str">
        <f t="shared" si="29"/>
        <v/>
      </c>
      <c r="U89" s="45" t="str">
        <f t="shared" si="30"/>
        <v/>
      </c>
      <c r="V89" s="60" t="str">
        <f>IF(B89="","",_xlfn.IFNA(INDEX(coi_table,MATCH(B89,COI_rate!$A$1:$A$102,0),MATCH(Xinput_gender,COI_rate!$A$1:$C$1,0)),V88))</f>
        <v/>
      </c>
      <c r="W89" s="45" t="str">
        <f>IF(B89="","",_xlfn.IFNA(VLOOKUP(C89,surrender_charge!$A$1:$B$12,2,FALSE),0))</f>
        <v/>
      </c>
      <c r="X89" s="70" t="str">
        <f>IF(B89="","",IF(B89&lt;Xinput_income_start_age,0,IF(B89&gt;Xoutput_income_end_age,0,IF(income_option=1,VLOOKUP(Xinput_income_start_age,withdrawal_percentage!$A$2:$D$32,1+income_option,FALSE),VLOOKUP(Xinput_income_start_age,withdrawal_percentage!$A$2:$D$32,1+income_option,FALSE)+((B89-Xinput_income_start_age)*VLOOKUP(Xinput_income_start_age,withdrawal_percentage!$A$2:$D$32,2+income_option,FALSE))))))</f>
        <v/>
      </c>
    </row>
    <row r="90" spans="2:24" ht="22.2" customHeight="1" thickTop="1" thickBot="1">
      <c r="B90" s="63" t="str">
        <f t="shared" si="40"/>
        <v/>
      </c>
      <c r="C90" s="17" t="str">
        <f t="shared" si="41"/>
        <v/>
      </c>
      <c r="D90" s="19" t="str">
        <f t="shared" si="31"/>
        <v/>
      </c>
      <c r="E90" s="57" t="str">
        <f t="shared" si="32"/>
        <v/>
      </c>
      <c r="F90" s="54" t="str">
        <f t="shared" si="33"/>
        <v/>
      </c>
      <c r="G90" s="19" t="str">
        <f t="shared" si="34"/>
        <v/>
      </c>
      <c r="H90" s="19" t="str">
        <f t="shared" si="35"/>
        <v/>
      </c>
      <c r="I90" s="56" t="str">
        <f>IF(B90="","",IF(Xinput_rider_choice,IF(Annuity_CashFlow!B90&gt;=40,Annuity_CashFlow!G90*rider_bonus,0),0))</f>
        <v/>
      </c>
      <c r="J90" s="19" t="str">
        <f>IF(B90="","",IF(AND(B90&gt;=Xinput_income_start_age,B90&lt;=Xoutput_income_end_age),Summary!$D$63*((1+Summary!$D$61)^(Annuity_CashFlow!B90-Xinput_income_start_age)),0))</f>
        <v/>
      </c>
      <c r="K90" s="20" t="str">
        <f t="shared" si="26"/>
        <v/>
      </c>
      <c r="L90" s="19" t="str">
        <f t="shared" si="27"/>
        <v/>
      </c>
      <c r="M90" s="19" t="str">
        <f t="shared" si="36"/>
        <v/>
      </c>
      <c r="N90" s="19" t="str">
        <f t="shared" si="37"/>
        <v/>
      </c>
      <c r="O90" s="20" t="str">
        <f t="shared" si="38"/>
        <v/>
      </c>
      <c r="P90" s="19" t="str">
        <f t="shared" si="39"/>
        <v/>
      </c>
      <c r="R90" s="45" t="str">
        <f>IF(B90="","",INDEX(index_sum_return_table,MATCH(C90,'Index Selection'!$I$3:$I$104,0),11))</f>
        <v/>
      </c>
      <c r="S90" s="45" t="str">
        <f t="shared" si="28"/>
        <v/>
      </c>
      <c r="T90" s="55" t="str">
        <f t="shared" si="29"/>
        <v/>
      </c>
      <c r="U90" s="45" t="str">
        <f t="shared" si="30"/>
        <v/>
      </c>
      <c r="V90" s="60" t="str">
        <f>IF(B90="","",_xlfn.IFNA(INDEX(coi_table,MATCH(B90,COI_rate!$A$1:$A$102,0),MATCH(Xinput_gender,COI_rate!$A$1:$C$1,0)),V89))</f>
        <v/>
      </c>
      <c r="W90" s="45" t="str">
        <f>IF(B90="","",_xlfn.IFNA(VLOOKUP(C90,surrender_charge!$A$1:$B$12,2,FALSE),0))</f>
        <v/>
      </c>
      <c r="X90" s="70" t="str">
        <f>IF(B90="","",IF(B90&lt;Xinput_income_start_age,0,IF(B90&gt;Xoutput_income_end_age,0,IF(income_option=1,VLOOKUP(Xinput_income_start_age,withdrawal_percentage!$A$2:$D$32,1+income_option,FALSE),VLOOKUP(Xinput_income_start_age,withdrawal_percentage!$A$2:$D$32,1+income_option,FALSE)+((B90-Xinput_income_start_age)*VLOOKUP(Xinput_income_start_age,withdrawal_percentage!$A$2:$D$32,2+income_option,FALSE))))))</f>
        <v/>
      </c>
    </row>
    <row r="91" spans="2:24" ht="22.2" customHeight="1" thickTop="1" thickBot="1">
      <c r="B91" s="63" t="str">
        <f t="shared" si="40"/>
        <v/>
      </c>
      <c r="C91" s="17" t="str">
        <f t="shared" si="41"/>
        <v/>
      </c>
      <c r="D91" s="19" t="str">
        <f t="shared" si="31"/>
        <v/>
      </c>
      <c r="E91" s="57" t="str">
        <f t="shared" si="32"/>
        <v/>
      </c>
      <c r="F91" s="54" t="str">
        <f t="shared" si="33"/>
        <v/>
      </c>
      <c r="G91" s="19" t="str">
        <f t="shared" si="34"/>
        <v/>
      </c>
      <c r="H91" s="19" t="str">
        <f t="shared" si="35"/>
        <v/>
      </c>
      <c r="I91" s="56" t="str">
        <f>IF(B91="","",IF(Xinput_rider_choice,IF(Annuity_CashFlow!B91&gt;=40,Annuity_CashFlow!G91*rider_bonus,0),0))</f>
        <v/>
      </c>
      <c r="J91" s="19" t="str">
        <f>IF(B91="","",IF(AND(B91&gt;=Xinput_income_start_age,B91&lt;=Xoutput_income_end_age),Summary!$D$63*((1+Summary!$D$61)^(Annuity_CashFlow!B91-Xinput_income_start_age)),0))</f>
        <v/>
      </c>
      <c r="K91" s="20" t="str">
        <f t="shared" si="26"/>
        <v/>
      </c>
      <c r="L91" s="19" t="str">
        <f t="shared" si="27"/>
        <v/>
      </c>
      <c r="M91" s="19" t="str">
        <f t="shared" si="36"/>
        <v/>
      </c>
      <c r="N91" s="19" t="str">
        <f t="shared" si="37"/>
        <v/>
      </c>
      <c r="O91" s="20" t="str">
        <f t="shared" si="38"/>
        <v/>
      </c>
      <c r="P91" s="19" t="str">
        <f t="shared" si="39"/>
        <v/>
      </c>
      <c r="R91" s="45" t="str">
        <f>IF(B91="","",INDEX(index_sum_return_table,MATCH(C91,'Index Selection'!$I$3:$I$104,0),11))</f>
        <v/>
      </c>
      <c r="S91" s="45" t="str">
        <f t="shared" si="28"/>
        <v/>
      </c>
      <c r="T91" s="55" t="str">
        <f t="shared" si="29"/>
        <v/>
      </c>
      <c r="U91" s="45" t="str">
        <f t="shared" si="30"/>
        <v/>
      </c>
      <c r="V91" s="60" t="str">
        <f>IF(B91="","",_xlfn.IFNA(INDEX(coi_table,MATCH(B91,COI_rate!$A$1:$A$102,0),MATCH(Xinput_gender,COI_rate!$A$1:$C$1,0)),V90))</f>
        <v/>
      </c>
      <c r="W91" s="45" t="str">
        <f>IF(B91="","",_xlfn.IFNA(VLOOKUP(C91,surrender_charge!$A$1:$B$12,2,FALSE),0))</f>
        <v/>
      </c>
      <c r="X91" s="70" t="str">
        <f>IF(B91="","",IF(B91&lt;Xinput_income_start_age,0,IF(B91&gt;Xoutput_income_end_age,0,IF(income_option=1,VLOOKUP(Xinput_income_start_age,withdrawal_percentage!$A$2:$D$32,1+income_option,FALSE),VLOOKUP(Xinput_income_start_age,withdrawal_percentage!$A$2:$D$32,1+income_option,FALSE)+((B91-Xinput_income_start_age)*VLOOKUP(Xinput_income_start_age,withdrawal_percentage!$A$2:$D$32,2+income_option,FALSE))))))</f>
        <v/>
      </c>
    </row>
    <row r="92" spans="2:24" ht="22.2" customHeight="1" thickTop="1" thickBot="1">
      <c r="B92" s="63" t="str">
        <f t="shared" si="40"/>
        <v/>
      </c>
      <c r="C92" s="17" t="str">
        <f t="shared" si="41"/>
        <v/>
      </c>
      <c r="D92" s="19" t="str">
        <f t="shared" si="31"/>
        <v/>
      </c>
      <c r="E92" s="57" t="str">
        <f t="shared" si="32"/>
        <v/>
      </c>
      <c r="F92" s="54" t="str">
        <f t="shared" si="33"/>
        <v/>
      </c>
      <c r="G92" s="19" t="str">
        <f t="shared" si="34"/>
        <v/>
      </c>
      <c r="H92" s="19" t="str">
        <f t="shared" si="35"/>
        <v/>
      </c>
      <c r="I92" s="56" t="str">
        <f>IF(B92="","",IF(Xinput_rider_choice,IF(Annuity_CashFlow!B92&gt;=40,Annuity_CashFlow!G92*rider_bonus,0),0))</f>
        <v/>
      </c>
      <c r="J92" s="19" t="str">
        <f>IF(B92="","",IF(AND(B92&gt;=Xinput_income_start_age,B92&lt;=Xoutput_income_end_age),Summary!$D$63*((1+Summary!$D$61)^(Annuity_CashFlow!B92-Xinput_income_start_age)),0))</f>
        <v/>
      </c>
      <c r="K92" s="20" t="str">
        <f t="shared" si="26"/>
        <v/>
      </c>
      <c r="L92" s="19" t="str">
        <f t="shared" si="27"/>
        <v/>
      </c>
      <c r="M92" s="19" t="str">
        <f t="shared" si="36"/>
        <v/>
      </c>
      <c r="N92" s="19" t="str">
        <f t="shared" si="37"/>
        <v/>
      </c>
      <c r="O92" s="20" t="str">
        <f t="shared" si="38"/>
        <v/>
      </c>
      <c r="P92" s="19" t="str">
        <f t="shared" si="39"/>
        <v/>
      </c>
      <c r="R92" s="45" t="str">
        <f>IF(B92="","",INDEX(index_sum_return_table,MATCH(C92,'Index Selection'!$I$3:$I$104,0),11))</f>
        <v/>
      </c>
      <c r="S92" s="45" t="str">
        <f t="shared" si="28"/>
        <v/>
      </c>
      <c r="T92" s="55" t="str">
        <f t="shared" si="29"/>
        <v/>
      </c>
      <c r="U92" s="45" t="str">
        <f t="shared" si="30"/>
        <v/>
      </c>
      <c r="V92" s="60" t="str">
        <f>IF(B92="","",_xlfn.IFNA(INDEX(coi_table,MATCH(B92,COI_rate!$A$1:$A$102,0),MATCH(Xinput_gender,COI_rate!$A$1:$C$1,0)),V91))</f>
        <v/>
      </c>
      <c r="W92" s="45" t="str">
        <f>IF(B92="","",_xlfn.IFNA(VLOOKUP(C92,surrender_charge!$A$1:$B$12,2,FALSE),0))</f>
        <v/>
      </c>
      <c r="X92" s="70" t="str">
        <f>IF(B92="","",IF(B92&lt;Xinput_income_start_age,0,IF(B92&gt;Xoutput_income_end_age,0,IF(income_option=1,VLOOKUP(Xinput_income_start_age,withdrawal_percentage!$A$2:$D$32,1+income_option,FALSE),VLOOKUP(Xinput_income_start_age,withdrawal_percentage!$A$2:$D$32,1+income_option,FALSE)+((B92-Xinput_income_start_age)*VLOOKUP(Xinput_income_start_age,withdrawal_percentage!$A$2:$D$32,2+income_option,FALSE))))))</f>
        <v/>
      </c>
    </row>
    <row r="93" spans="2:24" ht="22.2" customHeight="1" thickTop="1" thickBot="1">
      <c r="B93" s="63" t="str">
        <f t="shared" si="40"/>
        <v/>
      </c>
      <c r="C93" s="17" t="str">
        <f t="shared" si="41"/>
        <v/>
      </c>
      <c r="D93" s="19" t="str">
        <f t="shared" si="31"/>
        <v/>
      </c>
      <c r="E93" s="57" t="str">
        <f t="shared" si="32"/>
        <v/>
      </c>
      <c r="F93" s="54" t="str">
        <f t="shared" si="33"/>
        <v/>
      </c>
      <c r="G93" s="19" t="str">
        <f t="shared" si="34"/>
        <v/>
      </c>
      <c r="H93" s="19" t="str">
        <f t="shared" si="35"/>
        <v/>
      </c>
      <c r="I93" s="56" t="str">
        <f>IF(B93="","",IF(Xinput_rider_choice,IF(Annuity_CashFlow!B93&gt;=40,Annuity_CashFlow!G93*rider_bonus,0),0))</f>
        <v/>
      </c>
      <c r="J93" s="19" t="str">
        <f>IF(B93="","",IF(AND(B93&gt;=Xinput_income_start_age,B93&lt;=Xoutput_income_end_age),Summary!$D$63*((1+Summary!$D$61)^(Annuity_CashFlow!B93-Xinput_income_start_age)),0))</f>
        <v/>
      </c>
      <c r="K93" s="20" t="str">
        <f t="shared" si="26"/>
        <v/>
      </c>
      <c r="L93" s="19" t="str">
        <f t="shared" si="27"/>
        <v/>
      </c>
      <c r="M93" s="19" t="str">
        <f t="shared" si="36"/>
        <v/>
      </c>
      <c r="N93" s="19" t="str">
        <f t="shared" si="37"/>
        <v/>
      </c>
      <c r="O93" s="20" t="str">
        <f t="shared" si="38"/>
        <v/>
      </c>
      <c r="P93" s="19" t="str">
        <f t="shared" si="39"/>
        <v/>
      </c>
      <c r="R93" s="45" t="str">
        <f>IF(B93="","",INDEX(index_sum_return_table,MATCH(C93,'Index Selection'!$I$3:$I$104,0),11))</f>
        <v/>
      </c>
      <c r="S93" s="45" t="str">
        <f t="shared" si="28"/>
        <v/>
      </c>
      <c r="T93" s="55" t="str">
        <f t="shared" si="29"/>
        <v/>
      </c>
      <c r="U93" s="45" t="str">
        <f t="shared" si="30"/>
        <v/>
      </c>
      <c r="V93" s="60" t="str">
        <f>IF(B93="","",_xlfn.IFNA(INDEX(coi_table,MATCH(B93,COI_rate!$A$1:$A$102,0),MATCH(Xinput_gender,COI_rate!$A$1:$C$1,0)),V92))</f>
        <v/>
      </c>
      <c r="W93" s="45" t="str">
        <f>IF(B93="","",_xlfn.IFNA(VLOOKUP(C93,surrender_charge!$A$1:$B$12,2,FALSE),0))</f>
        <v/>
      </c>
      <c r="X93" s="70" t="str">
        <f>IF(B93="","",IF(B93&lt;Xinput_income_start_age,0,IF(B93&gt;Xoutput_income_end_age,0,IF(income_option=1,VLOOKUP(Xinput_income_start_age,withdrawal_percentage!$A$2:$D$32,1+income_option,FALSE),VLOOKUP(Xinput_income_start_age,withdrawal_percentage!$A$2:$D$32,1+income_option,FALSE)+((B93-Xinput_income_start_age)*VLOOKUP(Xinput_income_start_age,withdrawal_percentage!$A$2:$D$32,2+income_option,FALSE))))))</f>
        <v/>
      </c>
    </row>
    <row r="94" spans="2:24" ht="22.2" customHeight="1" thickTop="1" thickBot="1">
      <c r="B94" s="63" t="str">
        <f t="shared" si="40"/>
        <v/>
      </c>
      <c r="C94" s="17" t="str">
        <f t="shared" si="41"/>
        <v/>
      </c>
      <c r="D94" s="19" t="str">
        <f t="shared" si="31"/>
        <v/>
      </c>
      <c r="E94" s="57" t="str">
        <f t="shared" si="32"/>
        <v/>
      </c>
      <c r="F94" s="54" t="str">
        <f t="shared" si="33"/>
        <v/>
      </c>
      <c r="G94" s="19" t="str">
        <f t="shared" si="34"/>
        <v/>
      </c>
      <c r="H94" s="19" t="str">
        <f t="shared" si="35"/>
        <v/>
      </c>
      <c r="I94" s="56" t="str">
        <f>IF(B94="","",IF(Xinput_rider_choice,IF(Annuity_CashFlow!B94&gt;=40,Annuity_CashFlow!G94*rider_bonus,0),0))</f>
        <v/>
      </c>
      <c r="J94" s="19" t="str">
        <f>IF(B94="","",IF(AND(B94&gt;=Xinput_income_start_age,B94&lt;=Xoutput_income_end_age),Summary!$D$63*((1+Summary!$D$61)^(Annuity_CashFlow!B94-Xinput_income_start_age)),0))</f>
        <v/>
      </c>
      <c r="K94" s="20" t="str">
        <f t="shared" si="26"/>
        <v/>
      </c>
      <c r="L94" s="19" t="str">
        <f t="shared" si="27"/>
        <v/>
      </c>
      <c r="M94" s="19" t="str">
        <f t="shared" si="36"/>
        <v/>
      </c>
      <c r="N94" s="19" t="str">
        <f t="shared" si="37"/>
        <v/>
      </c>
      <c r="O94" s="20" t="str">
        <f t="shared" si="38"/>
        <v/>
      </c>
      <c r="P94" s="19" t="str">
        <f t="shared" si="39"/>
        <v/>
      </c>
      <c r="R94" s="45" t="str">
        <f>IF(B94="","",INDEX(index_sum_return_table,MATCH(C94,'Index Selection'!$I$3:$I$104,0),11))</f>
        <v/>
      </c>
      <c r="S94" s="45" t="str">
        <f t="shared" si="28"/>
        <v/>
      </c>
      <c r="T94" s="55" t="str">
        <f t="shared" si="29"/>
        <v/>
      </c>
      <c r="U94" s="45" t="str">
        <f t="shared" si="30"/>
        <v/>
      </c>
      <c r="V94" s="60" t="str">
        <f>IF(B94="","",_xlfn.IFNA(INDEX(coi_table,MATCH(B94,COI_rate!$A$1:$A$102,0),MATCH(Xinput_gender,COI_rate!$A$1:$C$1,0)),V93))</f>
        <v/>
      </c>
      <c r="W94" s="45" t="str">
        <f>IF(B94="","",_xlfn.IFNA(VLOOKUP(C94,surrender_charge!$A$1:$B$12,2,FALSE),0))</f>
        <v/>
      </c>
      <c r="X94" s="70" t="str">
        <f>IF(B94="","",IF(B94&lt;Xinput_income_start_age,0,IF(B94&gt;Xoutput_income_end_age,0,IF(income_option=1,VLOOKUP(Xinput_income_start_age,withdrawal_percentage!$A$2:$D$32,1+income_option,FALSE),VLOOKUP(Xinput_income_start_age,withdrawal_percentage!$A$2:$D$32,1+income_option,FALSE)+((B94-Xinput_income_start_age)*VLOOKUP(Xinput_income_start_age,withdrawal_percentage!$A$2:$D$32,2+income_option,FALSE))))))</f>
        <v/>
      </c>
    </row>
    <row r="95" spans="2:24" ht="22.2" customHeight="1" thickTop="1" thickBot="1">
      <c r="B95" s="63" t="str">
        <f t="shared" si="40"/>
        <v/>
      </c>
      <c r="C95" s="17" t="str">
        <f t="shared" si="41"/>
        <v/>
      </c>
      <c r="D95" s="19" t="str">
        <f t="shared" si="31"/>
        <v/>
      </c>
      <c r="E95" s="57" t="str">
        <f t="shared" si="32"/>
        <v/>
      </c>
      <c r="F95" s="54" t="str">
        <f t="shared" si="33"/>
        <v/>
      </c>
      <c r="G95" s="19" t="str">
        <f t="shared" si="34"/>
        <v/>
      </c>
      <c r="H95" s="19" t="str">
        <f t="shared" si="35"/>
        <v/>
      </c>
      <c r="I95" s="56" t="str">
        <f>IF(B95="","",IF(Xinput_rider_choice,IF(Annuity_CashFlow!B95&gt;=40,Annuity_CashFlow!G95*rider_bonus,0),0))</f>
        <v/>
      </c>
      <c r="J95" s="19" t="str">
        <f>IF(B95="","",IF(AND(B95&gt;=Xinput_income_start_age,B95&lt;=Xoutput_income_end_age),Summary!$D$63*((1+Summary!$D$61)^(Annuity_CashFlow!B95-Xinput_income_start_age)),0))</f>
        <v/>
      </c>
      <c r="K95" s="20" t="str">
        <f t="shared" si="26"/>
        <v/>
      </c>
      <c r="L95" s="19" t="str">
        <f t="shared" si="27"/>
        <v/>
      </c>
      <c r="M95" s="19" t="str">
        <f t="shared" si="36"/>
        <v/>
      </c>
      <c r="N95" s="19" t="str">
        <f t="shared" si="37"/>
        <v/>
      </c>
      <c r="O95" s="20" t="str">
        <f t="shared" si="38"/>
        <v/>
      </c>
      <c r="P95" s="19" t="str">
        <f t="shared" si="39"/>
        <v/>
      </c>
      <c r="R95" s="45" t="str">
        <f>IF(B95="","",INDEX(index_sum_return_table,MATCH(C95,'Index Selection'!$I$3:$I$104,0),11))</f>
        <v/>
      </c>
      <c r="S95" s="45" t="str">
        <f t="shared" si="28"/>
        <v/>
      </c>
      <c r="T95" s="55" t="str">
        <f t="shared" si="29"/>
        <v/>
      </c>
      <c r="U95" s="45" t="str">
        <f t="shared" si="30"/>
        <v/>
      </c>
      <c r="V95" s="60" t="str">
        <f>IF(B95="","",_xlfn.IFNA(INDEX(coi_table,MATCH(B95,COI_rate!$A$1:$A$102,0),MATCH(Xinput_gender,COI_rate!$A$1:$C$1,0)),V94))</f>
        <v/>
      </c>
      <c r="W95" s="45" t="str">
        <f>IF(B95="","",_xlfn.IFNA(VLOOKUP(C95,surrender_charge!$A$1:$B$12,2,FALSE),0))</f>
        <v/>
      </c>
      <c r="X95" s="70" t="str">
        <f>IF(B95="","",IF(B95&lt;Xinput_income_start_age,0,IF(B95&gt;Xoutput_income_end_age,0,IF(income_option=1,VLOOKUP(Xinput_income_start_age,withdrawal_percentage!$A$2:$D$32,1+income_option,FALSE),VLOOKUP(Xinput_income_start_age,withdrawal_percentage!$A$2:$D$32,1+income_option,FALSE)+((B95-Xinput_income_start_age)*VLOOKUP(Xinput_income_start_age,withdrawal_percentage!$A$2:$D$32,2+income_option,FALSE))))))</f>
        <v/>
      </c>
    </row>
    <row r="96" spans="2:24" ht="22.2" customHeight="1" thickTop="1" thickBot="1">
      <c r="B96" s="63" t="str">
        <f t="shared" si="40"/>
        <v/>
      </c>
      <c r="C96" s="17" t="str">
        <f t="shared" si="41"/>
        <v/>
      </c>
      <c r="D96" s="19" t="str">
        <f t="shared" si="31"/>
        <v/>
      </c>
      <c r="E96" s="57" t="str">
        <f t="shared" si="32"/>
        <v/>
      </c>
      <c r="F96" s="54" t="str">
        <f t="shared" si="33"/>
        <v/>
      </c>
      <c r="G96" s="19" t="str">
        <f t="shared" si="34"/>
        <v/>
      </c>
      <c r="H96" s="19" t="str">
        <f t="shared" si="35"/>
        <v/>
      </c>
      <c r="I96" s="56" t="str">
        <f>IF(B96="","",IF(Xinput_rider_choice,IF(Annuity_CashFlow!B96&gt;=40,Annuity_CashFlow!G96*rider_bonus,0),0))</f>
        <v/>
      </c>
      <c r="J96" s="19" t="str">
        <f>IF(B96="","",IF(AND(B96&gt;=Xinput_income_start_age,B96&lt;=Xoutput_income_end_age),Summary!$D$63*((1+Summary!$D$61)^(Annuity_CashFlow!B96-Xinput_income_start_age)),0))</f>
        <v/>
      </c>
      <c r="K96" s="20" t="str">
        <f t="shared" si="26"/>
        <v/>
      </c>
      <c r="L96" s="19" t="str">
        <f t="shared" si="27"/>
        <v/>
      </c>
      <c r="M96" s="19" t="str">
        <f t="shared" si="36"/>
        <v/>
      </c>
      <c r="N96" s="19" t="str">
        <f t="shared" si="37"/>
        <v/>
      </c>
      <c r="O96" s="20" t="str">
        <f t="shared" si="38"/>
        <v/>
      </c>
      <c r="P96" s="19" t="str">
        <f t="shared" si="39"/>
        <v/>
      </c>
      <c r="R96" s="45" t="str">
        <f>IF(B96="","",INDEX(index_sum_return_table,MATCH(C96,'Index Selection'!$I$3:$I$104,0),11))</f>
        <v/>
      </c>
      <c r="S96" s="45" t="str">
        <f t="shared" si="28"/>
        <v/>
      </c>
      <c r="T96" s="55" t="str">
        <f t="shared" si="29"/>
        <v/>
      </c>
      <c r="U96" s="45" t="str">
        <f t="shared" si="30"/>
        <v/>
      </c>
      <c r="V96" s="60" t="str">
        <f>IF(B96="","",_xlfn.IFNA(INDEX(coi_table,MATCH(B96,COI_rate!$A$1:$A$102,0),MATCH(Xinput_gender,COI_rate!$A$1:$C$1,0)),V95))</f>
        <v/>
      </c>
      <c r="W96" s="45" t="str">
        <f>IF(B96="","",_xlfn.IFNA(VLOOKUP(C96,surrender_charge!$A$1:$B$12,2,FALSE),0))</f>
        <v/>
      </c>
      <c r="X96" s="70" t="str">
        <f>IF(B96="","",IF(B96&lt;Xinput_income_start_age,0,IF(B96&gt;Xoutput_income_end_age,0,IF(income_option=1,VLOOKUP(Xinput_income_start_age,withdrawal_percentage!$A$2:$D$32,1+income_option,FALSE),VLOOKUP(Xinput_income_start_age,withdrawal_percentage!$A$2:$D$32,1+income_option,FALSE)+((B96-Xinput_income_start_age)*VLOOKUP(Xinput_income_start_age,withdrawal_percentage!$A$2:$D$32,2+income_option,FALSE))))))</f>
        <v/>
      </c>
    </row>
    <row r="97" spans="2:24" ht="22.2" customHeight="1" thickTop="1" thickBot="1">
      <c r="B97" s="63" t="str">
        <f t="shared" si="40"/>
        <v/>
      </c>
      <c r="C97" s="17" t="str">
        <f t="shared" si="41"/>
        <v/>
      </c>
      <c r="D97" s="19" t="str">
        <f t="shared" si="31"/>
        <v/>
      </c>
      <c r="E97" s="57" t="str">
        <f t="shared" si="32"/>
        <v/>
      </c>
      <c r="F97" s="54" t="str">
        <f t="shared" si="33"/>
        <v/>
      </c>
      <c r="G97" s="19" t="str">
        <f t="shared" si="34"/>
        <v/>
      </c>
      <c r="H97" s="19" t="str">
        <f t="shared" si="35"/>
        <v/>
      </c>
      <c r="I97" s="56" t="str">
        <f>IF(B97="","",IF(Xinput_rider_choice,IF(Annuity_CashFlow!B97&gt;=40,Annuity_CashFlow!G97*rider_bonus,0),0))</f>
        <v/>
      </c>
      <c r="J97" s="19" t="str">
        <f>IF(B97="","",IF(AND(B97&gt;=Xinput_income_start_age,B97&lt;=Xoutput_income_end_age),Summary!$D$63*((1+Summary!$D$61)^(Annuity_CashFlow!B97-Xinput_income_start_age)),0))</f>
        <v/>
      </c>
      <c r="K97" s="20" t="str">
        <f t="shared" si="26"/>
        <v/>
      </c>
      <c r="L97" s="19" t="str">
        <f t="shared" si="27"/>
        <v/>
      </c>
      <c r="M97" s="19" t="str">
        <f t="shared" si="36"/>
        <v/>
      </c>
      <c r="N97" s="19" t="str">
        <f t="shared" si="37"/>
        <v/>
      </c>
      <c r="O97" s="20" t="str">
        <f t="shared" si="38"/>
        <v/>
      </c>
      <c r="P97" s="19" t="str">
        <f t="shared" si="39"/>
        <v/>
      </c>
      <c r="R97" s="45" t="str">
        <f>IF(B97="","",INDEX(index_sum_return_table,MATCH(C97,'Index Selection'!$I$3:$I$104,0),11))</f>
        <v/>
      </c>
      <c r="S97" s="45" t="str">
        <f t="shared" si="28"/>
        <v/>
      </c>
      <c r="T97" s="55" t="str">
        <f t="shared" si="29"/>
        <v/>
      </c>
      <c r="U97" s="45" t="str">
        <f t="shared" si="30"/>
        <v/>
      </c>
      <c r="V97" s="60" t="str">
        <f>IF(B97="","",_xlfn.IFNA(INDEX(coi_table,MATCH(B97,COI_rate!$A$1:$A$102,0),MATCH(Xinput_gender,COI_rate!$A$1:$C$1,0)),V96))</f>
        <v/>
      </c>
      <c r="W97" s="45" t="str">
        <f>IF(B97="","",_xlfn.IFNA(VLOOKUP(C97,surrender_charge!$A$1:$B$12,2,FALSE),0))</f>
        <v/>
      </c>
      <c r="X97" s="70" t="str">
        <f>IF(B97="","",IF(B97&lt;Xinput_income_start_age,0,IF(B97&gt;Xoutput_income_end_age,0,IF(income_option=1,VLOOKUP(Xinput_income_start_age,withdrawal_percentage!$A$2:$D$32,1+income_option,FALSE),VLOOKUP(Xinput_income_start_age,withdrawal_percentage!$A$2:$D$32,1+income_option,FALSE)+((B97-Xinput_income_start_age)*VLOOKUP(Xinput_income_start_age,withdrawal_percentage!$A$2:$D$32,2+income_option,FALSE))))))</f>
        <v/>
      </c>
    </row>
    <row r="98" spans="2:24" ht="22.2" customHeight="1" thickTop="1" thickBot="1">
      <c r="B98" s="63" t="str">
        <f t="shared" si="40"/>
        <v/>
      </c>
      <c r="C98" s="17" t="str">
        <f t="shared" si="41"/>
        <v/>
      </c>
      <c r="D98" s="19" t="str">
        <f t="shared" si="31"/>
        <v/>
      </c>
      <c r="E98" s="57" t="str">
        <f t="shared" si="32"/>
        <v/>
      </c>
      <c r="F98" s="54" t="str">
        <f t="shared" si="33"/>
        <v/>
      </c>
      <c r="G98" s="19" t="str">
        <f t="shared" si="34"/>
        <v/>
      </c>
      <c r="H98" s="19" t="str">
        <f t="shared" si="35"/>
        <v/>
      </c>
      <c r="I98" s="56" t="str">
        <f>IF(B98="","",IF(Xinput_rider_choice,IF(Annuity_CashFlow!B98&gt;=40,Annuity_CashFlow!G98*rider_bonus,0),0))</f>
        <v/>
      </c>
      <c r="J98" s="19" t="str">
        <f>IF(B98="","",IF(AND(B98&gt;=Xinput_income_start_age,B98&lt;=Xoutput_income_end_age),Summary!$D$63*((1+Summary!$D$61)^(Annuity_CashFlow!B98-Xinput_income_start_age)),0))</f>
        <v/>
      </c>
      <c r="K98" s="20" t="str">
        <f t="shared" si="26"/>
        <v/>
      </c>
      <c r="L98" s="19" t="str">
        <f t="shared" si="27"/>
        <v/>
      </c>
      <c r="M98" s="19" t="str">
        <f t="shared" si="36"/>
        <v/>
      </c>
      <c r="N98" s="19" t="str">
        <f t="shared" si="37"/>
        <v/>
      </c>
      <c r="O98" s="20" t="str">
        <f t="shared" si="38"/>
        <v/>
      </c>
      <c r="P98" s="19" t="str">
        <f t="shared" si="39"/>
        <v/>
      </c>
      <c r="R98" s="45" t="str">
        <f>IF(B98="","",INDEX(index_sum_return_table,MATCH(C98,'Index Selection'!$I$3:$I$104,0),11))</f>
        <v/>
      </c>
      <c r="S98" s="45" t="str">
        <f t="shared" si="28"/>
        <v/>
      </c>
      <c r="T98" s="55" t="str">
        <f t="shared" si="29"/>
        <v/>
      </c>
      <c r="U98" s="45" t="str">
        <f t="shared" si="30"/>
        <v/>
      </c>
      <c r="V98" s="60" t="str">
        <f>IF(B98="","",_xlfn.IFNA(INDEX(coi_table,MATCH(B98,COI_rate!$A$1:$A$102,0),MATCH(Xinput_gender,COI_rate!$A$1:$C$1,0)),V97))</f>
        <v/>
      </c>
      <c r="W98" s="45" t="str">
        <f>IF(B98="","",_xlfn.IFNA(VLOOKUP(C98,surrender_charge!$A$1:$B$12,2,FALSE),0))</f>
        <v/>
      </c>
      <c r="X98" s="70" t="str">
        <f>IF(B98="","",IF(B98&lt;Xinput_income_start_age,0,IF(B98&gt;Xoutput_income_end_age,0,IF(income_option=1,VLOOKUP(Xinput_income_start_age,withdrawal_percentage!$A$2:$D$32,1+income_option,FALSE),VLOOKUP(Xinput_income_start_age,withdrawal_percentage!$A$2:$D$32,1+income_option,FALSE)+((B98-Xinput_income_start_age)*VLOOKUP(Xinput_income_start_age,withdrawal_percentage!$A$2:$D$32,2+income_option,FALSE))))))</f>
        <v/>
      </c>
    </row>
    <row r="99" spans="2:24" ht="22.2" customHeight="1" thickTop="1" thickBot="1">
      <c r="B99" s="63" t="str">
        <f t="shared" si="40"/>
        <v/>
      </c>
      <c r="C99" s="17" t="str">
        <f t="shared" si="41"/>
        <v/>
      </c>
      <c r="D99" s="19" t="str">
        <f t="shared" si="31"/>
        <v/>
      </c>
      <c r="E99" s="57" t="str">
        <f t="shared" si="32"/>
        <v/>
      </c>
      <c r="F99" s="54" t="str">
        <f t="shared" si="33"/>
        <v/>
      </c>
      <c r="G99" s="19" t="str">
        <f t="shared" si="34"/>
        <v/>
      </c>
      <c r="H99" s="19" t="str">
        <f t="shared" si="35"/>
        <v/>
      </c>
      <c r="I99" s="56" t="str">
        <f>IF(B99="","",IF(Xinput_rider_choice,IF(Annuity_CashFlow!B99&gt;=40,Annuity_CashFlow!G99*rider_bonus,0),0))</f>
        <v/>
      </c>
      <c r="J99" s="19" t="str">
        <f>IF(B99="","",IF(AND(B99&gt;=Xinput_income_start_age,B99&lt;=Xoutput_income_end_age),Summary!$D$63*((1+Summary!$D$61)^(Annuity_CashFlow!B99-Xinput_income_start_age)),0))</f>
        <v/>
      </c>
      <c r="K99" s="20" t="str">
        <f t="shared" si="26"/>
        <v/>
      </c>
      <c r="L99" s="19" t="str">
        <f t="shared" si="27"/>
        <v/>
      </c>
      <c r="M99" s="19" t="str">
        <f t="shared" si="36"/>
        <v/>
      </c>
      <c r="N99" s="19" t="str">
        <f t="shared" si="37"/>
        <v/>
      </c>
      <c r="O99" s="20" t="str">
        <f t="shared" si="38"/>
        <v/>
      </c>
      <c r="P99" s="19" t="str">
        <f t="shared" si="39"/>
        <v/>
      </c>
      <c r="R99" s="45" t="str">
        <f>IF(B99="","",INDEX(index_sum_return_table,MATCH(C99,'Index Selection'!$I$3:$I$104,0),11))</f>
        <v/>
      </c>
      <c r="S99" s="45" t="str">
        <f t="shared" si="28"/>
        <v/>
      </c>
      <c r="T99" s="55" t="str">
        <f t="shared" si="29"/>
        <v/>
      </c>
      <c r="U99" s="45" t="str">
        <f t="shared" si="30"/>
        <v/>
      </c>
      <c r="V99" s="60" t="str">
        <f>IF(B99="","",_xlfn.IFNA(INDEX(coi_table,MATCH(B99,COI_rate!$A$1:$A$102,0),MATCH(Xinput_gender,COI_rate!$A$1:$C$1,0)),V98))</f>
        <v/>
      </c>
      <c r="W99" s="45" t="str">
        <f>IF(B99="","",_xlfn.IFNA(VLOOKUP(C99,surrender_charge!$A$1:$B$12,2,FALSE),0))</f>
        <v/>
      </c>
      <c r="X99" s="70" t="str">
        <f>IF(B99="","",IF(B99&lt;Xinput_income_start_age,0,IF(B99&gt;Xoutput_income_end_age,0,IF(income_option=1,VLOOKUP(Xinput_income_start_age,withdrawal_percentage!$A$2:$D$32,1+income_option,FALSE),VLOOKUP(Xinput_income_start_age,withdrawal_percentage!$A$2:$D$32,1+income_option,FALSE)+((B99-Xinput_income_start_age)*VLOOKUP(Xinput_income_start_age,withdrawal_percentage!$A$2:$D$32,2+income_option,FALSE))))))</f>
        <v/>
      </c>
    </row>
    <row r="100" spans="2:24" ht="22.2" customHeight="1" thickTop="1" thickBot="1">
      <c r="B100" s="63" t="str">
        <f t="shared" si="40"/>
        <v/>
      </c>
      <c r="C100" s="17" t="str">
        <f t="shared" si="41"/>
        <v/>
      </c>
      <c r="D100" s="19" t="str">
        <f t="shared" si="31"/>
        <v/>
      </c>
      <c r="E100" s="57" t="str">
        <f t="shared" si="32"/>
        <v/>
      </c>
      <c r="F100" s="54" t="str">
        <f t="shared" si="33"/>
        <v/>
      </c>
      <c r="G100" s="19" t="str">
        <f t="shared" si="34"/>
        <v/>
      </c>
      <c r="H100" s="19" t="str">
        <f t="shared" si="35"/>
        <v/>
      </c>
      <c r="I100" s="56" t="str">
        <f>IF(B100="","",IF(Xinput_rider_choice,IF(Annuity_CashFlow!B100&gt;=40,Annuity_CashFlow!G100*rider_bonus,0),0))</f>
        <v/>
      </c>
      <c r="J100" s="19" t="str">
        <f>IF(B100="","",IF(AND(B100&gt;=Xinput_income_start_age,B100&lt;=Xoutput_income_end_age),Summary!$D$63*((1+Summary!$D$61)^(Annuity_CashFlow!B100-Xinput_income_start_age)),0))</f>
        <v/>
      </c>
      <c r="K100" s="20" t="str">
        <f t="shared" si="26"/>
        <v/>
      </c>
      <c r="L100" s="19" t="str">
        <f t="shared" si="27"/>
        <v/>
      </c>
      <c r="M100" s="19" t="str">
        <f t="shared" si="36"/>
        <v/>
      </c>
      <c r="N100" s="19" t="str">
        <f t="shared" si="37"/>
        <v/>
      </c>
      <c r="O100" s="20" t="str">
        <f t="shared" si="38"/>
        <v/>
      </c>
      <c r="P100" s="19" t="str">
        <f t="shared" si="39"/>
        <v/>
      </c>
      <c r="R100" s="45" t="str">
        <f>IF(B100="","",INDEX(index_sum_return_table,MATCH(C100,'Index Selection'!$I$3:$I$104,0),11))</f>
        <v/>
      </c>
      <c r="S100" s="45" t="str">
        <f t="shared" si="28"/>
        <v/>
      </c>
      <c r="T100" s="55" t="str">
        <f t="shared" si="29"/>
        <v/>
      </c>
      <c r="U100" s="45" t="str">
        <f t="shared" si="30"/>
        <v/>
      </c>
      <c r="V100" s="60" t="str">
        <f>IF(B100="","",_xlfn.IFNA(INDEX(coi_table,MATCH(B100,COI_rate!$A$1:$A$102,0),MATCH(Xinput_gender,COI_rate!$A$1:$C$1,0)),V99))</f>
        <v/>
      </c>
      <c r="W100" s="45" t="str">
        <f>IF(B100="","",_xlfn.IFNA(VLOOKUP(C100,surrender_charge!$A$1:$B$12,2,FALSE),0))</f>
        <v/>
      </c>
      <c r="X100" s="70" t="str">
        <f>IF(B100="","",IF(B100&lt;Xinput_income_start_age,0,IF(B100&gt;Xoutput_income_end_age,0,IF(income_option=1,VLOOKUP(Xinput_income_start_age,withdrawal_percentage!$A$2:$D$32,1+income_option,FALSE),VLOOKUP(Xinput_income_start_age,withdrawal_percentage!$A$2:$D$32,1+income_option,FALSE)+((B100-Xinput_income_start_age)*VLOOKUP(Xinput_income_start_age,withdrawal_percentage!$A$2:$D$32,2+income_option,FALSE))))))</f>
        <v/>
      </c>
    </row>
    <row r="101" spans="2:24" ht="22.2" customHeight="1" thickTop="1" thickBot="1">
      <c r="B101" s="63" t="str">
        <f t="shared" si="40"/>
        <v/>
      </c>
      <c r="C101" s="17" t="str">
        <f t="shared" si="41"/>
        <v/>
      </c>
      <c r="D101" s="19" t="str">
        <f t="shared" ref="D101:D103" si="42">IF(C101="","",IF(C101&gt;Xinput_term,D100,D100+(Xinput_premium*Xinput_frequency)))</f>
        <v/>
      </c>
      <c r="E101" s="57" t="str">
        <f t="shared" si="32"/>
        <v/>
      </c>
      <c r="F101" s="54" t="str">
        <f t="shared" si="33"/>
        <v/>
      </c>
      <c r="G101" s="19" t="str">
        <f t="shared" si="34"/>
        <v/>
      </c>
      <c r="H101" s="19" t="str">
        <f t="shared" si="35"/>
        <v/>
      </c>
      <c r="I101" s="56" t="str">
        <f>IF(B101="","",IF(Xinput_rider_choice,IF(Annuity_CashFlow!B101&gt;=40,Annuity_CashFlow!G101*rider_bonus,0),0))</f>
        <v/>
      </c>
      <c r="J101" s="19" t="str">
        <f>IF(B101="","",IF(AND(B101&gt;=Xinput_income_start_age,B101&lt;=Xoutput_income_end_age),Summary!$D$63*((1+Summary!$D$61)^(Annuity_CashFlow!B101-Xinput_income_start_age)),0))</f>
        <v/>
      </c>
      <c r="K101" s="20" t="str">
        <f t="shared" si="26"/>
        <v/>
      </c>
      <c r="L101" s="19" t="str">
        <f t="shared" si="27"/>
        <v/>
      </c>
      <c r="M101" s="19" t="str">
        <f t="shared" si="36"/>
        <v/>
      </c>
      <c r="N101" s="19" t="str">
        <f t="shared" si="37"/>
        <v/>
      </c>
      <c r="O101" s="20" t="str">
        <f t="shared" si="38"/>
        <v/>
      </c>
      <c r="P101" s="19" t="str">
        <f t="shared" si="39"/>
        <v/>
      </c>
      <c r="R101" s="45" t="str">
        <f>IF(B101="","",INDEX(index_sum_return_table,MATCH(C101,'Index Selection'!$I$3:$I$104,0),11))</f>
        <v/>
      </c>
      <c r="S101" s="45" t="str">
        <f t="shared" si="28"/>
        <v/>
      </c>
      <c r="T101" s="55" t="str">
        <f t="shared" si="29"/>
        <v/>
      </c>
      <c r="U101" s="45" t="str">
        <f t="shared" si="30"/>
        <v/>
      </c>
      <c r="V101" s="60" t="str">
        <f>IF(B101="","",_xlfn.IFNA(INDEX(coi_table,MATCH(B101,COI_rate!$A$1:$A$102,0),MATCH(Xinput_gender,COI_rate!$A$1:$C$1,0)),V100))</f>
        <v/>
      </c>
      <c r="W101" s="45" t="str">
        <f>IF(B101="","",_xlfn.IFNA(VLOOKUP(C101,surrender_charge!$A$1:$B$12,2,FALSE),0))</f>
        <v/>
      </c>
      <c r="X101" s="70" t="str">
        <f>IF(B101="","",IF(B101&lt;Xinput_income_start_age,0,IF(B101&gt;Xoutput_income_end_age,0,IF(income_option=1,VLOOKUP(Xinput_income_start_age,withdrawal_percentage!$A$2:$D$32,1+income_option,FALSE),VLOOKUP(Xinput_income_start_age,withdrawal_percentage!$A$2:$D$32,1+income_option,FALSE)+((B101-Xinput_income_start_age)*VLOOKUP(Xinput_income_start_age,withdrawal_percentage!$A$2:$D$32,2+income_option,FALSE))))))</f>
        <v/>
      </c>
    </row>
    <row r="102" spans="2:24" ht="22.2" customHeight="1" thickTop="1" thickBot="1">
      <c r="B102" s="63" t="str">
        <f t="shared" si="40"/>
        <v/>
      </c>
      <c r="C102" s="17" t="str">
        <f t="shared" si="41"/>
        <v/>
      </c>
      <c r="D102" s="19" t="str">
        <f t="shared" si="42"/>
        <v/>
      </c>
      <c r="E102" s="57" t="str">
        <f t="shared" si="32"/>
        <v/>
      </c>
      <c r="F102" s="54" t="str">
        <f t="shared" si="33"/>
        <v/>
      </c>
      <c r="G102" s="19" t="str">
        <f t="shared" si="34"/>
        <v/>
      </c>
      <c r="H102" s="19" t="str">
        <f t="shared" si="35"/>
        <v/>
      </c>
      <c r="I102" s="56" t="str">
        <f>IF(B102="","",IF(Xinput_rider_choice,IF(Annuity_CashFlow!B102&gt;=40,Annuity_CashFlow!G102*rider_bonus,0),0))</f>
        <v/>
      </c>
      <c r="J102" s="19" t="str">
        <f>IF(B102="","",IF(AND(B102&gt;=Xinput_income_start_age,B102&lt;=Xoutput_income_end_age),Summary!$D$63*((1+Summary!$D$61)^(Annuity_CashFlow!B102-Xinput_income_start_age)),0))</f>
        <v/>
      </c>
      <c r="K102" s="20" t="str">
        <f t="shared" si="26"/>
        <v/>
      </c>
      <c r="L102" s="19" t="str">
        <f t="shared" si="27"/>
        <v/>
      </c>
      <c r="M102" s="19" t="str">
        <f t="shared" si="36"/>
        <v/>
      </c>
      <c r="N102" s="19" t="str">
        <f t="shared" si="37"/>
        <v/>
      </c>
      <c r="O102" s="20" t="str">
        <f t="shared" si="38"/>
        <v/>
      </c>
      <c r="P102" s="19" t="str">
        <f t="shared" si="39"/>
        <v/>
      </c>
      <c r="R102" s="45" t="str">
        <f>IF(B102="","",INDEX(index_sum_return_table,MATCH(C102,'Index Selection'!$I$3:$I$104,0),11))</f>
        <v/>
      </c>
      <c r="S102" s="45" t="str">
        <f t="shared" si="28"/>
        <v/>
      </c>
      <c r="T102" s="55" t="str">
        <f t="shared" si="29"/>
        <v/>
      </c>
      <c r="U102" s="45" t="str">
        <f t="shared" si="30"/>
        <v/>
      </c>
      <c r="V102" s="60" t="str">
        <f>IF(B102="","",_xlfn.IFNA(INDEX(coi_table,MATCH(B102,COI_rate!$A$1:$A$102,0),MATCH(Xinput_gender,COI_rate!$A$1:$C$1,0)),V101))</f>
        <v/>
      </c>
      <c r="W102" s="45" t="str">
        <f>IF(B102="","",_xlfn.IFNA(VLOOKUP(C102,surrender_charge!$A$1:$B$12,2,FALSE),0))</f>
        <v/>
      </c>
      <c r="X102" s="70" t="str">
        <f>IF(B102="","",IF(B102&lt;Xinput_income_start_age,0,IF(B102&gt;Xoutput_income_end_age,0,IF(income_option=1,VLOOKUP(Xinput_income_start_age,withdrawal_percentage!$A$2:$D$32,1+income_option,FALSE),VLOOKUP(Xinput_income_start_age,withdrawal_percentage!$A$2:$D$32,1+income_option,FALSE)+((B102-Xinput_income_start_age)*VLOOKUP(Xinput_income_start_age,withdrawal_percentage!$A$2:$D$32,2+income_option,FALSE))))))</f>
        <v/>
      </c>
    </row>
    <row r="103" spans="2:24" ht="22.2" customHeight="1" thickTop="1" thickBot="1">
      <c r="B103" s="63" t="str">
        <f t="shared" si="40"/>
        <v/>
      </c>
      <c r="C103" s="17" t="str">
        <f t="shared" si="41"/>
        <v/>
      </c>
      <c r="D103" s="19" t="str">
        <f t="shared" si="42"/>
        <v/>
      </c>
      <c r="E103" s="57" t="str">
        <f t="shared" si="32"/>
        <v/>
      </c>
      <c r="F103" s="54" t="str">
        <f t="shared" si="33"/>
        <v/>
      </c>
      <c r="G103" s="19" t="str">
        <f t="shared" si="34"/>
        <v/>
      </c>
      <c r="H103" s="19" t="str">
        <f t="shared" si="35"/>
        <v/>
      </c>
      <c r="I103" s="56" t="str">
        <f>IF(B103="","",IF(Xinput_rider_choice,IF(Annuity_CashFlow!B103&gt;=40,Annuity_CashFlow!G103*rider_bonus,0),0))</f>
        <v/>
      </c>
      <c r="J103" s="19" t="str">
        <f>IF(B103="","",IF(AND(B103&gt;=Xinput_income_start_age,B103&lt;=Xoutput_income_end_age),Summary!$D$63*((1+Summary!$D$61)^(Annuity_CashFlow!B103-Xinput_income_start_age)),0))</f>
        <v/>
      </c>
      <c r="K103" s="20" t="str">
        <f t="shared" si="26"/>
        <v/>
      </c>
      <c r="L103" s="19" t="str">
        <f t="shared" si="27"/>
        <v/>
      </c>
      <c r="M103" s="19" t="str">
        <f t="shared" si="36"/>
        <v/>
      </c>
      <c r="N103" s="19" t="str">
        <f t="shared" si="37"/>
        <v/>
      </c>
      <c r="O103" s="20" t="str">
        <f t="shared" si="38"/>
        <v/>
      </c>
      <c r="P103" s="19" t="str">
        <f t="shared" si="39"/>
        <v/>
      </c>
      <c r="R103" s="45" t="str">
        <f>IF(B103="","",INDEX(index_sum_return_table,MATCH(C103,'Index Selection'!$I$3:$I$104,0),11))</f>
        <v/>
      </c>
      <c r="S103" s="45" t="str">
        <f t="shared" si="28"/>
        <v/>
      </c>
      <c r="T103" s="55" t="str">
        <f t="shared" si="29"/>
        <v/>
      </c>
      <c r="U103" s="45" t="str">
        <f t="shared" si="30"/>
        <v/>
      </c>
      <c r="V103" s="60" t="str">
        <f>IF(B103="","",_xlfn.IFNA(INDEX(coi_table,MATCH(B103,COI_rate!$A$1:$A$102,0),MATCH(Xinput_gender,COI_rate!$A$1:$C$1,0)),V102))</f>
        <v/>
      </c>
      <c r="W103" s="45" t="str">
        <f>IF(B103="","",_xlfn.IFNA(VLOOKUP(C103,surrender_charge!$A$1:$B$12,2,FALSE),0))</f>
        <v/>
      </c>
      <c r="X103" s="70" t="str">
        <f>IF(B103="","",IF(B103&lt;Xinput_income_start_age,0,IF(B103&gt;Xoutput_income_end_age,0,IF(income_option=1,VLOOKUP(Xinput_income_start_age,withdrawal_percentage!$A$2:$D$32,1+income_option,FALSE),VLOOKUP(Xinput_income_start_age,withdrawal_percentage!$A$2:$D$32,1+income_option,FALSE)+((B103-Xinput_income_start_age)*VLOOKUP(Xinput_income_start_age,withdrawal_percentage!$A$2:$D$32,2+income_option,FALSE))))))</f>
        <v/>
      </c>
    </row>
  </sheetData>
  <phoneticPr fontId="1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EAA86-83CE-4475-81DB-DDF365560840}">
  <sheetPr codeName="Sheet5">
    <tabColor rgb="FFFF0000"/>
  </sheetPr>
  <dimension ref="B1:D15"/>
  <sheetViews>
    <sheetView showGridLines="0" workbookViewId="0">
      <selection activeCell="B3" sqref="B3"/>
    </sheetView>
  </sheetViews>
  <sheetFormatPr defaultColWidth="8.69140625" defaultRowHeight="14.6"/>
  <cols>
    <col min="2" max="2" width="6.3828125" bestFit="1" customWidth="1"/>
    <col min="3" max="3" width="19.3828125" bestFit="1" customWidth="1"/>
    <col min="4" max="4" width="18.3046875" bestFit="1" customWidth="1"/>
  </cols>
  <sheetData>
    <row r="1" spans="2:4" ht="15" thickBot="1">
      <c r="C1" t="s">
        <v>81</v>
      </c>
    </row>
    <row r="2" spans="2:4" ht="15" thickBot="1">
      <c r="B2" s="41" t="s">
        <v>7</v>
      </c>
      <c r="C2" s="74" t="s">
        <v>82</v>
      </c>
      <c r="D2" s="74" t="s">
        <v>83</v>
      </c>
    </row>
    <row r="3" spans="2:4" ht="15" thickBot="1">
      <c r="B3" s="73">
        <f>Summary!G6</f>
        <v>5</v>
      </c>
      <c r="C3" s="19">
        <f>Summary!J6</f>
        <v>766317.94893798418</v>
      </c>
      <c r="D3" s="19">
        <f>Summary!I6</f>
        <v>784831.29712466907</v>
      </c>
    </row>
    <row r="4" spans="2:4" ht="15" thickBot="1">
      <c r="B4" s="73">
        <f>Summary!G7</f>
        <v>6</v>
      </c>
      <c r="C4" s="19">
        <f>Summary!J7</f>
        <v>934025.76466627489</v>
      </c>
      <c r="D4" s="19">
        <f>Summary!I7</f>
        <v>957906.64949211199</v>
      </c>
    </row>
    <row r="5" spans="2:4" ht="15" thickBot="1">
      <c r="B5" s="73">
        <f>Summary!G8</f>
        <v>7</v>
      </c>
      <c r="C5" s="19">
        <f>Summary!J8</f>
        <v>1104320.251392059</v>
      </c>
      <c r="D5" s="19">
        <f>Summary!I8</f>
        <v>1134590.7196334607</v>
      </c>
    </row>
    <row r="6" spans="2:4" ht="15" thickBot="1">
      <c r="B6" s="73">
        <f>Summary!G9</f>
        <v>8</v>
      </c>
      <c r="C6" s="19">
        <f>Summary!J9</f>
        <v>1274279.8597417164</v>
      </c>
      <c r="D6" s="19">
        <f>Summary!I9</f>
        <v>1312456.0296316601</v>
      </c>
    </row>
    <row r="7" spans="2:4" ht="15" thickBot="1">
      <c r="B7" s="73">
        <f>Summary!G10</f>
        <v>9</v>
      </c>
      <c r="C7" s="19">
        <f>Summary!J10</f>
        <v>1448987.9551872965</v>
      </c>
      <c r="D7" s="19">
        <f>Summary!I10</f>
        <v>1495686.2845895574</v>
      </c>
    </row>
    <row r="8" spans="2:4" ht="15" thickBot="1">
      <c r="B8" s="73">
        <f>Summary!G11</f>
        <v>10</v>
      </c>
      <c r="C8" s="19">
        <f>Summary!J11</f>
        <v>1625495.5277930291</v>
      </c>
      <c r="D8" s="19">
        <f>Summary!I11</f>
        <v>1681822.5520216748</v>
      </c>
    </row>
    <row r="9" spans="2:4" ht="15" thickBot="1">
      <c r="B9" s="73">
        <f>Summary!G12</f>
        <v>11</v>
      </c>
      <c r="C9" s="19">
        <f>Summary!J12</f>
        <v>1586467.3801707185</v>
      </c>
      <c r="D9" s="19">
        <f>Summary!I12</f>
        <v>1663305.6857239162</v>
      </c>
    </row>
    <row r="10" spans="2:4" ht="15" thickBot="1">
      <c r="B10" s="73">
        <f>Summary!G13</f>
        <v>12</v>
      </c>
      <c r="C10" s="19">
        <f>Summary!J13</f>
        <v>1610010.3577840296</v>
      </c>
      <c r="D10" s="19">
        <f>Summary!I13</f>
        <v>1696960.8466382853</v>
      </c>
    </row>
    <row r="11" spans="2:4" ht="15" thickBot="1">
      <c r="B11" s="73">
        <f>Summary!G14</f>
        <v>13</v>
      </c>
      <c r="C11" s="19">
        <f>Summary!J14</f>
        <v>1632327.8182353948</v>
      </c>
      <c r="D11" s="19">
        <f>Summary!I14</f>
        <v>1729649.997363375</v>
      </c>
    </row>
    <row r="12" spans="2:4" ht="15" thickBot="1">
      <c r="B12" s="73">
        <f>Summary!G15</f>
        <v>14</v>
      </c>
      <c r="C12" s="19">
        <f>Summary!J15</f>
        <v>1653222.0223907623</v>
      </c>
      <c r="D12" s="19">
        <f>Summary!I15</f>
        <v>1761147.2697453615</v>
      </c>
    </row>
    <row r="13" spans="2:4" ht="15" thickBot="1">
      <c r="B13" s="73">
        <f>Summary!G16</f>
        <v>15</v>
      </c>
      <c r="C13" s="19">
        <f>Summary!J16</f>
        <v>1617761.2193802076</v>
      </c>
      <c r="D13" s="19">
        <f>Summary!I16</f>
        <v>1703148.4256174685</v>
      </c>
    </row>
    <row r="14" spans="2:4" ht="15" thickBot="1">
      <c r="B14" s="73">
        <f>Summary!G17</f>
        <v>16</v>
      </c>
      <c r="C14" s="19">
        <f>Summary!J17</f>
        <v>1512914.1199794763</v>
      </c>
      <c r="D14" s="19">
        <f>Summary!I17</f>
        <v>1585787.1175123409</v>
      </c>
    </row>
    <row r="15" spans="2:4" ht="15" thickBot="1">
      <c r="B15" s="73">
        <f>Summary!G18</f>
        <v>17</v>
      </c>
      <c r="C15" s="19">
        <f>Summary!J18</f>
        <v>1467134.6085907295</v>
      </c>
      <c r="D15" s="19">
        <f>Summary!I18</f>
        <v>1517660.1266536259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1E89-70D4-47A0-984C-C062EFE373FD}">
  <sheetPr codeName="Sheet2"/>
  <dimension ref="B1:G25"/>
  <sheetViews>
    <sheetView zoomScale="84" zoomScaleNormal="84" workbookViewId="0">
      <selection activeCell="B3" sqref="B3"/>
    </sheetView>
  </sheetViews>
  <sheetFormatPr defaultColWidth="8.69140625" defaultRowHeight="14.15"/>
  <cols>
    <col min="1" max="1" width="3.3046875" style="1" customWidth="1"/>
    <col min="2" max="2" width="63.3828125" style="1" bestFit="1" customWidth="1"/>
    <col min="3" max="3" width="30.3046875" style="1" bestFit="1" customWidth="1"/>
    <col min="4" max="4" width="43.3828125" style="1" bestFit="1" customWidth="1"/>
    <col min="5" max="5" width="47.3828125" style="1" bestFit="1" customWidth="1"/>
    <col min="6" max="6" width="63.3828125" style="1" bestFit="1" customWidth="1"/>
    <col min="7" max="7" width="63.3828125" style="1" customWidth="1"/>
    <col min="8" max="8" width="130.3046875" style="1" bestFit="1" customWidth="1"/>
    <col min="9" max="9" width="54.3046875" style="1" bestFit="1" customWidth="1"/>
    <col min="10" max="10" width="43.3828125" style="1" bestFit="1" customWidth="1"/>
    <col min="11" max="11" width="42.3046875" style="1" bestFit="1" customWidth="1"/>
    <col min="12" max="16384" width="8.69140625" style="1"/>
  </cols>
  <sheetData>
    <row r="1" spans="2:7" ht="10.199999999999999" customHeight="1"/>
    <row r="2" spans="2:7" ht="22.2" customHeight="1">
      <c r="B2" s="23" t="s">
        <v>14</v>
      </c>
      <c r="C2" s="23" t="s">
        <v>84</v>
      </c>
      <c r="D2" s="23" t="s">
        <v>85</v>
      </c>
      <c r="E2" s="23" t="s">
        <v>86</v>
      </c>
      <c r="F2" s="23" t="s">
        <v>87</v>
      </c>
      <c r="G2" s="23" t="s">
        <v>88</v>
      </c>
    </row>
    <row r="3" spans="2:7">
      <c r="B3" s="22" t="s">
        <v>89</v>
      </c>
      <c r="C3" s="22" t="b">
        <v>1</v>
      </c>
      <c r="D3" s="22" t="b">
        <v>1</v>
      </c>
      <c r="E3" s="22" t="b">
        <v>0</v>
      </c>
      <c r="F3" s="22" t="b">
        <v>0</v>
      </c>
      <c r="G3" s="22" t="b">
        <v>0</v>
      </c>
    </row>
    <row r="4" spans="2:7">
      <c r="B4" s="22" t="s">
        <v>90</v>
      </c>
      <c r="C4" s="22" t="b">
        <v>1</v>
      </c>
      <c r="D4" s="22" t="b">
        <v>1</v>
      </c>
      <c r="E4" s="22" t="b">
        <v>0</v>
      </c>
      <c r="F4" s="22" t="b">
        <v>0</v>
      </c>
      <c r="G4" s="22" t="b">
        <v>0</v>
      </c>
    </row>
    <row r="5" spans="2:7">
      <c r="B5" s="22" t="s">
        <v>91</v>
      </c>
      <c r="C5" s="22" t="b">
        <v>1</v>
      </c>
      <c r="D5" s="22" t="b">
        <v>1</v>
      </c>
      <c r="E5" s="22" t="b">
        <v>0</v>
      </c>
      <c r="F5" s="22" t="b">
        <v>0</v>
      </c>
      <c r="G5" s="22" t="b">
        <v>0</v>
      </c>
    </row>
    <row r="6" spans="2:7">
      <c r="B6" s="22" t="s">
        <v>92</v>
      </c>
      <c r="C6" s="22" t="b">
        <v>0</v>
      </c>
      <c r="D6" s="22" t="b">
        <v>1</v>
      </c>
      <c r="E6" s="22" t="b">
        <v>1</v>
      </c>
      <c r="F6" s="22" t="b">
        <v>0</v>
      </c>
      <c r="G6" s="22" t="b">
        <v>0</v>
      </c>
    </row>
    <row r="7" spans="2:7">
      <c r="B7" s="22" t="s">
        <v>93</v>
      </c>
      <c r="C7" s="22" t="b">
        <v>0</v>
      </c>
      <c r="D7" s="22" t="b">
        <v>1</v>
      </c>
      <c r="E7" s="22" t="b">
        <v>1</v>
      </c>
      <c r="F7" s="22" t="b">
        <v>0</v>
      </c>
      <c r="G7" s="22" t="b">
        <v>0</v>
      </c>
    </row>
    <row r="8" spans="2:7">
      <c r="B8" s="22" t="s">
        <v>94</v>
      </c>
      <c r="C8" s="22" t="b">
        <v>0</v>
      </c>
      <c r="D8" s="22" t="b">
        <v>1</v>
      </c>
      <c r="E8" s="22" t="b">
        <v>1</v>
      </c>
      <c r="F8" s="22" t="b">
        <v>0</v>
      </c>
      <c r="G8" s="22" t="b">
        <v>0</v>
      </c>
    </row>
    <row r="9" spans="2:7">
      <c r="B9" s="22" t="s">
        <v>95</v>
      </c>
      <c r="C9" s="22" t="b">
        <v>0</v>
      </c>
      <c r="D9" s="22" t="b">
        <v>0</v>
      </c>
      <c r="E9" s="22" t="b">
        <v>0</v>
      </c>
      <c r="F9" s="22" t="b">
        <v>1</v>
      </c>
      <c r="G9" s="22" t="b">
        <v>1</v>
      </c>
    </row>
    <row r="10" spans="2:7">
      <c r="B10" s="22" t="s">
        <v>96</v>
      </c>
      <c r="C10" s="22" t="b">
        <v>0</v>
      </c>
      <c r="D10" s="22" t="b">
        <v>0</v>
      </c>
      <c r="E10" s="22" t="b">
        <v>0</v>
      </c>
      <c r="F10" s="22" t="b">
        <v>1</v>
      </c>
      <c r="G10" s="22" t="b">
        <v>1</v>
      </c>
    </row>
    <row r="11" spans="2:7">
      <c r="B11" s="22" t="s">
        <v>97</v>
      </c>
      <c r="C11" s="22" t="b">
        <v>0</v>
      </c>
      <c r="D11" s="22" t="b">
        <v>0</v>
      </c>
      <c r="E11" s="22" t="b">
        <v>0</v>
      </c>
      <c r="F11" s="22" t="b">
        <v>1</v>
      </c>
      <c r="G11" s="22" t="b">
        <v>1</v>
      </c>
    </row>
    <row r="22" spans="2:2">
      <c r="B22" s="66"/>
    </row>
    <row r="23" spans="2:2">
      <c r="B23" s="66"/>
    </row>
    <row r="24" spans="2:2">
      <c r="B24" s="66"/>
    </row>
    <row r="25" spans="2:2">
      <c r="B25" s="66"/>
    </row>
  </sheetData>
  <phoneticPr fontId="1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98842-263D-409D-A4ED-86DB3D49F434}">
  <sheetPr codeName="Sheet8"/>
  <dimension ref="A1:F102"/>
  <sheetViews>
    <sheetView zoomScale="85" zoomScaleNormal="85" workbookViewId="0"/>
  </sheetViews>
  <sheetFormatPr defaultColWidth="8.69140625" defaultRowHeight="14.6"/>
  <cols>
    <col min="1" max="1" width="14.3046875" bestFit="1" customWidth="1"/>
    <col min="2" max="2" width="16.69140625" bestFit="1" customWidth="1"/>
    <col min="3" max="4" width="23.3828125" bestFit="1" customWidth="1"/>
    <col min="6" max="6" width="8.69140625" style="87"/>
  </cols>
  <sheetData>
    <row r="1" spans="1:6" ht="15" thickBot="1">
      <c r="A1" s="21" t="s">
        <v>6</v>
      </c>
      <c r="B1" s="21" t="s">
        <v>98</v>
      </c>
      <c r="C1" s="21" t="s">
        <v>99</v>
      </c>
      <c r="D1" s="61" t="s">
        <v>100</v>
      </c>
      <c r="E1" s="86" t="s">
        <v>1219</v>
      </c>
      <c r="F1" s="87" t="s">
        <v>1220</v>
      </c>
    </row>
    <row r="2" spans="1:6" ht="15" thickBot="1">
      <c r="A2" s="21">
        <v>50</v>
      </c>
      <c r="B2" s="45">
        <v>2.7699999999999999E-2</v>
      </c>
      <c r="C2" s="45">
        <v>2.2499999999999999E-2</v>
      </c>
      <c r="D2" s="65">
        <v>1.0500000000000002E-3</v>
      </c>
      <c r="E2" s="65">
        <v>1E-3</v>
      </c>
      <c r="F2" s="88">
        <f>E2*1.05</f>
        <v>1.0500000000000002E-3</v>
      </c>
    </row>
    <row r="3" spans="1:6" ht="15" thickBot="1">
      <c r="A3" s="21">
        <v>51</v>
      </c>
      <c r="B3" s="45">
        <f t="shared" ref="B3:B34" si="0">B2+$D$2</f>
        <v>2.8749999999999998E-2</v>
      </c>
      <c r="C3" s="45">
        <v>2.4500000000000001E-2</v>
      </c>
      <c r="D3" s="65">
        <v>1.0500000000000002E-3</v>
      </c>
      <c r="E3" s="65">
        <v>1E-3</v>
      </c>
      <c r="F3" s="88">
        <f t="shared" ref="F3:F52" si="1">E3*1.05</f>
        <v>1.0500000000000002E-3</v>
      </c>
    </row>
    <row r="4" spans="1:6" ht="15" thickBot="1">
      <c r="A4" s="21">
        <v>52</v>
      </c>
      <c r="B4" s="45">
        <f t="shared" si="0"/>
        <v>2.9799999999999997E-2</v>
      </c>
      <c r="C4" s="45">
        <v>2.5500000000000002E-2</v>
      </c>
      <c r="D4" s="65">
        <v>1.0500000000000002E-3</v>
      </c>
      <c r="E4" s="65">
        <v>1E-3</v>
      </c>
      <c r="F4" s="88">
        <f t="shared" si="1"/>
        <v>1.0500000000000002E-3</v>
      </c>
    </row>
    <row r="5" spans="1:6" ht="15" thickBot="1">
      <c r="A5" s="21">
        <v>53</v>
      </c>
      <c r="B5" s="45">
        <f t="shared" si="0"/>
        <v>3.0849999999999995E-2</v>
      </c>
      <c r="C5" s="45">
        <v>2.6500000000000003E-2</v>
      </c>
      <c r="D5" s="65">
        <v>1.0500000000000002E-3</v>
      </c>
      <c r="E5" s="65">
        <v>1E-3</v>
      </c>
      <c r="F5" s="88">
        <f t="shared" si="1"/>
        <v>1.0500000000000002E-3</v>
      </c>
    </row>
    <row r="6" spans="1:6" ht="15" thickBot="1">
      <c r="A6" s="21">
        <v>54</v>
      </c>
      <c r="B6" s="45">
        <f t="shared" si="0"/>
        <v>3.1899999999999998E-2</v>
      </c>
      <c r="C6" s="45">
        <v>2.7500000000000004E-2</v>
      </c>
      <c r="D6" s="65">
        <v>1.0500000000000002E-3</v>
      </c>
      <c r="E6" s="65">
        <v>1E-3</v>
      </c>
      <c r="F6" s="88">
        <f t="shared" si="1"/>
        <v>1.0500000000000002E-3</v>
      </c>
    </row>
    <row r="7" spans="1:6" ht="15" thickBot="1">
      <c r="A7" s="21">
        <v>55</v>
      </c>
      <c r="B7" s="45">
        <f t="shared" si="0"/>
        <v>3.295E-2</v>
      </c>
      <c r="C7" s="45">
        <v>2.8500000000000004E-2</v>
      </c>
      <c r="D7" s="65">
        <v>1.0500000000000002E-3</v>
      </c>
      <c r="E7" s="65">
        <v>1E-3</v>
      </c>
      <c r="F7" s="88">
        <f t="shared" si="1"/>
        <v>1.0500000000000002E-3</v>
      </c>
    </row>
    <row r="8" spans="1:6" ht="15" thickBot="1">
      <c r="A8" s="21">
        <v>56</v>
      </c>
      <c r="B8" s="45">
        <f t="shared" si="0"/>
        <v>3.4000000000000002E-2</v>
      </c>
      <c r="C8" s="45">
        <v>2.9500000000000005E-2</v>
      </c>
      <c r="D8" s="65">
        <v>1.1550000000000002E-3</v>
      </c>
      <c r="E8" s="65">
        <v>1.1000000000000001E-3</v>
      </c>
      <c r="F8" s="88">
        <f t="shared" si="1"/>
        <v>1.1550000000000002E-3</v>
      </c>
    </row>
    <row r="9" spans="1:6" ht="15" thickBot="1">
      <c r="A9" s="21">
        <v>57</v>
      </c>
      <c r="B9" s="45">
        <f t="shared" si="0"/>
        <v>3.5050000000000005E-2</v>
      </c>
      <c r="C9" s="45">
        <v>3.0600000000000006E-2</v>
      </c>
      <c r="D9" s="65">
        <v>1.2600000000000003E-3</v>
      </c>
      <c r="E9" s="65">
        <v>1.2000000000000001E-3</v>
      </c>
      <c r="F9" s="88">
        <f t="shared" si="1"/>
        <v>1.2600000000000003E-3</v>
      </c>
    </row>
    <row r="10" spans="1:6" ht="15" thickBot="1">
      <c r="A10" s="21">
        <v>58</v>
      </c>
      <c r="B10" s="45">
        <f t="shared" si="0"/>
        <v>3.6100000000000007E-2</v>
      </c>
      <c r="C10" s="45">
        <v>3.1700000000000006E-2</v>
      </c>
      <c r="D10" s="65">
        <v>1.3650000000000003E-3</v>
      </c>
      <c r="E10" s="65">
        <v>1.3000000000000002E-3</v>
      </c>
      <c r="F10" s="88">
        <f t="shared" si="1"/>
        <v>1.3650000000000003E-3</v>
      </c>
    </row>
    <row r="11" spans="1:6" ht="15" thickBot="1">
      <c r="A11" s="21">
        <v>59</v>
      </c>
      <c r="B11" s="45">
        <f t="shared" si="0"/>
        <v>3.7150000000000009E-2</v>
      </c>
      <c r="C11" s="45">
        <v>3.280000000000001E-2</v>
      </c>
      <c r="D11" s="65">
        <v>1.4700000000000002E-3</v>
      </c>
      <c r="E11" s="65">
        <v>1.4000000000000002E-3</v>
      </c>
      <c r="F11" s="88">
        <f t="shared" si="1"/>
        <v>1.4700000000000002E-3</v>
      </c>
    </row>
    <row r="12" spans="1:6" ht="15" thickBot="1">
      <c r="A12" s="21">
        <v>60</v>
      </c>
      <c r="B12" s="45">
        <f t="shared" si="0"/>
        <v>3.8200000000000012E-2</v>
      </c>
      <c r="C12" s="45">
        <v>3.3900000000000007E-2</v>
      </c>
      <c r="D12" s="65">
        <v>1.5750000000000002E-3</v>
      </c>
      <c r="E12" s="65">
        <v>1.5000000000000002E-3</v>
      </c>
      <c r="F12" s="88">
        <f t="shared" si="1"/>
        <v>1.5750000000000002E-3</v>
      </c>
    </row>
    <row r="13" spans="1:6" ht="15" thickBot="1">
      <c r="A13" s="21">
        <v>61</v>
      </c>
      <c r="B13" s="45">
        <f t="shared" si="0"/>
        <v>3.9250000000000014E-2</v>
      </c>
      <c r="C13" s="45">
        <v>3.500000000000001E-2</v>
      </c>
      <c r="D13" s="65">
        <v>1.6800000000000003E-3</v>
      </c>
      <c r="E13" s="65">
        <v>1.6000000000000003E-3</v>
      </c>
      <c r="F13" s="88">
        <f t="shared" si="1"/>
        <v>1.6800000000000003E-3</v>
      </c>
    </row>
    <row r="14" spans="1:6" ht="15" thickBot="1">
      <c r="A14" s="21">
        <v>62</v>
      </c>
      <c r="B14" s="45">
        <f t="shared" si="0"/>
        <v>4.0300000000000016E-2</v>
      </c>
      <c r="C14" s="45">
        <v>3.6100000000000007E-2</v>
      </c>
      <c r="D14" s="65">
        <v>1.7850000000000003E-3</v>
      </c>
      <c r="E14" s="65">
        <v>1.7000000000000003E-3</v>
      </c>
      <c r="F14" s="88">
        <f t="shared" si="1"/>
        <v>1.7850000000000003E-3</v>
      </c>
    </row>
    <row r="15" spans="1:6" ht="15" thickBot="1">
      <c r="A15" s="21">
        <v>63</v>
      </c>
      <c r="B15" s="45">
        <f t="shared" si="0"/>
        <v>4.1350000000000019E-2</v>
      </c>
      <c r="C15" s="45">
        <v>3.7200000000000011E-2</v>
      </c>
      <c r="D15" s="65">
        <v>1.8900000000000004E-3</v>
      </c>
      <c r="E15" s="65">
        <v>1.8000000000000004E-3</v>
      </c>
      <c r="F15" s="88">
        <f t="shared" si="1"/>
        <v>1.8900000000000004E-3</v>
      </c>
    </row>
    <row r="16" spans="1:6" ht="15" thickBot="1">
      <c r="A16" s="21">
        <v>64</v>
      </c>
      <c r="B16" s="45">
        <f t="shared" si="0"/>
        <v>4.2400000000000021E-2</v>
      </c>
      <c r="C16" s="45">
        <v>3.8300000000000015E-2</v>
      </c>
      <c r="D16" s="65">
        <v>1.9950000000000007E-3</v>
      </c>
      <c r="E16" s="65">
        <v>1.9000000000000004E-3</v>
      </c>
      <c r="F16" s="88">
        <f t="shared" si="1"/>
        <v>1.9950000000000007E-3</v>
      </c>
    </row>
    <row r="17" spans="1:6" ht="15" thickBot="1">
      <c r="A17" s="21">
        <v>65</v>
      </c>
      <c r="B17" s="45">
        <f t="shared" si="0"/>
        <v>4.3450000000000023E-2</v>
      </c>
      <c r="C17" s="45">
        <v>3.9400000000000011E-2</v>
      </c>
      <c r="D17" s="65">
        <v>2.1000000000000007E-3</v>
      </c>
      <c r="E17" s="65">
        <v>2.0000000000000005E-3</v>
      </c>
      <c r="F17" s="88">
        <f t="shared" si="1"/>
        <v>2.1000000000000007E-3</v>
      </c>
    </row>
    <row r="18" spans="1:6" ht="15" thickBot="1">
      <c r="A18" s="21">
        <v>66</v>
      </c>
      <c r="B18" s="45">
        <f t="shared" si="0"/>
        <v>4.4500000000000026E-2</v>
      </c>
      <c r="C18" s="45">
        <v>4.0500000000000015E-2</v>
      </c>
      <c r="D18" s="65">
        <v>2.2050000000000004E-3</v>
      </c>
      <c r="E18" s="65">
        <v>2.1000000000000003E-3</v>
      </c>
      <c r="F18" s="88">
        <f t="shared" si="1"/>
        <v>2.2050000000000004E-3</v>
      </c>
    </row>
    <row r="19" spans="1:6" ht="15" thickBot="1">
      <c r="A19" s="21">
        <v>67</v>
      </c>
      <c r="B19" s="45">
        <f t="shared" si="0"/>
        <v>4.5550000000000028E-2</v>
      </c>
      <c r="C19" s="45">
        <v>4.1600000000000012E-2</v>
      </c>
      <c r="D19" s="65">
        <v>2.3100000000000004E-3</v>
      </c>
      <c r="E19" s="65">
        <v>2.2000000000000001E-3</v>
      </c>
      <c r="F19" s="88">
        <f t="shared" si="1"/>
        <v>2.3100000000000004E-3</v>
      </c>
    </row>
    <row r="20" spans="1:6" ht="15" thickBot="1">
      <c r="A20" s="21">
        <v>68</v>
      </c>
      <c r="B20" s="45">
        <f t="shared" si="0"/>
        <v>4.660000000000003E-2</v>
      </c>
      <c r="C20" s="45">
        <v>4.2700000000000016E-2</v>
      </c>
      <c r="D20" s="65">
        <v>2.415E-3</v>
      </c>
      <c r="E20" s="65">
        <v>2.3E-3</v>
      </c>
      <c r="F20" s="88">
        <f t="shared" si="1"/>
        <v>2.415E-3</v>
      </c>
    </row>
    <row r="21" spans="1:6" ht="15" thickBot="1">
      <c r="A21" s="21">
        <v>69</v>
      </c>
      <c r="B21" s="45">
        <f t="shared" si="0"/>
        <v>4.7650000000000033E-2</v>
      </c>
      <c r="C21" s="45">
        <v>4.3800000000000019E-2</v>
      </c>
      <c r="D21" s="65">
        <v>2.5199999999999997E-3</v>
      </c>
      <c r="E21" s="65">
        <v>2.3999999999999998E-3</v>
      </c>
      <c r="F21" s="88">
        <f t="shared" si="1"/>
        <v>2.5199999999999997E-3</v>
      </c>
    </row>
    <row r="22" spans="1:6" ht="15" thickBot="1">
      <c r="A22" s="21">
        <v>70</v>
      </c>
      <c r="B22" s="45">
        <f t="shared" si="0"/>
        <v>4.8700000000000035E-2</v>
      </c>
      <c r="C22" s="45">
        <v>4.4900000000000016E-2</v>
      </c>
      <c r="D22" s="65">
        <v>2.6249999999999997E-3</v>
      </c>
      <c r="E22" s="65">
        <v>2.4999999999999996E-3</v>
      </c>
      <c r="F22" s="88">
        <f t="shared" si="1"/>
        <v>2.6249999999999997E-3</v>
      </c>
    </row>
    <row r="23" spans="1:6" ht="15" thickBot="1">
      <c r="A23" s="21">
        <v>71</v>
      </c>
      <c r="B23" s="45">
        <f t="shared" si="0"/>
        <v>4.9750000000000037E-2</v>
      </c>
      <c r="C23" s="45">
        <v>4.600000000000002E-2</v>
      </c>
      <c r="D23" s="65">
        <v>2.7299999999999994E-3</v>
      </c>
      <c r="E23" s="65">
        <v>2.5999999999999994E-3</v>
      </c>
      <c r="F23" s="88">
        <f t="shared" si="1"/>
        <v>2.7299999999999994E-3</v>
      </c>
    </row>
    <row r="24" spans="1:6" ht="15" thickBot="1">
      <c r="A24" s="21">
        <v>72</v>
      </c>
      <c r="B24" s="45">
        <f t="shared" si="0"/>
        <v>5.080000000000004E-2</v>
      </c>
      <c r="C24" s="45">
        <v>4.7100000000000017E-2</v>
      </c>
      <c r="D24" s="65">
        <v>2.8349999999999994E-3</v>
      </c>
      <c r="E24" s="65">
        <v>2.6999999999999993E-3</v>
      </c>
      <c r="F24" s="88">
        <f t="shared" si="1"/>
        <v>2.8349999999999994E-3</v>
      </c>
    </row>
    <row r="25" spans="1:6" ht="15" thickBot="1">
      <c r="A25" s="21">
        <v>73</v>
      </c>
      <c r="B25" s="45">
        <f t="shared" si="0"/>
        <v>5.1850000000000042E-2</v>
      </c>
      <c r="C25" s="45">
        <v>4.8200000000000021E-2</v>
      </c>
      <c r="D25" s="65">
        <v>2.939999999999999E-3</v>
      </c>
      <c r="E25" s="65">
        <v>2.7999999999999991E-3</v>
      </c>
      <c r="F25" s="88">
        <f t="shared" si="1"/>
        <v>2.939999999999999E-3</v>
      </c>
    </row>
    <row r="26" spans="1:6" ht="15" thickBot="1">
      <c r="A26" s="21">
        <v>74</v>
      </c>
      <c r="B26" s="45">
        <f t="shared" si="0"/>
        <v>5.2900000000000044E-2</v>
      </c>
      <c r="C26" s="45">
        <v>4.9300000000000017E-2</v>
      </c>
      <c r="D26" s="65">
        <v>3.0449999999999991E-3</v>
      </c>
      <c r="E26" s="65">
        <v>2.8999999999999989E-3</v>
      </c>
      <c r="F26" s="88">
        <f t="shared" si="1"/>
        <v>3.0449999999999991E-3</v>
      </c>
    </row>
    <row r="27" spans="1:6" ht="15" thickBot="1">
      <c r="A27" s="21">
        <v>75</v>
      </c>
      <c r="B27" s="45">
        <f t="shared" si="0"/>
        <v>5.3950000000000047E-2</v>
      </c>
      <c r="C27" s="45">
        <v>5.0400000000000021E-2</v>
      </c>
      <c r="D27" s="65">
        <v>3.1499999999999987E-3</v>
      </c>
      <c r="E27" s="65">
        <v>2.9999999999999988E-3</v>
      </c>
      <c r="F27" s="88">
        <f t="shared" si="1"/>
        <v>3.1499999999999987E-3</v>
      </c>
    </row>
    <row r="28" spans="1:6" ht="15" thickBot="1">
      <c r="A28" s="21">
        <v>76</v>
      </c>
      <c r="B28" s="45">
        <f t="shared" si="0"/>
        <v>5.5000000000000049E-2</v>
      </c>
      <c r="C28" s="45">
        <v>5.1500000000000018E-2</v>
      </c>
      <c r="D28" s="65">
        <v>3.2549999999999988E-3</v>
      </c>
      <c r="E28" s="65">
        <v>3.0999999999999986E-3</v>
      </c>
      <c r="F28" s="88">
        <f t="shared" si="1"/>
        <v>3.2549999999999988E-3</v>
      </c>
    </row>
    <row r="29" spans="1:6" ht="15" thickBot="1">
      <c r="A29" s="21">
        <v>77</v>
      </c>
      <c r="B29" s="45">
        <f t="shared" si="0"/>
        <v>5.6050000000000051E-2</v>
      </c>
      <c r="C29" s="45">
        <v>5.2600000000000022E-2</v>
      </c>
      <c r="D29" s="65">
        <v>3.3599999999999984E-3</v>
      </c>
      <c r="E29" s="65">
        <v>3.1999999999999984E-3</v>
      </c>
      <c r="F29" s="88">
        <f t="shared" si="1"/>
        <v>3.3599999999999984E-3</v>
      </c>
    </row>
    <row r="30" spans="1:6" ht="15" thickBot="1">
      <c r="A30" s="21">
        <v>78</v>
      </c>
      <c r="B30" s="45">
        <f t="shared" si="0"/>
        <v>5.7100000000000053E-2</v>
      </c>
      <c r="C30" s="45">
        <v>5.3700000000000025E-2</v>
      </c>
      <c r="D30" s="65">
        <v>3.4649999999999985E-3</v>
      </c>
      <c r="E30" s="65">
        <v>3.2999999999999982E-3</v>
      </c>
      <c r="F30" s="88">
        <f t="shared" si="1"/>
        <v>3.4649999999999985E-3</v>
      </c>
    </row>
    <row r="31" spans="1:6" ht="15" thickBot="1">
      <c r="A31" s="21">
        <v>79</v>
      </c>
      <c r="B31" s="45">
        <f t="shared" si="0"/>
        <v>5.8150000000000056E-2</v>
      </c>
      <c r="C31" s="45">
        <v>5.4800000000000022E-2</v>
      </c>
      <c r="D31" s="65">
        <v>3.5699999999999981E-3</v>
      </c>
      <c r="E31" s="65">
        <v>3.3999999999999981E-3</v>
      </c>
      <c r="F31" s="88">
        <f t="shared" si="1"/>
        <v>3.5699999999999981E-3</v>
      </c>
    </row>
    <row r="32" spans="1:6" ht="15" thickBot="1">
      <c r="A32" s="21">
        <v>80</v>
      </c>
      <c r="B32" s="45">
        <f t="shared" si="0"/>
        <v>5.9200000000000058E-2</v>
      </c>
      <c r="C32" s="45">
        <v>5.5900000000000026E-2</v>
      </c>
      <c r="D32" s="65">
        <v>3.6749999999999981E-3</v>
      </c>
      <c r="E32" s="65">
        <v>3.4999999999999979E-3</v>
      </c>
      <c r="F32" s="88">
        <f t="shared" si="1"/>
        <v>3.6749999999999981E-3</v>
      </c>
    </row>
    <row r="33" spans="1:6" ht="15" thickBot="1">
      <c r="A33" s="21">
        <v>81</v>
      </c>
      <c r="B33" s="45">
        <f t="shared" si="0"/>
        <v>6.025000000000006E-2</v>
      </c>
      <c r="C33" s="45">
        <v>5.7000000000000023E-2</v>
      </c>
      <c r="D33" s="65">
        <v>3.7799999999999978E-3</v>
      </c>
      <c r="E33" s="65">
        <v>3.5999999999999977E-3</v>
      </c>
      <c r="F33" s="88">
        <f t="shared" si="1"/>
        <v>3.7799999999999978E-3</v>
      </c>
    </row>
    <row r="34" spans="1:6" ht="15" thickBot="1">
      <c r="A34" s="21">
        <v>82</v>
      </c>
      <c r="B34" s="45">
        <f t="shared" si="0"/>
        <v>6.1300000000000063E-2</v>
      </c>
      <c r="C34" s="45">
        <v>5.8100000000000027E-2</v>
      </c>
      <c r="D34" s="65">
        <v>3.8849999999999974E-3</v>
      </c>
      <c r="E34" s="65">
        <v>3.6999999999999976E-3</v>
      </c>
      <c r="F34" s="88">
        <f t="shared" si="1"/>
        <v>3.8849999999999974E-3</v>
      </c>
    </row>
    <row r="35" spans="1:6" ht="15" thickBot="1">
      <c r="A35" s="21">
        <v>83</v>
      </c>
      <c r="B35" s="45">
        <f t="shared" ref="B35:B52" si="2">B34+$D$2</f>
        <v>6.2350000000000065E-2</v>
      </c>
      <c r="C35" s="45">
        <v>5.9200000000000023E-2</v>
      </c>
      <c r="D35" s="65">
        <v>3.989999999999997E-3</v>
      </c>
      <c r="E35" s="65">
        <v>3.7999999999999974E-3</v>
      </c>
      <c r="F35" s="88">
        <f t="shared" si="1"/>
        <v>3.989999999999997E-3</v>
      </c>
    </row>
    <row r="36" spans="1:6" ht="15" thickBot="1">
      <c r="A36" s="21">
        <v>84</v>
      </c>
      <c r="B36" s="45">
        <f t="shared" si="2"/>
        <v>6.3400000000000067E-2</v>
      </c>
      <c r="C36" s="45">
        <v>6.0300000000000027E-2</v>
      </c>
      <c r="D36" s="65">
        <v>4.0949999999999971E-3</v>
      </c>
      <c r="E36" s="65">
        <v>3.8999999999999972E-3</v>
      </c>
      <c r="F36" s="88">
        <f t="shared" si="1"/>
        <v>4.0949999999999971E-3</v>
      </c>
    </row>
    <row r="37" spans="1:6" ht="15" thickBot="1">
      <c r="A37" s="21">
        <v>85</v>
      </c>
      <c r="B37" s="45">
        <f t="shared" si="2"/>
        <v>6.4450000000000063E-2</v>
      </c>
      <c r="C37" s="45">
        <v>6.1400000000000024E-2</v>
      </c>
      <c r="D37" s="65">
        <v>4.1999999999999971E-3</v>
      </c>
      <c r="E37" s="65">
        <v>3.9999999999999975E-3</v>
      </c>
      <c r="F37" s="88">
        <f t="shared" si="1"/>
        <v>4.1999999999999971E-3</v>
      </c>
    </row>
    <row r="38" spans="1:6" ht="15" thickBot="1">
      <c r="A38" s="21">
        <v>86</v>
      </c>
      <c r="B38" s="45">
        <f t="shared" si="2"/>
        <v>6.5500000000000058E-2</v>
      </c>
      <c r="C38" s="45">
        <v>6.2500000000000028E-2</v>
      </c>
      <c r="D38" s="65">
        <v>4.3049999999999981E-3</v>
      </c>
      <c r="E38" s="65">
        <v>4.0999999999999977E-3</v>
      </c>
      <c r="F38" s="88">
        <f t="shared" si="1"/>
        <v>4.3049999999999981E-3</v>
      </c>
    </row>
    <row r="39" spans="1:6" ht="15" thickBot="1">
      <c r="A39" s="21">
        <v>87</v>
      </c>
      <c r="B39" s="45">
        <f t="shared" si="2"/>
        <v>6.6550000000000054E-2</v>
      </c>
      <c r="C39" s="45">
        <v>6.3600000000000032E-2</v>
      </c>
      <c r="D39" s="65">
        <v>4.4099999999999981E-3</v>
      </c>
      <c r="E39" s="65">
        <v>4.199999999999998E-3</v>
      </c>
      <c r="F39" s="88">
        <f t="shared" si="1"/>
        <v>4.4099999999999981E-3</v>
      </c>
    </row>
    <row r="40" spans="1:6" ht="15" thickBot="1">
      <c r="A40" s="21">
        <v>88</v>
      </c>
      <c r="B40" s="45">
        <f t="shared" si="2"/>
        <v>6.7600000000000049E-2</v>
      </c>
      <c r="C40" s="45">
        <v>6.4700000000000035E-2</v>
      </c>
      <c r="D40" s="65">
        <v>4.5149999999999982E-3</v>
      </c>
      <c r="E40" s="65">
        <v>4.2999999999999983E-3</v>
      </c>
      <c r="F40" s="88">
        <f t="shared" si="1"/>
        <v>4.5149999999999982E-3</v>
      </c>
    </row>
    <row r="41" spans="1:6" ht="15" thickBot="1">
      <c r="A41" s="21">
        <v>89</v>
      </c>
      <c r="B41" s="45">
        <f t="shared" si="2"/>
        <v>6.8650000000000044E-2</v>
      </c>
      <c r="C41" s="45">
        <v>6.5800000000000025E-2</v>
      </c>
      <c r="D41" s="65">
        <v>4.6199999999999982E-3</v>
      </c>
      <c r="E41" s="65">
        <v>4.3999999999999985E-3</v>
      </c>
      <c r="F41" s="88">
        <f t="shared" si="1"/>
        <v>4.6199999999999982E-3</v>
      </c>
    </row>
    <row r="42" spans="1:6" ht="15" thickBot="1">
      <c r="A42" s="21">
        <v>90</v>
      </c>
      <c r="B42" s="45">
        <f t="shared" si="2"/>
        <v>6.970000000000004E-2</v>
      </c>
      <c r="C42" s="45">
        <v>6.6900000000000029E-2</v>
      </c>
      <c r="D42" s="65">
        <v>4.7249999999999992E-3</v>
      </c>
      <c r="E42" s="65">
        <v>4.4999999999999988E-3</v>
      </c>
      <c r="F42" s="88">
        <f t="shared" si="1"/>
        <v>4.7249999999999992E-3</v>
      </c>
    </row>
    <row r="43" spans="1:6" ht="15" thickBot="1">
      <c r="A43" s="21">
        <v>91</v>
      </c>
      <c r="B43" s="45">
        <f t="shared" si="2"/>
        <v>7.0750000000000035E-2</v>
      </c>
      <c r="C43" s="45">
        <v>6.8000000000000033E-2</v>
      </c>
      <c r="D43" s="65">
        <v>4.8299999999999992E-3</v>
      </c>
      <c r="E43" s="65">
        <v>4.5999999999999991E-3</v>
      </c>
      <c r="F43" s="88">
        <f t="shared" si="1"/>
        <v>4.8299999999999992E-3</v>
      </c>
    </row>
    <row r="44" spans="1:6" ht="15" thickBot="1">
      <c r="A44" s="21">
        <v>92</v>
      </c>
      <c r="B44" s="45">
        <f t="shared" si="2"/>
        <v>7.180000000000003E-2</v>
      </c>
      <c r="C44" s="45">
        <v>6.9100000000000023E-2</v>
      </c>
      <c r="D44" s="65">
        <v>4.9349999999999993E-3</v>
      </c>
      <c r="E44" s="65">
        <v>4.6999999999999993E-3</v>
      </c>
      <c r="F44" s="88">
        <f t="shared" si="1"/>
        <v>4.9349999999999993E-3</v>
      </c>
    </row>
    <row r="45" spans="1:6" ht="15" thickBot="1">
      <c r="A45" s="21">
        <v>93</v>
      </c>
      <c r="B45" s="45">
        <f t="shared" si="2"/>
        <v>7.2850000000000026E-2</v>
      </c>
      <c r="C45" s="45">
        <v>7.0200000000000026E-2</v>
      </c>
      <c r="D45" s="65">
        <v>5.0399999999999993E-3</v>
      </c>
      <c r="E45" s="65">
        <v>4.7999999999999996E-3</v>
      </c>
      <c r="F45" s="88">
        <f t="shared" si="1"/>
        <v>5.0399999999999993E-3</v>
      </c>
    </row>
    <row r="46" spans="1:6" ht="15" thickBot="1">
      <c r="A46" s="21">
        <v>94</v>
      </c>
      <c r="B46" s="45">
        <f t="shared" si="2"/>
        <v>7.3900000000000021E-2</v>
      </c>
      <c r="C46" s="45">
        <v>7.130000000000003E-2</v>
      </c>
      <c r="D46" s="65">
        <v>5.1450000000000003E-3</v>
      </c>
      <c r="E46" s="65">
        <v>4.8999999999999998E-3</v>
      </c>
      <c r="F46" s="88">
        <f t="shared" si="1"/>
        <v>5.1450000000000003E-3</v>
      </c>
    </row>
    <row r="47" spans="1:6" ht="15" thickBot="1">
      <c r="A47" s="21">
        <v>95</v>
      </c>
      <c r="B47" s="45">
        <f t="shared" si="2"/>
        <v>7.4950000000000017E-2</v>
      </c>
      <c r="C47" s="45">
        <v>7.2400000000000034E-2</v>
      </c>
      <c r="D47" s="65">
        <v>5.2500000000000003E-3</v>
      </c>
      <c r="E47" s="65">
        <v>5.0000000000000001E-3</v>
      </c>
      <c r="F47" s="88">
        <f t="shared" si="1"/>
        <v>5.2500000000000003E-3</v>
      </c>
    </row>
    <row r="48" spans="1:6" ht="15" thickBot="1">
      <c r="A48" s="21">
        <v>96</v>
      </c>
      <c r="B48" s="45">
        <f t="shared" si="2"/>
        <v>7.6000000000000012E-2</v>
      </c>
      <c r="C48" s="45">
        <v>7.3500000000000038E-2</v>
      </c>
      <c r="D48" s="65">
        <v>5.3550000000000004E-3</v>
      </c>
      <c r="E48" s="65">
        <v>5.1000000000000004E-3</v>
      </c>
      <c r="F48" s="88">
        <f t="shared" si="1"/>
        <v>5.3550000000000004E-3</v>
      </c>
    </row>
    <row r="49" spans="1:6" ht="15" thickBot="1">
      <c r="A49" s="21">
        <v>97</v>
      </c>
      <c r="B49" s="45">
        <f t="shared" si="2"/>
        <v>7.7050000000000007E-2</v>
      </c>
      <c r="C49" s="45">
        <v>7.4600000000000027E-2</v>
      </c>
      <c r="D49" s="65">
        <v>5.4600000000000013E-3</v>
      </c>
      <c r="E49" s="65">
        <v>5.2000000000000006E-3</v>
      </c>
      <c r="F49" s="88">
        <f t="shared" si="1"/>
        <v>5.4600000000000013E-3</v>
      </c>
    </row>
    <row r="50" spans="1:6" ht="15" thickBot="1">
      <c r="A50" s="21">
        <v>98</v>
      </c>
      <c r="B50" s="45">
        <f t="shared" si="2"/>
        <v>7.8100000000000003E-2</v>
      </c>
      <c r="C50" s="45">
        <v>7.5700000000000031E-2</v>
      </c>
      <c r="D50" s="65">
        <v>5.5650000000000014E-3</v>
      </c>
      <c r="E50" s="65">
        <v>5.3000000000000009E-3</v>
      </c>
      <c r="F50" s="88">
        <f t="shared" si="1"/>
        <v>5.5650000000000014E-3</v>
      </c>
    </row>
    <row r="51" spans="1:6" ht="15" thickBot="1">
      <c r="A51" s="21">
        <v>99</v>
      </c>
      <c r="B51" s="45">
        <f t="shared" si="2"/>
        <v>7.9149999999999998E-2</v>
      </c>
      <c r="C51" s="45">
        <v>7.6800000000000035E-2</v>
      </c>
      <c r="D51" s="65">
        <v>5.6700000000000014E-3</v>
      </c>
      <c r="E51" s="65">
        <v>5.4000000000000012E-3</v>
      </c>
      <c r="F51" s="88">
        <f t="shared" si="1"/>
        <v>5.6700000000000014E-3</v>
      </c>
    </row>
    <row r="52" spans="1:6" ht="15" thickBot="1">
      <c r="A52" s="21">
        <v>100</v>
      </c>
      <c r="B52" s="45">
        <f t="shared" si="2"/>
        <v>8.0199999999999994E-2</v>
      </c>
      <c r="C52" s="45">
        <v>7.7900000000000039E-2</v>
      </c>
      <c r="D52" s="65">
        <v>5.7750000000000015E-3</v>
      </c>
      <c r="E52" s="65">
        <v>5.5000000000000014E-3</v>
      </c>
      <c r="F52" s="88">
        <f t="shared" si="1"/>
        <v>5.7750000000000015E-3</v>
      </c>
    </row>
    <row r="53" spans="1:6">
      <c r="E53" s="65"/>
      <c r="F53" s="88"/>
    </row>
    <row r="54" spans="1:6">
      <c r="E54" s="65"/>
      <c r="F54" s="88"/>
    </row>
    <row r="55" spans="1:6">
      <c r="E55" s="65"/>
      <c r="F55" s="88"/>
    </row>
    <row r="56" spans="1:6">
      <c r="E56" s="65"/>
      <c r="F56" s="88"/>
    </row>
    <row r="57" spans="1:6">
      <c r="E57" s="65"/>
      <c r="F57" s="88"/>
    </row>
    <row r="58" spans="1:6">
      <c r="E58" s="65"/>
      <c r="F58" s="88"/>
    </row>
    <row r="59" spans="1:6">
      <c r="E59" s="65"/>
      <c r="F59" s="88"/>
    </row>
    <row r="60" spans="1:6">
      <c r="E60" s="65"/>
      <c r="F60" s="88"/>
    </row>
    <row r="61" spans="1:6">
      <c r="E61" s="65"/>
      <c r="F61" s="88"/>
    </row>
    <row r="62" spans="1:6">
      <c r="E62" s="65"/>
      <c r="F62" s="88"/>
    </row>
    <row r="63" spans="1:6">
      <c r="E63" s="65"/>
      <c r="F63" s="88"/>
    </row>
    <row r="64" spans="1:6">
      <c r="E64" s="65"/>
      <c r="F64" s="88"/>
    </row>
    <row r="65" spans="5:6">
      <c r="E65" s="65"/>
      <c r="F65" s="88"/>
    </row>
    <row r="66" spans="5:6">
      <c r="E66" s="65"/>
      <c r="F66" s="88"/>
    </row>
    <row r="67" spans="5:6">
      <c r="E67" s="65"/>
      <c r="F67" s="88"/>
    </row>
    <row r="68" spans="5:6">
      <c r="E68" s="65"/>
      <c r="F68" s="88"/>
    </row>
    <row r="69" spans="5:6">
      <c r="E69" s="65"/>
      <c r="F69" s="88"/>
    </row>
    <row r="70" spans="5:6">
      <c r="E70" s="65"/>
      <c r="F70" s="88"/>
    </row>
    <row r="71" spans="5:6">
      <c r="E71" s="65"/>
      <c r="F71" s="88"/>
    </row>
    <row r="72" spans="5:6">
      <c r="E72" s="65"/>
      <c r="F72" s="88"/>
    </row>
    <row r="73" spans="5:6">
      <c r="E73" s="65"/>
      <c r="F73" s="88"/>
    </row>
    <row r="74" spans="5:6">
      <c r="E74" s="65"/>
      <c r="F74" s="88"/>
    </row>
    <row r="75" spans="5:6">
      <c r="E75" s="65"/>
      <c r="F75" s="88"/>
    </row>
    <row r="76" spans="5:6">
      <c r="E76" s="65"/>
      <c r="F76" s="88"/>
    </row>
    <row r="77" spans="5:6">
      <c r="E77" s="65"/>
      <c r="F77" s="88"/>
    </row>
    <row r="78" spans="5:6">
      <c r="E78" s="65"/>
      <c r="F78" s="88"/>
    </row>
    <row r="79" spans="5:6">
      <c r="E79" s="65"/>
      <c r="F79" s="88"/>
    </row>
    <row r="80" spans="5:6">
      <c r="E80" s="65"/>
      <c r="F80" s="88"/>
    </row>
    <row r="81" spans="5:6">
      <c r="E81" s="65"/>
      <c r="F81" s="88"/>
    </row>
    <row r="82" spans="5:6">
      <c r="E82" s="65"/>
      <c r="F82" s="88"/>
    </row>
    <row r="83" spans="5:6">
      <c r="E83" s="65"/>
      <c r="F83" s="88"/>
    </row>
    <row r="84" spans="5:6">
      <c r="E84" s="65"/>
      <c r="F84" s="88"/>
    </row>
    <row r="85" spans="5:6">
      <c r="E85" s="65"/>
      <c r="F85" s="88"/>
    </row>
    <row r="86" spans="5:6">
      <c r="E86" s="65"/>
      <c r="F86" s="88"/>
    </row>
    <row r="87" spans="5:6">
      <c r="E87" s="65"/>
      <c r="F87" s="88"/>
    </row>
    <row r="88" spans="5:6">
      <c r="E88" s="65"/>
      <c r="F88" s="88"/>
    </row>
    <row r="89" spans="5:6">
      <c r="E89" s="65"/>
      <c r="F89" s="88"/>
    </row>
    <row r="90" spans="5:6">
      <c r="E90" s="65"/>
      <c r="F90" s="88"/>
    </row>
    <row r="91" spans="5:6">
      <c r="E91" s="65"/>
      <c r="F91" s="88"/>
    </row>
    <row r="92" spans="5:6">
      <c r="E92" s="65"/>
      <c r="F92" s="88"/>
    </row>
    <row r="93" spans="5:6">
      <c r="E93" s="65"/>
      <c r="F93" s="88"/>
    </row>
    <row r="94" spans="5:6">
      <c r="E94" s="65"/>
      <c r="F94" s="88"/>
    </row>
    <row r="95" spans="5:6">
      <c r="E95" s="65"/>
      <c r="F95" s="88"/>
    </row>
    <row r="96" spans="5:6">
      <c r="E96" s="65"/>
      <c r="F96" s="88"/>
    </row>
    <row r="97" spans="5:6">
      <c r="E97" s="65"/>
      <c r="F97" s="88"/>
    </row>
    <row r="98" spans="5:6">
      <c r="E98" s="65"/>
      <c r="F98" s="88"/>
    </row>
    <row r="99" spans="5:6">
      <c r="E99" s="65"/>
      <c r="F99" s="88"/>
    </row>
    <row r="100" spans="5:6">
      <c r="E100" s="65"/>
      <c r="F100" s="88"/>
    </row>
    <row r="101" spans="5:6">
      <c r="E101" s="65"/>
      <c r="F101" s="88"/>
    </row>
    <row r="102" spans="5:6">
      <c r="E102" s="65"/>
      <c r="F102" s="88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0CAED-D4B6-4A17-BB82-733570725E63}">
  <sheetPr codeName="Sheet10"/>
  <dimension ref="A1:B12"/>
  <sheetViews>
    <sheetView zoomScale="90" zoomScaleNormal="90" workbookViewId="0">
      <selection activeCell="K35" sqref="K35"/>
    </sheetView>
  </sheetViews>
  <sheetFormatPr defaultColWidth="8.69140625" defaultRowHeight="14.6"/>
  <cols>
    <col min="2" max="2" width="22.3046875" bestFit="1" customWidth="1"/>
  </cols>
  <sheetData>
    <row r="1" spans="1:2" ht="15" thickBot="1">
      <c r="A1" s="21" t="s">
        <v>60</v>
      </c>
      <c r="B1" s="21" t="s">
        <v>71</v>
      </c>
    </row>
    <row r="2" spans="1:2" ht="15" thickBot="1">
      <c r="A2" s="21">
        <v>1</v>
      </c>
      <c r="B2" s="45">
        <v>0.1</v>
      </c>
    </row>
    <row r="3" spans="1:2" ht="15" thickBot="1">
      <c r="A3" s="21">
        <v>2</v>
      </c>
      <c r="B3" s="45">
        <v>0.1</v>
      </c>
    </row>
    <row r="4" spans="1:2" ht="15" thickBot="1">
      <c r="A4" s="21">
        <v>3</v>
      </c>
      <c r="B4" s="45">
        <v>0.1</v>
      </c>
    </row>
    <row r="5" spans="1:2">
      <c r="A5" s="61">
        <v>4</v>
      </c>
      <c r="B5" s="45">
        <f>B4-1.25%</f>
        <v>8.7500000000000008E-2</v>
      </c>
    </row>
    <row r="6" spans="1:2">
      <c r="A6" s="61">
        <v>5</v>
      </c>
      <c r="B6" s="45">
        <f t="shared" ref="B6:B12" si="0">B5-1.25%</f>
        <v>7.5000000000000011E-2</v>
      </c>
    </row>
    <row r="7" spans="1:2">
      <c r="A7" s="61">
        <v>6</v>
      </c>
      <c r="B7" s="45">
        <f t="shared" si="0"/>
        <v>6.2500000000000014E-2</v>
      </c>
    </row>
    <row r="8" spans="1:2">
      <c r="A8" s="61">
        <v>7</v>
      </c>
      <c r="B8" s="45">
        <f t="shared" si="0"/>
        <v>5.0000000000000017E-2</v>
      </c>
    </row>
    <row r="9" spans="1:2">
      <c r="A9" s="61">
        <v>8</v>
      </c>
      <c r="B9" s="45">
        <f t="shared" si="0"/>
        <v>3.7500000000000019E-2</v>
      </c>
    </row>
    <row r="10" spans="1:2">
      <c r="A10" s="61">
        <v>9</v>
      </c>
      <c r="B10" s="45">
        <f t="shared" si="0"/>
        <v>2.5000000000000019E-2</v>
      </c>
    </row>
    <row r="11" spans="1:2">
      <c r="A11" s="61">
        <v>10</v>
      </c>
      <c r="B11" s="45">
        <f t="shared" si="0"/>
        <v>1.2500000000000018E-2</v>
      </c>
    </row>
    <row r="12" spans="1:2">
      <c r="A12" s="61">
        <v>11</v>
      </c>
      <c r="B12" s="45">
        <f t="shared" si="0"/>
        <v>1.7347234759768071E-17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10E6E-0C7E-445C-A10C-1902D40AF006}">
  <sheetPr codeName="Sheet11"/>
  <dimension ref="A1:F102"/>
  <sheetViews>
    <sheetView tabSelected="1" zoomScale="60" zoomScaleNormal="60" workbookViewId="0">
      <selection activeCell="B2" sqref="B2:B102"/>
    </sheetView>
  </sheetViews>
  <sheetFormatPr defaultColWidth="8.69140625" defaultRowHeight="14.6"/>
  <cols>
    <col min="2" max="3" width="14.3046875" bestFit="1" customWidth="1"/>
    <col min="5" max="5" width="24.84375" customWidth="1"/>
  </cols>
  <sheetData>
    <row r="1" spans="1:6" ht="15" thickBot="1">
      <c r="A1" s="21" t="s">
        <v>6</v>
      </c>
      <c r="B1" s="21" t="s">
        <v>9</v>
      </c>
      <c r="C1" s="21" t="s">
        <v>101</v>
      </c>
      <c r="E1" s="62" t="s">
        <v>1221</v>
      </c>
      <c r="F1" s="62" t="s">
        <v>1222</v>
      </c>
    </row>
    <row r="2" spans="1:6" ht="15" thickBot="1">
      <c r="A2" s="21">
        <v>0</v>
      </c>
      <c r="B2" s="60">
        <v>2.0000000000000001E-4</v>
      </c>
      <c r="C2" s="60">
        <v>1.4999999999999999E-4</v>
      </c>
      <c r="E2" s="89">
        <v>3.0000000000000003E-4</v>
      </c>
      <c r="F2">
        <v>2.0000000000000001E-4</v>
      </c>
    </row>
    <row r="3" spans="1:6" ht="15" thickBot="1">
      <c r="A3" s="21">
        <v>1</v>
      </c>
      <c r="B3" s="60">
        <v>2.0000000000000001E-4</v>
      </c>
      <c r="C3" s="60">
        <v>1.4999999999999999E-4</v>
      </c>
      <c r="E3" s="89">
        <v>3.0000000000000003E-4</v>
      </c>
      <c r="F3">
        <v>2.0000000000000001E-4</v>
      </c>
    </row>
    <row r="4" spans="1:6" ht="15" thickBot="1">
      <c r="A4" s="21">
        <v>2</v>
      </c>
      <c r="B4" s="60">
        <v>2.0000000000000001E-4</v>
      </c>
      <c r="C4" s="60">
        <v>1.4999999999999999E-4</v>
      </c>
      <c r="E4" s="89">
        <v>3.0000000000000003E-4</v>
      </c>
      <c r="F4">
        <v>2.0000000000000001E-4</v>
      </c>
    </row>
    <row r="5" spans="1:6" ht="15" thickBot="1">
      <c r="A5" s="21">
        <v>3</v>
      </c>
      <c r="B5" s="60">
        <v>2.0000000000000001E-4</v>
      </c>
      <c r="C5" s="60">
        <v>1.4999999999999999E-4</v>
      </c>
      <c r="E5" s="89">
        <v>3.0000000000000003E-4</v>
      </c>
      <c r="F5">
        <v>2.0000000000000001E-4</v>
      </c>
    </row>
    <row r="6" spans="1:6" ht="15" thickBot="1">
      <c r="A6" s="21">
        <v>4</v>
      </c>
      <c r="B6" s="60">
        <v>2.0000000000000001E-4</v>
      </c>
      <c r="C6" s="60">
        <v>1.4999999999999999E-4</v>
      </c>
      <c r="E6" s="89">
        <v>3.0000000000000003E-4</v>
      </c>
      <c r="F6">
        <v>2.0000000000000001E-4</v>
      </c>
    </row>
    <row r="7" spans="1:6" ht="15" thickBot="1">
      <c r="A7" s="21">
        <v>5</v>
      </c>
      <c r="B7" s="60">
        <v>2.0000000000000001E-4</v>
      </c>
      <c r="C7" s="60">
        <v>1.4999999999999999E-4</v>
      </c>
      <c r="E7" s="89">
        <v>3.0000000000000003E-4</v>
      </c>
      <c r="F7">
        <v>2.0000000000000001E-4</v>
      </c>
    </row>
    <row r="8" spans="1:6" ht="15" thickBot="1">
      <c r="A8" s="21">
        <v>6</v>
      </c>
      <c r="B8" s="60">
        <v>2.0000000000000001E-4</v>
      </c>
      <c r="C8" s="60">
        <v>1.4999999999999999E-4</v>
      </c>
      <c r="E8" s="89">
        <v>3.0000000000000003E-4</v>
      </c>
      <c r="F8">
        <v>2.0000000000000001E-4</v>
      </c>
    </row>
    <row r="9" spans="1:6" ht="15" thickBot="1">
      <c r="A9" s="21">
        <v>7</v>
      </c>
      <c r="B9" s="60">
        <v>2.0000000000000001E-4</v>
      </c>
      <c r="C9" s="60">
        <v>1.4999999999999999E-4</v>
      </c>
      <c r="E9" s="89">
        <v>3.0000000000000003E-4</v>
      </c>
      <c r="F9">
        <v>2.0000000000000001E-4</v>
      </c>
    </row>
    <row r="10" spans="1:6" ht="15" thickBot="1">
      <c r="A10" s="21">
        <v>8</v>
      </c>
      <c r="B10" s="60">
        <v>2.0000000000000001E-4</v>
      </c>
      <c r="C10" s="60">
        <v>1.4999999999999999E-4</v>
      </c>
      <c r="E10" s="89">
        <v>3.0000000000000003E-4</v>
      </c>
      <c r="F10">
        <v>2.0000000000000001E-4</v>
      </c>
    </row>
    <row r="11" spans="1:6" ht="15" thickBot="1">
      <c r="A11" s="21">
        <v>9</v>
      </c>
      <c r="B11" s="60">
        <v>2.0000000000000001E-4</v>
      </c>
      <c r="C11" s="60">
        <v>1.4999999999999999E-4</v>
      </c>
      <c r="E11" s="89">
        <v>3.0000000000000003E-4</v>
      </c>
      <c r="F11">
        <v>2.0000000000000001E-4</v>
      </c>
    </row>
    <row r="12" spans="1:6" ht="15" thickBot="1">
      <c r="A12" s="21">
        <v>10</v>
      </c>
      <c r="B12" s="60">
        <v>2.0000000000000001E-4</v>
      </c>
      <c r="C12" s="60">
        <v>1.4999999999999999E-4</v>
      </c>
      <c r="E12" s="89">
        <v>3.0000000000000003E-4</v>
      </c>
      <c r="F12">
        <v>2.0000000000000001E-4</v>
      </c>
    </row>
    <row r="13" spans="1:6" ht="15" thickBot="1">
      <c r="A13" s="21">
        <v>11</v>
      </c>
      <c r="B13" s="60">
        <v>2.5000000000000001E-4</v>
      </c>
      <c r="C13" s="60">
        <v>1.4999999999999999E-4</v>
      </c>
      <c r="E13" s="89">
        <v>3.7500000000000001E-4</v>
      </c>
      <c r="F13">
        <v>2.5000000000000001E-4</v>
      </c>
    </row>
    <row r="14" spans="1:6" ht="15" thickBot="1">
      <c r="A14" s="21">
        <v>12</v>
      </c>
      <c r="B14" s="60">
        <v>2.5000000000000001E-4</v>
      </c>
      <c r="C14" s="60">
        <v>1.4999999999999999E-4</v>
      </c>
      <c r="E14" s="89">
        <v>3.7500000000000001E-4</v>
      </c>
      <c r="F14">
        <v>2.5000000000000001E-4</v>
      </c>
    </row>
    <row r="15" spans="1:6" ht="15" thickBot="1">
      <c r="A15" s="21">
        <v>13</v>
      </c>
      <c r="B15" s="60">
        <v>2.5000000000000001E-4</v>
      </c>
      <c r="C15" s="60">
        <v>2.0000000000000001E-4</v>
      </c>
      <c r="E15" s="89">
        <v>3.7500000000000001E-4</v>
      </c>
      <c r="F15">
        <v>2.5000000000000001E-4</v>
      </c>
    </row>
    <row r="16" spans="1:6" ht="15" thickBot="1">
      <c r="A16" s="21">
        <v>14</v>
      </c>
      <c r="B16" s="60">
        <v>2.5000000000000001E-4</v>
      </c>
      <c r="C16" s="60">
        <v>2.0000000000000001E-4</v>
      </c>
      <c r="E16" s="89">
        <v>3.7500000000000001E-4</v>
      </c>
      <c r="F16">
        <v>2.5000000000000001E-4</v>
      </c>
    </row>
    <row r="17" spans="1:6" ht="15" thickBot="1">
      <c r="A17" s="21">
        <v>15</v>
      </c>
      <c r="B17" s="60">
        <v>2.5000000000000001E-4</v>
      </c>
      <c r="C17" s="60">
        <v>2.0000000000000001E-4</v>
      </c>
      <c r="E17" s="89">
        <v>3.7500000000000001E-4</v>
      </c>
      <c r="F17">
        <v>2.5000000000000001E-4</v>
      </c>
    </row>
    <row r="18" spans="1:6" ht="15" thickBot="1">
      <c r="A18" s="21">
        <v>16</v>
      </c>
      <c r="B18" s="60">
        <v>3.5E-4</v>
      </c>
      <c r="C18" s="60">
        <v>2.0000000000000001E-4</v>
      </c>
      <c r="E18" s="89">
        <v>5.2499999999999997E-4</v>
      </c>
      <c r="F18">
        <v>3.5E-4</v>
      </c>
    </row>
    <row r="19" spans="1:6" ht="15" thickBot="1">
      <c r="A19" s="21">
        <v>17</v>
      </c>
      <c r="B19" s="60">
        <v>3.5E-4</v>
      </c>
      <c r="C19" s="60">
        <v>2.0000000000000001E-4</v>
      </c>
      <c r="E19" s="89">
        <v>5.2499999999999997E-4</v>
      </c>
      <c r="F19">
        <v>3.5E-4</v>
      </c>
    </row>
    <row r="20" spans="1:6" ht="15" thickBot="1">
      <c r="A20" s="21">
        <v>18</v>
      </c>
      <c r="B20" s="60">
        <v>4.0000000000000002E-4</v>
      </c>
      <c r="C20" s="60">
        <v>2.0000000000000001E-4</v>
      </c>
      <c r="E20" s="89">
        <v>6.0000000000000006E-4</v>
      </c>
      <c r="F20">
        <v>4.0000000000000002E-4</v>
      </c>
    </row>
    <row r="21" spans="1:6" ht="15" thickBot="1">
      <c r="A21" s="21">
        <v>19</v>
      </c>
      <c r="B21" s="60">
        <v>4.0000000000000002E-4</v>
      </c>
      <c r="C21" s="60">
        <v>2.0000000000000001E-4</v>
      </c>
      <c r="E21" s="89">
        <v>6.0000000000000006E-4</v>
      </c>
      <c r="F21">
        <v>4.0000000000000002E-4</v>
      </c>
    </row>
    <row r="22" spans="1:6" ht="15" thickBot="1">
      <c r="A22" s="21">
        <v>20</v>
      </c>
      <c r="B22" s="60">
        <v>5.0000000000000001E-4</v>
      </c>
      <c r="C22" s="60">
        <v>2.0000000000000001E-4</v>
      </c>
      <c r="E22" s="89">
        <v>7.5000000000000002E-4</v>
      </c>
      <c r="F22">
        <v>5.0000000000000001E-4</v>
      </c>
    </row>
    <row r="23" spans="1:6" ht="15" thickBot="1">
      <c r="A23" s="21">
        <v>21</v>
      </c>
      <c r="B23" s="60">
        <v>5.0000000000000001E-4</v>
      </c>
      <c r="C23" s="60">
        <v>2.0000000000000001E-4</v>
      </c>
      <c r="E23" s="89">
        <v>7.5000000000000002E-4</v>
      </c>
      <c r="F23">
        <v>5.0000000000000001E-4</v>
      </c>
    </row>
    <row r="24" spans="1:6" ht="15" thickBot="1">
      <c r="A24" s="21">
        <v>22</v>
      </c>
      <c r="B24" s="60">
        <v>5.9999999999999995E-4</v>
      </c>
      <c r="C24" s="60">
        <v>2.0000000000000001E-4</v>
      </c>
      <c r="E24" s="89">
        <v>8.9999999999999998E-4</v>
      </c>
      <c r="F24">
        <v>5.9999999999999995E-4</v>
      </c>
    </row>
    <row r="25" spans="1:6" ht="15" thickBot="1">
      <c r="A25" s="21">
        <v>23</v>
      </c>
      <c r="B25" s="60">
        <v>6.9999999999999999E-4</v>
      </c>
      <c r="C25" s="60">
        <v>2.9999999999999997E-4</v>
      </c>
      <c r="E25" s="89">
        <v>1.0499999999999999E-3</v>
      </c>
      <c r="F25">
        <v>6.9999999999999999E-4</v>
      </c>
    </row>
    <row r="26" spans="1:6" ht="15" thickBot="1">
      <c r="A26" s="21">
        <v>24</v>
      </c>
      <c r="B26" s="60">
        <v>6.9999999999999999E-4</v>
      </c>
      <c r="C26" s="60">
        <v>2.9999999999999997E-4</v>
      </c>
      <c r="E26" s="89">
        <v>1.0499999999999999E-3</v>
      </c>
      <c r="F26">
        <v>6.9999999999999999E-4</v>
      </c>
    </row>
    <row r="27" spans="1:6" ht="15" thickBot="1">
      <c r="A27" s="21">
        <v>25</v>
      </c>
      <c r="B27" s="60">
        <v>8.0000000000000004E-4</v>
      </c>
      <c r="C27" s="60">
        <v>2.9999999999999997E-4</v>
      </c>
      <c r="E27" s="89">
        <v>1.2000000000000001E-3</v>
      </c>
      <c r="F27">
        <v>8.0000000000000004E-4</v>
      </c>
    </row>
    <row r="28" spans="1:6" ht="15" thickBot="1">
      <c r="A28" s="21">
        <v>26</v>
      </c>
      <c r="B28" s="60">
        <v>8.0000000000000004E-4</v>
      </c>
      <c r="C28" s="60">
        <v>2.9999999999999997E-4</v>
      </c>
      <c r="E28" s="89">
        <v>1.2000000000000001E-3</v>
      </c>
      <c r="F28">
        <v>8.0000000000000004E-4</v>
      </c>
    </row>
    <row r="29" spans="1:6" ht="15" thickBot="1">
      <c r="A29" s="21">
        <v>27</v>
      </c>
      <c r="B29" s="60">
        <v>6.9999999999999999E-4</v>
      </c>
      <c r="C29" s="60">
        <v>2.9999999999999997E-4</v>
      </c>
      <c r="E29" s="89">
        <v>1.0499999999999999E-3</v>
      </c>
      <c r="F29">
        <v>6.9999999999999999E-4</v>
      </c>
    </row>
    <row r="30" spans="1:6" ht="15" thickBot="1">
      <c r="A30" s="21">
        <v>28</v>
      </c>
      <c r="B30" s="60">
        <v>7.5000000000000002E-4</v>
      </c>
      <c r="C30" s="60">
        <v>3.2000000000000003E-4</v>
      </c>
      <c r="E30" s="89">
        <v>1.1250000000000001E-3</v>
      </c>
      <c r="F30">
        <v>7.5000000000000002E-4</v>
      </c>
    </row>
    <row r="31" spans="1:6" ht="15" thickBot="1">
      <c r="A31" s="21">
        <v>29</v>
      </c>
      <c r="B31" s="60">
        <v>8.0000000000000004E-4</v>
      </c>
      <c r="C31" s="60">
        <v>3.4000000000000002E-4</v>
      </c>
      <c r="E31" s="89">
        <v>1.2000000000000001E-3</v>
      </c>
      <c r="F31">
        <v>8.0000000000000004E-4</v>
      </c>
    </row>
    <row r="32" spans="1:6" ht="15" thickBot="1">
      <c r="A32" s="21">
        <v>30</v>
      </c>
      <c r="B32" s="60">
        <v>8.4999999999999995E-4</v>
      </c>
      <c r="C32" s="60">
        <v>3.5999999999999997E-4</v>
      </c>
      <c r="E32" s="89">
        <v>1.2749999999999999E-3</v>
      </c>
      <c r="F32">
        <v>8.4999999999999995E-4</v>
      </c>
    </row>
    <row r="33" spans="1:6" ht="15" thickBot="1">
      <c r="A33" s="21">
        <v>31</v>
      </c>
      <c r="B33" s="60">
        <v>9.2000000000000003E-4</v>
      </c>
      <c r="C33" s="60">
        <v>3.8000000000000002E-4</v>
      </c>
      <c r="E33" s="89">
        <v>1.3800000000000002E-3</v>
      </c>
      <c r="F33">
        <v>9.2000000000000003E-4</v>
      </c>
    </row>
    <row r="34" spans="1:6" ht="15" thickBot="1">
      <c r="A34" s="21">
        <v>32</v>
      </c>
      <c r="B34" s="60">
        <v>9.7999999999999997E-4</v>
      </c>
      <c r="C34" s="60">
        <v>3.8999999999999999E-4</v>
      </c>
      <c r="E34" s="89">
        <v>1.47E-3</v>
      </c>
      <c r="F34">
        <v>9.7999999999999997E-4</v>
      </c>
    </row>
    <row r="35" spans="1:6" ht="15" thickBot="1">
      <c r="A35" s="21">
        <v>33</v>
      </c>
      <c r="B35" s="60">
        <v>1.0500000000000002E-3</v>
      </c>
      <c r="C35" s="60">
        <v>4.1999999999999996E-4</v>
      </c>
      <c r="E35" s="89">
        <v>1.5750000000000002E-3</v>
      </c>
      <c r="F35">
        <v>1.0500000000000002E-3</v>
      </c>
    </row>
    <row r="36" spans="1:6" ht="15" thickBot="1">
      <c r="A36" s="21">
        <v>34</v>
      </c>
      <c r="B36" s="60">
        <v>1.1200000000000001E-3</v>
      </c>
      <c r="C36" s="60">
        <v>4.4000000000000002E-4</v>
      </c>
      <c r="E36" s="89">
        <v>1.6800000000000001E-3</v>
      </c>
      <c r="F36">
        <v>1.1200000000000001E-3</v>
      </c>
    </row>
    <row r="37" spans="1:6" ht="15" thickBot="1">
      <c r="A37" s="21">
        <v>35</v>
      </c>
      <c r="B37" s="60">
        <v>1.1899999999999999E-3</v>
      </c>
      <c r="C37" s="60">
        <v>4.6999999999999999E-4</v>
      </c>
      <c r="E37" s="89">
        <v>1.7849999999999997E-3</v>
      </c>
      <c r="F37">
        <v>1.1899999999999999E-3</v>
      </c>
    </row>
    <row r="38" spans="1:6" ht="15" thickBot="1">
      <c r="A38" s="21">
        <v>36</v>
      </c>
      <c r="B38" s="60">
        <v>1.2800000000000001E-3</v>
      </c>
      <c r="C38" s="60">
        <v>5.0000000000000001E-4</v>
      </c>
      <c r="E38" s="89">
        <v>1.9200000000000003E-3</v>
      </c>
      <c r="F38">
        <v>1.2800000000000001E-3</v>
      </c>
    </row>
    <row r="39" spans="1:6" ht="15" thickBot="1">
      <c r="A39" s="21">
        <v>37</v>
      </c>
      <c r="B39" s="60">
        <v>1.3700000000000001E-3</v>
      </c>
      <c r="C39" s="60">
        <v>5.2999999999999998E-4</v>
      </c>
      <c r="E39" s="89">
        <v>2.0550000000000004E-3</v>
      </c>
      <c r="F39">
        <v>1.3700000000000001E-3</v>
      </c>
    </row>
    <row r="40" spans="1:6" ht="15" thickBot="1">
      <c r="A40" s="21">
        <v>38</v>
      </c>
      <c r="B40" s="60">
        <v>1.47E-3</v>
      </c>
      <c r="C40" s="60">
        <v>5.6000000000000006E-4</v>
      </c>
      <c r="E40" s="89">
        <v>2.2049999999999999E-3</v>
      </c>
      <c r="F40">
        <v>1.47E-3</v>
      </c>
    </row>
    <row r="41" spans="1:6" ht="15" thickBot="1">
      <c r="A41" s="21">
        <v>39</v>
      </c>
      <c r="B41" s="60">
        <v>1.58E-3</v>
      </c>
      <c r="C41" s="60">
        <v>5.9999999999999995E-4</v>
      </c>
      <c r="E41" s="89">
        <v>2.3700000000000001E-3</v>
      </c>
      <c r="F41">
        <v>1.58E-3</v>
      </c>
    </row>
    <row r="42" spans="1:6" ht="15" thickBot="1">
      <c r="A42" s="21">
        <v>40</v>
      </c>
      <c r="B42" s="60">
        <v>1.6899999999999999E-3</v>
      </c>
      <c r="C42" s="60">
        <v>6.4999999999999997E-4</v>
      </c>
      <c r="E42" s="89">
        <v>2.5349999999999999E-3</v>
      </c>
      <c r="F42">
        <v>1.6899999999999999E-3</v>
      </c>
    </row>
    <row r="43" spans="1:6" ht="15" thickBot="1">
      <c r="A43" s="21">
        <v>41</v>
      </c>
      <c r="B43" s="60">
        <v>1.8E-3</v>
      </c>
      <c r="C43" s="60">
        <v>6.8000000000000005E-4</v>
      </c>
      <c r="E43" s="89">
        <v>2.7000000000000001E-3</v>
      </c>
      <c r="F43">
        <v>1.8E-3</v>
      </c>
    </row>
    <row r="44" spans="1:6" ht="15" thickBot="1">
      <c r="A44" s="21">
        <v>42</v>
      </c>
      <c r="B44" s="60">
        <v>1.9399999999999999E-3</v>
      </c>
      <c r="C44" s="60">
        <v>7.2999999999999996E-4</v>
      </c>
      <c r="E44" s="89">
        <v>2.9099999999999998E-3</v>
      </c>
      <c r="F44">
        <v>1.9399999999999999E-3</v>
      </c>
    </row>
    <row r="45" spans="1:6" ht="15" thickBot="1">
      <c r="A45" s="21">
        <v>43</v>
      </c>
      <c r="B45" s="60">
        <v>2.0699999999999998E-3</v>
      </c>
      <c r="C45" s="60">
        <v>7.9000000000000001E-4</v>
      </c>
      <c r="E45" s="89">
        <v>3.1049999999999997E-3</v>
      </c>
      <c r="F45">
        <v>2.0699999999999998E-3</v>
      </c>
    </row>
    <row r="46" spans="1:6" ht="15" thickBot="1">
      <c r="A46" s="21">
        <v>44</v>
      </c>
      <c r="B46" s="60">
        <v>2.2200000000000002E-3</v>
      </c>
      <c r="C46" s="60">
        <v>8.3999999999999993E-4</v>
      </c>
      <c r="E46" s="89">
        <v>3.3300000000000005E-3</v>
      </c>
      <c r="F46">
        <v>2.2200000000000002E-3</v>
      </c>
    </row>
    <row r="47" spans="1:6" ht="15" thickBot="1">
      <c r="A47" s="21">
        <v>45</v>
      </c>
      <c r="B47" s="60">
        <v>2.3799999999999997E-3</v>
      </c>
      <c r="C47" s="60">
        <v>8.9999999999999998E-4</v>
      </c>
      <c r="E47" s="89">
        <v>3.5699999999999994E-3</v>
      </c>
      <c r="F47">
        <v>2.3799999999999997E-3</v>
      </c>
    </row>
    <row r="48" spans="1:6" ht="15" thickBot="1">
      <c r="A48" s="21">
        <v>46</v>
      </c>
      <c r="B48" s="60">
        <v>2.5499999999999997E-3</v>
      </c>
      <c r="C48" s="60">
        <v>9.6999999999999994E-4</v>
      </c>
      <c r="E48" s="89">
        <v>3.8249999999999994E-3</v>
      </c>
      <c r="F48">
        <v>2.5499999999999997E-3</v>
      </c>
    </row>
    <row r="49" spans="1:6" ht="15" thickBot="1">
      <c r="A49" s="21">
        <v>47</v>
      </c>
      <c r="B49" s="60">
        <v>2.7400000000000002E-3</v>
      </c>
      <c r="C49" s="60">
        <v>1.0400000000000001E-3</v>
      </c>
      <c r="E49" s="89">
        <v>4.1100000000000008E-3</v>
      </c>
      <c r="F49">
        <v>2.7400000000000002E-3</v>
      </c>
    </row>
    <row r="50" spans="1:6" ht="15" thickBot="1">
      <c r="A50" s="21">
        <v>48</v>
      </c>
      <c r="B50" s="60">
        <v>2.9399999999999999E-3</v>
      </c>
      <c r="C50" s="60">
        <v>1.1200000000000001E-3</v>
      </c>
      <c r="E50" s="89">
        <v>4.4099999999999999E-3</v>
      </c>
      <c r="F50">
        <v>2.9399999999999999E-3</v>
      </c>
    </row>
    <row r="51" spans="1:6" ht="15" thickBot="1">
      <c r="A51" s="21">
        <v>49</v>
      </c>
      <c r="B51" s="60">
        <v>3.16E-3</v>
      </c>
      <c r="C51" s="60">
        <v>1.1999999999999999E-3</v>
      </c>
      <c r="E51" s="89">
        <v>4.7400000000000003E-3</v>
      </c>
      <c r="F51">
        <v>3.16E-3</v>
      </c>
    </row>
    <row r="52" spans="1:6" ht="15" thickBot="1">
      <c r="A52" s="21">
        <v>50</v>
      </c>
      <c r="B52" s="60">
        <v>3.3999999999999998E-3</v>
      </c>
      <c r="C52" s="60">
        <v>1.2900000000000001E-3</v>
      </c>
      <c r="E52" s="89">
        <v>5.0999999999999995E-3</v>
      </c>
      <c r="F52">
        <v>3.3999999999999998E-3</v>
      </c>
    </row>
    <row r="53" spans="1:6" ht="15" thickBot="1">
      <c r="A53" s="21">
        <v>51</v>
      </c>
      <c r="B53" s="60">
        <v>3.64E-3</v>
      </c>
      <c r="C53" s="60">
        <v>1.4E-3</v>
      </c>
      <c r="E53" s="89">
        <v>5.4599999999999996E-3</v>
      </c>
      <c r="F53">
        <v>3.64E-3</v>
      </c>
    </row>
    <row r="54" spans="1:6" ht="15" thickBot="1">
      <c r="A54" s="21">
        <v>52</v>
      </c>
      <c r="B54" s="60">
        <v>3.9199999999999999E-3</v>
      </c>
      <c r="C54" s="60">
        <v>1.5100000000000001E-3</v>
      </c>
      <c r="E54" s="89">
        <v>5.8799999999999998E-3</v>
      </c>
      <c r="F54">
        <v>3.9199999999999999E-3</v>
      </c>
    </row>
    <row r="55" spans="1:6" ht="15" thickBot="1">
      <c r="A55" s="21">
        <v>53</v>
      </c>
      <c r="B55" s="60">
        <v>4.2100000000000002E-3</v>
      </c>
      <c r="C55" s="60">
        <v>1.6299999999999999E-3</v>
      </c>
      <c r="E55" s="89">
        <v>6.3150000000000003E-3</v>
      </c>
      <c r="F55">
        <v>4.2100000000000002E-3</v>
      </c>
    </row>
    <row r="56" spans="1:6" ht="15" thickBot="1">
      <c r="A56" s="21">
        <v>54</v>
      </c>
      <c r="B56" s="60">
        <v>4.5300000000000002E-3</v>
      </c>
      <c r="C56" s="60">
        <v>1.7600000000000001E-3</v>
      </c>
      <c r="E56" s="89">
        <v>6.7950000000000007E-3</v>
      </c>
      <c r="F56">
        <v>4.5300000000000002E-3</v>
      </c>
    </row>
    <row r="57" spans="1:6" ht="15" thickBot="1">
      <c r="A57" s="21">
        <v>55</v>
      </c>
      <c r="B57" s="60">
        <v>4.8700000000000002E-3</v>
      </c>
      <c r="C57" s="60">
        <v>1.9E-3</v>
      </c>
      <c r="E57" s="89">
        <v>7.3050000000000007E-3</v>
      </c>
      <c r="F57">
        <v>4.8700000000000002E-3</v>
      </c>
    </row>
    <row r="58" spans="1:6" ht="15" thickBot="1">
      <c r="A58" s="21">
        <v>56</v>
      </c>
      <c r="B58" s="60">
        <v>5.2399999999999999E-3</v>
      </c>
      <c r="C58" s="60">
        <v>2.0699999999999998E-3</v>
      </c>
      <c r="E58" s="89">
        <v>7.8599999999999989E-3</v>
      </c>
      <c r="F58">
        <v>5.2399999999999999E-3</v>
      </c>
    </row>
    <row r="59" spans="1:6" ht="15" thickBot="1">
      <c r="A59" s="21">
        <v>57</v>
      </c>
      <c r="B59" s="60">
        <v>5.6299999999999996E-3</v>
      </c>
      <c r="C59" s="60">
        <v>2.2400000000000002E-3</v>
      </c>
      <c r="E59" s="89">
        <v>8.4449999999999994E-3</v>
      </c>
      <c r="F59">
        <v>5.6299999999999996E-3</v>
      </c>
    </row>
    <row r="60" spans="1:6" ht="15" thickBot="1">
      <c r="A60" s="21">
        <v>58</v>
      </c>
      <c r="B60" s="60">
        <v>6.0599999999999994E-3</v>
      </c>
      <c r="C60" s="60">
        <v>2.4399999999999999E-3</v>
      </c>
      <c r="E60" s="89">
        <v>9.0899999999999991E-3</v>
      </c>
      <c r="F60">
        <v>6.0599999999999994E-3</v>
      </c>
    </row>
    <row r="61" spans="1:6" ht="15" thickBot="1">
      <c r="A61" s="21">
        <v>59</v>
      </c>
      <c r="B61" s="60">
        <v>6.5300000000000002E-3</v>
      </c>
      <c r="C61" s="60">
        <v>2.65E-3</v>
      </c>
      <c r="E61" s="89">
        <v>9.7949999999999999E-3</v>
      </c>
      <c r="F61">
        <v>6.5300000000000002E-3</v>
      </c>
    </row>
    <row r="62" spans="1:6" ht="15" thickBot="1">
      <c r="A62" s="21">
        <v>60</v>
      </c>
      <c r="B62" s="60">
        <v>7.0300000000000007E-3</v>
      </c>
      <c r="C62" s="60">
        <v>2.8900000000000002E-3</v>
      </c>
      <c r="E62" s="89">
        <v>1.0545000000000001E-2</v>
      </c>
      <c r="F62">
        <v>7.0300000000000007E-3</v>
      </c>
    </row>
    <row r="63" spans="1:6" ht="15" thickBot="1">
      <c r="A63" s="21">
        <v>61</v>
      </c>
      <c r="B63" s="60">
        <v>7.5700000000000003E-3</v>
      </c>
      <c r="C63" s="60">
        <v>3.14E-3</v>
      </c>
      <c r="E63" s="89">
        <v>1.1355000000000001E-2</v>
      </c>
      <c r="F63">
        <v>7.5700000000000003E-3</v>
      </c>
    </row>
    <row r="64" spans="1:6" ht="15" thickBot="1">
      <c r="A64" s="21">
        <v>62</v>
      </c>
      <c r="B64" s="60">
        <v>8.150000000000001E-3</v>
      </c>
      <c r="C64" s="60">
        <v>3.4300000000000003E-3</v>
      </c>
      <c r="E64" s="89">
        <v>1.2225000000000001E-2</v>
      </c>
      <c r="F64">
        <v>8.150000000000001E-3</v>
      </c>
    </row>
    <row r="65" spans="1:6" ht="15" thickBot="1">
      <c r="A65" s="21">
        <v>63</v>
      </c>
      <c r="B65" s="60">
        <v>8.7899999999999992E-3</v>
      </c>
      <c r="C65" s="60">
        <v>3.7400000000000003E-3</v>
      </c>
      <c r="E65" s="89">
        <v>1.3184999999999999E-2</v>
      </c>
      <c r="F65">
        <v>8.7899999999999992E-3</v>
      </c>
    </row>
    <row r="66" spans="1:6" ht="15" thickBot="1">
      <c r="A66" s="21">
        <v>64</v>
      </c>
      <c r="B66" s="60">
        <v>9.470000000000001E-3</v>
      </c>
      <c r="C66" s="60">
        <v>4.0899999999999999E-3</v>
      </c>
      <c r="E66" s="89">
        <v>1.4205000000000002E-2</v>
      </c>
      <c r="F66">
        <v>9.470000000000001E-3</v>
      </c>
    </row>
    <row r="67" spans="1:6" ht="15" thickBot="1">
      <c r="A67" s="21">
        <v>65</v>
      </c>
      <c r="B67" s="60">
        <v>1.021E-2</v>
      </c>
      <c r="C67" s="60">
        <v>4.47E-3</v>
      </c>
      <c r="E67" s="89">
        <v>1.5315E-2</v>
      </c>
      <c r="F67">
        <v>1.021E-2</v>
      </c>
    </row>
    <row r="68" spans="1:6" ht="15" thickBot="1">
      <c r="A68" s="21">
        <v>66</v>
      </c>
      <c r="B68" s="60">
        <v>1.1009999999999999E-2</v>
      </c>
      <c r="C68" s="60">
        <v>4.9000000000000007E-3</v>
      </c>
      <c r="E68" s="89">
        <v>1.6514999999999998E-2</v>
      </c>
      <c r="F68">
        <v>1.1009999999999999E-2</v>
      </c>
    </row>
    <row r="69" spans="1:6" ht="15" thickBot="1">
      <c r="A69" s="21">
        <v>67</v>
      </c>
      <c r="B69" s="60">
        <v>1.188E-2</v>
      </c>
      <c r="C69" s="60">
        <v>5.3699999999999998E-3</v>
      </c>
      <c r="E69" s="89">
        <v>1.7819999999999999E-2</v>
      </c>
      <c r="F69">
        <v>1.188E-2</v>
      </c>
    </row>
    <row r="70" spans="1:6" ht="15" thickBot="1">
      <c r="A70" s="21">
        <v>68</v>
      </c>
      <c r="B70" s="60">
        <v>1.282E-2</v>
      </c>
      <c r="C70" s="60">
        <v>5.9000000000000007E-3</v>
      </c>
      <c r="E70" s="89">
        <v>1.9230000000000001E-2</v>
      </c>
      <c r="F70">
        <v>1.282E-2</v>
      </c>
    </row>
    <row r="71" spans="1:6" ht="15" thickBot="1">
      <c r="A71" s="21">
        <v>69</v>
      </c>
      <c r="B71" s="60">
        <v>1.384E-2</v>
      </c>
      <c r="C71" s="60">
        <v>6.4700000000000001E-3</v>
      </c>
      <c r="E71" s="89">
        <v>2.0760000000000001E-2</v>
      </c>
      <c r="F71">
        <v>1.384E-2</v>
      </c>
    </row>
    <row r="72" spans="1:6" ht="15" thickBot="1">
      <c r="A72" s="21">
        <v>70</v>
      </c>
      <c r="B72" s="60">
        <v>1.494E-2</v>
      </c>
      <c r="C72" s="60">
        <v>7.1200000000000005E-3</v>
      </c>
      <c r="E72" s="89">
        <v>2.2409999999999999E-2</v>
      </c>
      <c r="F72">
        <v>1.494E-2</v>
      </c>
    </row>
    <row r="73" spans="1:6" ht="15" thickBot="1">
      <c r="A73" s="21">
        <v>71</v>
      </c>
      <c r="B73" s="60">
        <v>1.6129999999999999E-2</v>
      </c>
      <c r="C73" s="60">
        <v>7.8399999999999997E-3</v>
      </c>
      <c r="E73" s="89">
        <v>2.4194999999999998E-2</v>
      </c>
      <c r="F73">
        <v>1.6129999999999999E-2</v>
      </c>
    </row>
    <row r="74" spans="1:6" ht="15" thickBot="1">
      <c r="A74" s="21">
        <v>72</v>
      </c>
      <c r="B74" s="60">
        <v>1.7420000000000001E-2</v>
      </c>
      <c r="C74" s="60">
        <v>8.6300000000000005E-3</v>
      </c>
      <c r="E74" s="89">
        <v>2.613E-2</v>
      </c>
      <c r="F74">
        <v>1.7420000000000001E-2</v>
      </c>
    </row>
    <row r="75" spans="1:6" ht="15" thickBot="1">
      <c r="A75" s="21">
        <v>73</v>
      </c>
      <c r="B75" s="60">
        <v>1.882E-2</v>
      </c>
      <c r="C75" s="60">
        <v>9.5299999999999985E-3</v>
      </c>
      <c r="E75" s="89">
        <v>2.8229999999999998E-2</v>
      </c>
      <c r="F75">
        <v>1.882E-2</v>
      </c>
    </row>
    <row r="76" spans="1:6" ht="15" thickBot="1">
      <c r="A76" s="21">
        <v>74</v>
      </c>
      <c r="B76" s="60">
        <v>2.034E-2</v>
      </c>
      <c r="C76" s="60">
        <v>1.051E-2</v>
      </c>
      <c r="E76" s="89">
        <v>3.0510000000000002E-2</v>
      </c>
      <c r="F76">
        <v>2.034E-2</v>
      </c>
    </row>
    <row r="77" spans="1:6" ht="15" thickBot="1">
      <c r="A77" s="21">
        <v>75</v>
      </c>
      <c r="B77" s="60">
        <v>2.1989999999999999E-2</v>
      </c>
      <c r="C77" s="60">
        <v>1.1619999999999998E-2</v>
      </c>
      <c r="E77" s="89">
        <v>3.2985E-2</v>
      </c>
      <c r="F77">
        <v>2.1989999999999999E-2</v>
      </c>
    </row>
    <row r="78" spans="1:6" ht="15" thickBot="1">
      <c r="A78" s="21">
        <v>76</v>
      </c>
      <c r="B78" s="60">
        <v>2.3780000000000003E-2</v>
      </c>
      <c r="C78" s="60">
        <v>1.285E-2</v>
      </c>
      <c r="E78" s="89">
        <v>3.5670000000000007E-2</v>
      </c>
      <c r="F78">
        <v>2.3780000000000003E-2</v>
      </c>
    </row>
    <row r="79" spans="1:6" ht="15" thickBot="1">
      <c r="A79" s="21">
        <v>77</v>
      </c>
      <c r="B79" s="60">
        <v>2.571E-2</v>
      </c>
      <c r="C79" s="60">
        <v>1.423E-2</v>
      </c>
      <c r="E79" s="89">
        <v>3.8565000000000002E-2</v>
      </c>
      <c r="F79">
        <v>2.571E-2</v>
      </c>
    </row>
    <row r="80" spans="1:6" ht="15" thickBot="1">
      <c r="A80" s="21">
        <v>78</v>
      </c>
      <c r="B80" s="60">
        <v>2.7829999999999997E-2</v>
      </c>
      <c r="C80" s="60">
        <v>1.5779999999999999E-2</v>
      </c>
      <c r="E80" s="89">
        <v>4.1744999999999997E-2</v>
      </c>
      <c r="F80">
        <v>2.7829999999999997E-2</v>
      </c>
    </row>
    <row r="81" spans="1:6" ht="15" thickBot="1">
      <c r="A81" s="21">
        <v>79</v>
      </c>
      <c r="B81" s="60">
        <v>3.0109999999999998E-2</v>
      </c>
      <c r="C81" s="60">
        <v>1.7510000000000001E-2</v>
      </c>
      <c r="E81" s="89">
        <v>4.5164999999999997E-2</v>
      </c>
      <c r="F81">
        <v>3.0109999999999998E-2</v>
      </c>
    </row>
    <row r="82" spans="1:6" ht="15" thickBot="1">
      <c r="A82" s="21">
        <v>80</v>
      </c>
      <c r="B82" s="60">
        <v>3.2590000000000001E-2</v>
      </c>
      <c r="C82" s="60">
        <v>1.9449999999999999E-2</v>
      </c>
      <c r="E82" s="89">
        <v>4.8884999999999998E-2</v>
      </c>
      <c r="F82">
        <v>3.2590000000000001E-2</v>
      </c>
    </row>
    <row r="83" spans="1:6" ht="15" thickBot="1">
      <c r="A83" s="21">
        <v>81</v>
      </c>
      <c r="B83" s="60">
        <v>3.5279999999999999E-2</v>
      </c>
      <c r="C83" s="60">
        <v>2.163E-2</v>
      </c>
      <c r="E83" s="89">
        <v>5.2919999999999995E-2</v>
      </c>
      <c r="F83">
        <v>3.5279999999999999E-2</v>
      </c>
    </row>
    <row r="84" spans="1:6" ht="15" thickBot="1">
      <c r="A84" s="21">
        <v>82</v>
      </c>
      <c r="B84" s="60">
        <v>3.8210000000000001E-2</v>
      </c>
      <c r="C84" s="60">
        <v>2.4079999999999997E-2</v>
      </c>
      <c r="E84" s="89">
        <v>5.7315000000000005E-2</v>
      </c>
      <c r="F84">
        <v>3.8210000000000001E-2</v>
      </c>
    </row>
    <row r="85" spans="1:6" ht="15" thickBot="1">
      <c r="A85" s="21">
        <v>83</v>
      </c>
      <c r="B85" s="60">
        <v>4.1390000000000003E-2</v>
      </c>
      <c r="C85" s="60">
        <v>2.682E-2</v>
      </c>
      <c r="E85" s="89">
        <v>6.2085000000000001E-2</v>
      </c>
      <c r="F85">
        <v>4.1390000000000003E-2</v>
      </c>
    </row>
    <row r="86" spans="1:6" ht="15" thickBot="1">
      <c r="A86" s="21">
        <v>84</v>
      </c>
      <c r="B86" s="60">
        <v>4.4850000000000001E-2</v>
      </c>
      <c r="C86" s="60">
        <v>2.9920000000000002E-2</v>
      </c>
      <c r="E86" s="89">
        <v>6.7275000000000001E-2</v>
      </c>
      <c r="F86">
        <v>4.4850000000000001E-2</v>
      </c>
    </row>
    <row r="87" spans="1:6" ht="15" thickBot="1">
      <c r="A87" s="21">
        <v>85</v>
      </c>
      <c r="B87" s="60">
        <v>4.861E-2</v>
      </c>
      <c r="C87" s="60">
        <v>3.3399999999999999E-2</v>
      </c>
      <c r="E87" s="89">
        <v>7.2915000000000008E-2</v>
      </c>
      <c r="F87">
        <v>4.861E-2</v>
      </c>
    </row>
    <row r="88" spans="1:6" ht="15" thickBot="1">
      <c r="A88" s="21">
        <v>86</v>
      </c>
      <c r="B88" s="60">
        <v>5.271E-2</v>
      </c>
      <c r="C88" s="60">
        <v>3.7329999999999995E-2</v>
      </c>
      <c r="E88" s="89">
        <v>7.9064999999999996E-2</v>
      </c>
      <c r="F88">
        <v>5.271E-2</v>
      </c>
    </row>
    <row r="89" spans="1:6" ht="15" thickBot="1">
      <c r="A89" s="21">
        <v>87</v>
      </c>
      <c r="B89" s="60">
        <v>5.7149999999999999E-2</v>
      </c>
      <c r="C89" s="60">
        <v>4.1770000000000002E-2</v>
      </c>
      <c r="E89" s="89">
        <v>8.5724999999999996E-2</v>
      </c>
      <c r="F89">
        <v>5.7149999999999999E-2</v>
      </c>
    </row>
    <row r="90" spans="1:6" ht="15" thickBot="1">
      <c r="A90" s="21">
        <v>88</v>
      </c>
      <c r="B90" s="60">
        <v>6.1990000000000003E-2</v>
      </c>
      <c r="C90" s="60">
        <v>4.6770000000000006E-2</v>
      </c>
      <c r="E90" s="89">
        <v>9.2985000000000012E-2</v>
      </c>
      <c r="F90">
        <v>6.1990000000000003E-2</v>
      </c>
    </row>
    <row r="91" spans="1:6" ht="15" thickBot="1">
      <c r="A91" s="21">
        <v>89</v>
      </c>
      <c r="B91" s="60">
        <v>6.726E-2</v>
      </c>
      <c r="C91" s="60">
        <v>5.2429999999999997E-2</v>
      </c>
      <c r="E91" s="89">
        <v>0.10089000000000001</v>
      </c>
      <c r="F91">
        <v>6.726E-2</v>
      </c>
    </row>
    <row r="92" spans="1:6" ht="15" thickBot="1">
      <c r="A92" s="21">
        <v>90</v>
      </c>
      <c r="B92" s="60">
        <v>7.2999999999999995E-2</v>
      </c>
      <c r="C92" s="60">
        <v>5.8840000000000003E-2</v>
      </c>
      <c r="E92" s="89">
        <v>0.10949999999999999</v>
      </c>
      <c r="F92">
        <v>7.2999999999999995E-2</v>
      </c>
    </row>
    <row r="93" spans="1:6" ht="15" thickBot="1">
      <c r="A93" s="21">
        <v>91</v>
      </c>
      <c r="B93" s="60">
        <v>7.5150000000000008E-2</v>
      </c>
      <c r="C93" s="60">
        <v>6.0670000000000002E-2</v>
      </c>
      <c r="E93" s="89">
        <v>0.11272500000000002</v>
      </c>
      <c r="F93">
        <v>7.5150000000000008E-2</v>
      </c>
    </row>
    <row r="94" spans="1:6" ht="15" thickBot="1">
      <c r="A94" s="21">
        <v>92</v>
      </c>
      <c r="B94" s="60">
        <v>8.201E-2</v>
      </c>
      <c r="C94" s="60">
        <v>6.651E-2</v>
      </c>
      <c r="E94" s="89">
        <v>0.123015</v>
      </c>
      <c r="F94">
        <v>8.201E-2</v>
      </c>
    </row>
    <row r="95" spans="1:6" ht="15" thickBot="1">
      <c r="A95" s="21">
        <v>93</v>
      </c>
      <c r="B95" s="60">
        <v>9.487000000000001E-2</v>
      </c>
      <c r="C95" s="60">
        <v>7.7499999999999999E-2</v>
      </c>
      <c r="E95" s="89">
        <v>0.14230500000000001</v>
      </c>
      <c r="F95">
        <v>9.487000000000001E-2</v>
      </c>
    </row>
    <row r="96" spans="1:6" ht="15" thickBot="1">
      <c r="A96" s="21">
        <v>94</v>
      </c>
      <c r="B96" s="60">
        <v>0.11631</v>
      </c>
      <c r="C96" s="60">
        <v>9.604E-2</v>
      </c>
      <c r="E96" s="89">
        <v>0.17446499999999998</v>
      </c>
      <c r="F96">
        <v>0.11631</v>
      </c>
    </row>
    <row r="97" spans="1:6" ht="15" thickBot="1">
      <c r="A97" s="21">
        <v>95</v>
      </c>
      <c r="B97" s="60">
        <v>0.15117</v>
      </c>
      <c r="C97" s="60">
        <v>0.12653</v>
      </c>
      <c r="E97" s="89">
        <v>0.22675499999999998</v>
      </c>
      <c r="F97">
        <v>0.15117</v>
      </c>
    </row>
    <row r="98" spans="1:6" ht="15" thickBot="1">
      <c r="A98" s="21">
        <v>96</v>
      </c>
      <c r="B98" s="60">
        <v>0.20824000000000001</v>
      </c>
      <c r="C98" s="60">
        <v>0.17721000000000001</v>
      </c>
      <c r="E98" s="89">
        <v>0.31236000000000003</v>
      </c>
      <c r="F98">
        <v>0.20824000000000001</v>
      </c>
    </row>
    <row r="99" spans="1:6" ht="15" thickBot="1">
      <c r="A99" s="21">
        <v>97</v>
      </c>
      <c r="B99" s="60">
        <v>0.29635</v>
      </c>
      <c r="C99" s="60">
        <v>0.26386999999999999</v>
      </c>
      <c r="E99" s="89">
        <v>0.444525</v>
      </c>
      <c r="F99">
        <v>0.29635</v>
      </c>
    </row>
    <row r="100" spans="1:6" ht="15" thickBot="1">
      <c r="A100" s="21">
        <v>98</v>
      </c>
      <c r="B100" s="60">
        <v>0.47061999999999998</v>
      </c>
      <c r="C100" s="60">
        <v>0.41774</v>
      </c>
      <c r="E100" s="89">
        <v>0.70592999999999995</v>
      </c>
      <c r="F100">
        <v>0.47061999999999998</v>
      </c>
    </row>
    <row r="101" spans="1:6" ht="15" thickBot="1">
      <c r="A101" s="21">
        <v>99</v>
      </c>
      <c r="B101" s="60">
        <v>0.77205999999999997</v>
      </c>
      <c r="C101" s="60">
        <v>0.70313000000000003</v>
      </c>
      <c r="E101" s="89">
        <v>0.85</v>
      </c>
      <c r="F101">
        <v>0.77205999999999997</v>
      </c>
    </row>
    <row r="102" spans="1:6" ht="15" thickBot="1">
      <c r="A102" s="21">
        <v>100</v>
      </c>
      <c r="B102" s="60">
        <v>1</v>
      </c>
      <c r="C102" s="60">
        <v>1</v>
      </c>
      <c r="E102" s="89">
        <v>1</v>
      </c>
      <c r="F102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31096-2434-458D-BACE-2D45372DF57C}">
  <sheetPr codeName="Sheet9"/>
  <dimension ref="A1:J104"/>
  <sheetViews>
    <sheetView zoomScale="70" zoomScaleNormal="70" workbookViewId="0">
      <selection activeCell="B2" sqref="B2"/>
    </sheetView>
  </sheetViews>
  <sheetFormatPr defaultColWidth="8.69140625" defaultRowHeight="14.6"/>
  <cols>
    <col min="1" max="1" width="11.3828125" style="38" bestFit="1" customWidth="1"/>
    <col min="2" max="2" width="18.3046875" bestFit="1" customWidth="1"/>
    <col min="3" max="3" width="22.3828125" bestFit="1" customWidth="1"/>
    <col min="4" max="4" width="23.3828125" bestFit="1" customWidth="1"/>
    <col min="5" max="5" width="36.69140625" bestFit="1" customWidth="1"/>
    <col min="6" max="6" width="50.3828125" bestFit="1" customWidth="1"/>
    <col min="7" max="7" width="39.3828125" bestFit="1" customWidth="1"/>
    <col min="8" max="8" width="54.69140625" bestFit="1" customWidth="1"/>
    <col min="9" max="9" width="50.3046875" bestFit="1" customWidth="1"/>
    <col min="10" max="10" width="54.3046875" bestFit="1" customWidth="1"/>
  </cols>
  <sheetData>
    <row r="1" spans="1:10" s="31" customFormat="1" ht="15" thickBot="1">
      <c r="A1" s="41" t="s">
        <v>55</v>
      </c>
      <c r="B1" s="41" t="s">
        <v>89</v>
      </c>
      <c r="C1" s="41" t="s">
        <v>90</v>
      </c>
      <c r="D1" s="41" t="s">
        <v>91</v>
      </c>
      <c r="E1" s="41" t="s">
        <v>92</v>
      </c>
      <c r="F1" s="41" t="s">
        <v>93</v>
      </c>
      <c r="G1" s="41" t="s">
        <v>94</v>
      </c>
      <c r="H1" s="41" t="s">
        <v>95</v>
      </c>
      <c r="I1" s="41" t="s">
        <v>96</v>
      </c>
      <c r="J1" s="41" t="s">
        <v>97</v>
      </c>
    </row>
    <row r="2" spans="1:10" ht="15.45" thickTop="1" thickBot="1">
      <c r="A2" s="17">
        <v>1</v>
      </c>
      <c r="B2" s="45">
        <f>IF(Xinput_allocation_option=5,VLOOKUP($A2,'S&amp;P 500'!$N:$P,3,FALSE),VLOOKUP($A2,'S&amp;P 500'!$J:$L,3,FALSE))</f>
        <v>2.8977926674070474E-2</v>
      </c>
      <c r="C2" s="45">
        <f>IF(Xinput_allocation_option=5,VLOOKUP($A2,'NAS 100'!$N:$P,3,FALSE),VLOOKUP($A2,'NAS 100'!$J:$L,3,FALSE))</f>
        <v>0.11574277608897852</v>
      </c>
      <c r="D2" s="45">
        <f>IF(Xinput_allocation_option=5,VLOOKUP($A2,'Russel 2000'!$N:$P,3,FALSE),VLOOKUP($A2,'Russel 2000'!$J:$L,3,FALSE))</f>
        <v>-1.5192191168490705E-2</v>
      </c>
      <c r="E2" s="45">
        <f>IF(Xinput_allocation_option=5,VLOOKUP($A2,'iBLD Claria'!$N:$P,3,FALSE),VLOOKUP($A2,'iBLD Claria'!$J:$L,3,FALSE))</f>
        <v>-3.1659674882013718E-2</v>
      </c>
      <c r="F2" s="45">
        <f>IF(Xinput_allocation_option=5,VLOOKUP($A2,'Bloomberg DBI'!$N:$P,3,FALSE),VLOOKUP($A2,'Bloomberg DBI'!$J:$L,3,FALSE))</f>
        <v>4.9631394375468034E-2</v>
      </c>
      <c r="G2" s="45">
        <f>IF(Xinput_allocation_option=5,VLOOKUP($A2,'PIMCO TBI'!$N:$P,3,FALSE),VLOOKUP($A2,'PIMCO TBI'!$J:$L,3,FALSE))</f>
        <v>0.12325431826534354</v>
      </c>
      <c r="H2" s="45">
        <f>IF(Xinput_allocation_option=5,VLOOKUP($A2,'Bloomberg DBI ER'!$N:$P,3,FALSE),VLOOKUP($A2,'Bloomberg DBI ER'!$J:$L,3,FALSE))</f>
        <v>5.9633789624114593E-2</v>
      </c>
      <c r="I2" s="45">
        <f>IF(Xinput_allocation_option=5,VLOOKUP($A2,'PIMCO TBI ER'!$N:$P,3,FALSE),VLOOKUP($A2,'PIMCO TBI ER'!$J:$L,3,FALSE))</f>
        <v>0.10565938404843392</v>
      </c>
      <c r="J2" s="45">
        <f>IF(Xinput_allocation_option=5,VLOOKUP($A2,'iBLD Claria ER'!$N:$P,3,FALSE),VLOOKUP($A2,'iBLD Claria ER'!$J:$L,3,FALSE))</f>
        <v>2.7272727272727313E-2</v>
      </c>
    </row>
    <row r="3" spans="1:10" ht="15.45" thickTop="1" thickBot="1">
      <c r="A3" s="17">
        <v>2</v>
      </c>
      <c r="B3" s="45">
        <f>IF(Xinput_allocation_option=5,VLOOKUP($A3,'S&amp;P 500'!$N:$P,3,FALSE),VLOOKUP($A3,'S&amp;P 500'!$J:$L,3,FALSE))</f>
        <v>0.10910315308742147</v>
      </c>
      <c r="C3" s="45">
        <f>IF(Xinput_allocation_option=5,VLOOKUP($A3,'NAS 100'!$N:$P,3,FALSE),VLOOKUP($A3,'NAS 100'!$J:$L,3,FALSE))</f>
        <v>4.4024236851673539E-2</v>
      </c>
      <c r="D3" s="45">
        <f>IF(Xinput_allocation_option=5,VLOOKUP($A3,'Russel 2000'!$N:$P,3,FALSE),VLOOKUP($A3,'Russel 2000'!$J:$L,3,FALSE))</f>
        <v>0.12352329734993144</v>
      </c>
      <c r="E3" s="45">
        <f>IF(Xinput_allocation_option=5,VLOOKUP($A3,'iBLD Claria'!$N:$P,3,FALSE),VLOOKUP($A3,'iBLD Claria'!$J:$L,3,FALSE))</f>
        <v>0.12319772558045095</v>
      </c>
      <c r="F3" s="45">
        <f>IF(Xinput_allocation_option=5,VLOOKUP($A3,'Bloomberg DBI'!$N:$P,3,FALSE),VLOOKUP($A3,'Bloomberg DBI'!$J:$L,3,FALSE))</f>
        <v>6.5960116701655941E-2</v>
      </c>
      <c r="G3" s="45">
        <f>IF(Xinput_allocation_option=5,VLOOKUP($A3,'PIMCO TBI'!$N:$P,3,FALSE),VLOOKUP($A3,'PIMCO TBI'!$J:$L,3,FALSE))</f>
        <v>4.0611835916731454E-2</v>
      </c>
      <c r="H3" s="45">
        <f>IF(Xinput_allocation_option=5,VLOOKUP($A3,'Bloomberg DBI ER'!$N:$P,3,FALSE),VLOOKUP($A3,'Bloomberg DBI ER'!$J:$L,3,FALSE))</f>
        <v>7.3492509994359967E-2</v>
      </c>
      <c r="I3" s="45">
        <f>IF(Xinput_allocation_option=5,VLOOKUP($A3,'PIMCO TBI ER'!$N:$P,3,FALSE),VLOOKUP($A3,'PIMCO TBI ER'!$J:$L,3,FALSE))</f>
        <v>3.7282163603466256E-2</v>
      </c>
      <c r="J3" s="45">
        <f>IF(Xinput_allocation_option=5,VLOOKUP($A3,'iBLD Claria ER'!$N:$P,3,FALSE),VLOOKUP($A3,'iBLD Claria ER'!$J:$L,3,FALSE))</f>
        <v>5.1541378975007268E-2</v>
      </c>
    </row>
    <row r="4" spans="1:10" ht="15.45" thickTop="1" thickBot="1">
      <c r="A4" s="17">
        <v>3</v>
      </c>
      <c r="B4" s="45">
        <f>IF(Xinput_allocation_option=5,VLOOKUP($A4,'S&amp;P 500'!$N:$P,3,FALSE),VLOOKUP($A4,'S&amp;P 500'!$J:$L,3,FALSE))</f>
        <v>0.22761895892767869</v>
      </c>
      <c r="C4" s="45">
        <f>IF(Xinput_allocation_option=5,VLOOKUP($A4,'NAS 100'!$N:$P,3,FALSE),VLOOKUP($A4,'NAS 100'!$J:$L,3,FALSE))</f>
        <v>0.34964105219785357</v>
      </c>
      <c r="D4" s="45">
        <f>IF(Xinput_allocation_option=5,VLOOKUP($A4,'Russel 2000'!$N:$P,3,FALSE),VLOOKUP($A4,'Russel 2000'!$J:$L,3,FALSE))</f>
        <v>0.29844919765641681</v>
      </c>
      <c r="E4" s="45">
        <f>IF(Xinput_allocation_option=5,VLOOKUP($A4,'iBLD Claria'!$N:$P,3,FALSE),VLOOKUP($A4,'iBLD Claria'!$J:$L,3,FALSE))</f>
        <v>-8.0576146567829826E-2</v>
      </c>
      <c r="F4" s="45">
        <f>IF(Xinput_allocation_option=5,VLOOKUP($A4,'Bloomberg DBI'!$N:$P,3,FALSE),VLOOKUP($A4,'Bloomberg DBI'!$J:$L,3,FALSE))</f>
        <v>6.807198148919788E-2</v>
      </c>
      <c r="G4" s="45">
        <f>IF(Xinput_allocation_option=5,VLOOKUP($A4,'PIMCO TBI'!$N:$P,3,FALSE),VLOOKUP($A4,'PIMCO TBI'!$J:$L,3,FALSE))</f>
        <v>-0.1444741392862757</v>
      </c>
      <c r="H4" s="45">
        <f>IF(Xinput_allocation_option=5,VLOOKUP($A4,'Bloomberg DBI ER'!$N:$P,3,FALSE),VLOOKUP($A4,'Bloomberg DBI ER'!$J:$L,3,FALSE))</f>
        <v>6.8652784680292983E-2</v>
      </c>
      <c r="I4" s="45">
        <f>IF(Xinput_allocation_option=5,VLOOKUP($A4,'PIMCO TBI ER'!$N:$P,3,FALSE),VLOOKUP($A4,'PIMCO TBI ER'!$J:$L,3,FALSE))</f>
        <v>-0.12806977277943543</v>
      </c>
      <c r="J4" s="45">
        <f>IF(Xinput_allocation_option=5,VLOOKUP($A4,'iBLD Claria ER'!$N:$P,3,FALSE),VLOOKUP($A4,'iBLD Claria ER'!$J:$L,3,FALSE))</f>
        <v>-7.4262461851475087E-2</v>
      </c>
    </row>
    <row r="5" spans="1:10" ht="15.45" thickTop="1" thickBot="1">
      <c r="A5" s="17">
        <v>4</v>
      </c>
      <c r="B5" s="45">
        <f>IF(Xinput_allocation_option=5,VLOOKUP($A5,'S&amp;P 500'!$N:$P,3,FALSE),VLOOKUP($A5,'S&amp;P 500'!$J:$L,3,FALSE))</f>
        <v>0.13178631071420535</v>
      </c>
      <c r="C5" s="45">
        <f>IF(Xinput_allocation_option=5,VLOOKUP($A5,'NAS 100'!$N:$P,3,FALSE),VLOOKUP($A5,'NAS 100'!$J:$L,3,FALSE))</f>
        <v>0.20144741870029306</v>
      </c>
      <c r="D5" s="45">
        <f>IF(Xinput_allocation_option=5,VLOOKUP($A5,'Russel 2000'!$N:$P,3,FALSE),VLOOKUP($A5,'Russel 2000'!$J:$L,3,FALSE))</f>
        <v>4.2551722919959796E-2</v>
      </c>
      <c r="E5" s="45">
        <f>IF(Xinput_allocation_option=5,VLOOKUP($A5,'iBLD Claria'!$N:$P,3,FALSE),VLOOKUP($A5,'iBLD Claria'!$J:$L,3,FALSE))</f>
        <v>-3.1659674882013718E-2</v>
      </c>
      <c r="F5" s="45">
        <f>IF(Xinput_allocation_option=5,VLOOKUP($A5,'Bloomberg DBI'!$N:$P,3,FALSE),VLOOKUP($A5,'Bloomberg DBI'!$J:$L,3,FALSE))</f>
        <v>6.3237178764079124E-2</v>
      </c>
      <c r="G5" s="45">
        <f>IF(Xinput_allocation_option=5,VLOOKUP($A5,'PIMCO TBI'!$N:$P,3,FALSE),VLOOKUP($A5,'PIMCO TBI'!$J:$L,3,FALSE))</f>
        <v>0.12325431826534354</v>
      </c>
      <c r="H5" s="45">
        <f>IF(Xinput_allocation_option=5,VLOOKUP($A5,'Bloomberg DBI ER'!$N:$P,3,FALSE),VLOOKUP($A5,'Bloomberg DBI ER'!$J:$L,3,FALSE))</f>
        <v>7.1704873851048082E-2</v>
      </c>
      <c r="I5" s="45">
        <f>IF(Xinput_allocation_option=5,VLOOKUP($A5,'PIMCO TBI ER'!$N:$P,3,FALSE),VLOOKUP($A5,'PIMCO TBI ER'!$J:$L,3,FALSE))</f>
        <v>0.10565938404843392</v>
      </c>
      <c r="J5" s="45">
        <f>IF(Xinput_allocation_option=5,VLOOKUP($A5,'iBLD Claria ER'!$N:$P,3,FALSE),VLOOKUP($A5,'iBLD Claria ER'!$J:$L,3,FALSE))</f>
        <v>2.7272727272727313E-2</v>
      </c>
    </row>
    <row r="6" spans="1:10" ht="15.45" thickTop="1" thickBot="1">
      <c r="A6" s="17">
        <v>5</v>
      </c>
      <c r="B6" s="45">
        <f>IF(Xinput_allocation_option=5,VLOOKUP($A6,'S&amp;P 500'!$N:$P,3,FALSE),VLOOKUP($A6,'S&amp;P 500'!$J:$L,3,FALSE))</f>
        <v>-8.1857933000712729E-2</v>
      </c>
      <c r="C6" s="45">
        <f>IF(Xinput_allocation_option=5,VLOOKUP($A6,'NAS 100'!$N:$P,3,FALSE),VLOOKUP($A6,'NAS 100'!$J:$L,3,FALSE))</f>
        <v>-5.3944519454873288E-2</v>
      </c>
      <c r="D6" s="45">
        <f>IF(Xinput_allocation_option=5,VLOOKUP($A6,'Russel 2000'!$N:$P,3,FALSE),VLOOKUP($A6,'Russel 2000'!$J:$L,3,FALSE))</f>
        <v>-0.16172760145669021</v>
      </c>
      <c r="E6" s="45">
        <f>IF(Xinput_allocation_option=5,VLOOKUP($A6,'iBLD Claria'!$N:$P,3,FALSE),VLOOKUP($A6,'iBLD Claria'!$J:$L,3,FALSE))</f>
        <v>0.12319772558045095</v>
      </c>
      <c r="F6" s="45">
        <f>IF(Xinput_allocation_option=5,VLOOKUP($A6,'Bloomberg DBI'!$N:$P,3,FALSE),VLOOKUP($A6,'Bloomberg DBI'!$J:$L,3,FALSE))</f>
        <v>-3.046724551155407E-2</v>
      </c>
      <c r="G6" s="45">
        <f>IF(Xinput_allocation_option=5,VLOOKUP($A6,'PIMCO TBI'!$N:$P,3,FALSE),VLOOKUP($A6,'PIMCO TBI'!$J:$L,3,FALSE))</f>
        <v>4.0611835916731454E-2</v>
      </c>
      <c r="H6" s="45">
        <f>IF(Xinput_allocation_option=5,VLOOKUP($A6,'Bloomberg DBI ER'!$N:$P,3,FALSE),VLOOKUP($A6,'Bloomberg DBI ER'!$J:$L,3,FALSE))</f>
        <v>-3.1721933218501211E-2</v>
      </c>
      <c r="I6" s="45">
        <f>IF(Xinput_allocation_option=5,VLOOKUP($A6,'PIMCO TBI ER'!$N:$P,3,FALSE),VLOOKUP($A6,'PIMCO TBI ER'!$J:$L,3,FALSE))</f>
        <v>3.7282163603466256E-2</v>
      </c>
      <c r="J6" s="45">
        <f>IF(Xinput_allocation_option=5,VLOOKUP($A6,'iBLD Claria ER'!$N:$P,3,FALSE),VLOOKUP($A6,'iBLD Claria ER'!$J:$L,3,FALSE))</f>
        <v>5.1541378975007268E-2</v>
      </c>
    </row>
    <row r="7" spans="1:10" ht="15.45" thickTop="1" thickBot="1">
      <c r="A7" s="17">
        <v>6</v>
      </c>
      <c r="B7" s="45">
        <f>IF(Xinput_allocation_option=5,VLOOKUP($A7,'S&amp;P 500'!$N:$P,3,FALSE),VLOOKUP($A7,'S&amp;P 500'!$J:$L,3,FALSE))</f>
        <v>0.2232704789105901</v>
      </c>
      <c r="C7" s="45">
        <f>IF(Xinput_allocation_option=5,VLOOKUP($A7,'NAS 100'!$N:$P,3,FALSE),VLOOKUP($A7,'NAS 100'!$J:$L,3,FALSE))</f>
        <v>0.26878306512367683</v>
      </c>
      <c r="D7" s="45">
        <f>IF(Xinput_allocation_option=5,VLOOKUP($A7,'Russel 2000'!$N:$P,3,FALSE),VLOOKUP($A7,'Russel 2000'!$J:$L,3,FALSE))</f>
        <v>0.34121290435331286</v>
      </c>
      <c r="E7" s="45">
        <f>IF(Xinput_allocation_option=5,VLOOKUP($A7,'iBLD Claria'!$N:$P,3,FALSE),VLOOKUP($A7,'iBLD Claria'!$J:$L,3,FALSE))</f>
        <v>-8.0576146567829826E-2</v>
      </c>
      <c r="F7" s="45">
        <f>IF(Xinput_allocation_option=5,VLOOKUP($A7,'Bloomberg DBI'!$N:$P,3,FALSE),VLOOKUP($A7,'Bloomberg DBI'!$J:$L,3,FALSE))</f>
        <v>6.5569036319059262E-2</v>
      </c>
      <c r="G7" s="45">
        <f>IF(Xinput_allocation_option=5,VLOOKUP($A7,'PIMCO TBI'!$N:$P,3,FALSE),VLOOKUP($A7,'PIMCO TBI'!$J:$L,3,FALSE))</f>
        <v>-0.1444741392862757</v>
      </c>
      <c r="H7" s="45">
        <f>IF(Xinput_allocation_option=5,VLOOKUP($A7,'Bloomberg DBI ER'!$N:$P,3,FALSE),VLOOKUP($A7,'Bloomberg DBI ER'!$J:$L,3,FALSE))</f>
        <v>7.194968748361126E-2</v>
      </c>
      <c r="I7" s="45">
        <f>IF(Xinput_allocation_option=5,VLOOKUP($A7,'PIMCO TBI ER'!$N:$P,3,FALSE),VLOOKUP($A7,'PIMCO TBI ER'!$J:$L,3,FALSE))</f>
        <v>-0.12806977277943543</v>
      </c>
      <c r="J7" s="45">
        <f>IF(Xinput_allocation_option=5,VLOOKUP($A7,'iBLD Claria ER'!$N:$P,3,FALSE),VLOOKUP($A7,'iBLD Claria ER'!$J:$L,3,FALSE))</f>
        <v>-7.4262461851475087E-2</v>
      </c>
    </row>
    <row r="8" spans="1:10" ht="15.45" thickTop="1" thickBot="1">
      <c r="A8" s="17">
        <v>7</v>
      </c>
      <c r="B8" s="45">
        <f>IF(Xinput_allocation_option=5,VLOOKUP($A8,'S&amp;P 500'!$N:$P,3,FALSE),VLOOKUP($A8,'S&amp;P 500'!$J:$L,3,FALSE))</f>
        <v>0.14815716473439972</v>
      </c>
      <c r="C8" s="45">
        <f>IF(Xinput_allocation_option=5,VLOOKUP($A8,'NAS 100'!$N:$P,3,FALSE),VLOOKUP($A8,'NAS 100'!$J:$L,3,FALSE))</f>
        <v>0.28593268423974799</v>
      </c>
      <c r="D8" s="45">
        <f>IF(Xinput_allocation_option=5,VLOOKUP($A8,'Russel 2000'!$N:$P,3,FALSE),VLOOKUP($A8,'Russel 2000'!$J:$L,3,FALSE))</f>
        <v>9.0698569318283517E-2</v>
      </c>
      <c r="E8" s="45">
        <f>IF(Xinput_allocation_option=5,VLOOKUP($A8,'iBLD Claria'!$N:$P,3,FALSE),VLOOKUP($A8,'iBLD Claria'!$J:$L,3,FALSE))</f>
        <v>-3.1659674882013718E-2</v>
      </c>
      <c r="F8" s="45">
        <f>IF(Xinput_allocation_option=5,VLOOKUP($A8,'Bloomberg DBI'!$N:$P,3,FALSE),VLOOKUP($A8,'Bloomberg DBI'!$J:$L,3,FALSE))</f>
        <v>0.17408240841116446</v>
      </c>
      <c r="G8" s="45">
        <f>IF(Xinput_allocation_option=5,VLOOKUP($A8,'PIMCO TBI'!$N:$P,3,FALSE),VLOOKUP($A8,'PIMCO TBI'!$J:$L,3,FALSE))</f>
        <v>0.12325431826534354</v>
      </c>
      <c r="H8" s="45">
        <f>IF(Xinput_allocation_option=5,VLOOKUP($A8,'Bloomberg DBI ER'!$N:$P,3,FALSE),VLOOKUP($A8,'Bloomberg DBI ER'!$J:$L,3,FALSE))</f>
        <v>0.17857724619076987</v>
      </c>
      <c r="I8" s="45">
        <f>IF(Xinput_allocation_option=5,VLOOKUP($A8,'PIMCO TBI ER'!$N:$P,3,FALSE),VLOOKUP($A8,'PIMCO TBI ER'!$J:$L,3,FALSE))</f>
        <v>0.10565938404843392</v>
      </c>
      <c r="J8" s="45">
        <f>IF(Xinput_allocation_option=5,VLOOKUP($A8,'iBLD Claria ER'!$N:$P,3,FALSE),VLOOKUP($A8,'iBLD Claria ER'!$J:$L,3,FALSE))</f>
        <v>2.7272727272727313E-2</v>
      </c>
    </row>
    <row r="9" spans="1:10" ht="15.45" thickTop="1" thickBot="1">
      <c r="A9" s="17">
        <v>8</v>
      </c>
      <c r="B9" s="45">
        <f>IF(Xinput_allocation_option=5,VLOOKUP($A9,'S&amp;P 500'!$N:$P,3,FALSE),VLOOKUP($A9,'S&amp;P 500'!$J:$L,3,FALSE))</f>
        <v>2.603696987988062E-2</v>
      </c>
      <c r="C9" s="45">
        <f>IF(Xinput_allocation_option=5,VLOOKUP($A9,'NAS 100'!$N:$P,3,FALSE),VLOOKUP($A9,'NAS 100'!$J:$L,3,FALSE))</f>
        <v>3.5467605686035131E-2</v>
      </c>
      <c r="D9" s="45">
        <f>IF(Xinput_allocation_option=5,VLOOKUP($A9,'Russel 2000'!$N:$P,3,FALSE),VLOOKUP($A9,'Russel 2000'!$J:$L,3,FALSE))</f>
        <v>4.1720453598004636E-2</v>
      </c>
      <c r="E9" s="45">
        <f>IF(Xinput_allocation_option=5,VLOOKUP($A9,'iBLD Claria'!$N:$P,3,FALSE),VLOOKUP($A9,'iBLD Claria'!$J:$L,3,FALSE))</f>
        <v>0.12319772558045095</v>
      </c>
      <c r="F9" s="45">
        <f>IF(Xinput_allocation_option=5,VLOOKUP($A9,'Bloomberg DBI'!$N:$P,3,FALSE),VLOOKUP($A9,'Bloomberg DBI'!$J:$L,3,FALSE))</f>
        <v>-1.9671819185666482E-2</v>
      </c>
      <c r="G9" s="45">
        <f>IF(Xinput_allocation_option=5,VLOOKUP($A9,'PIMCO TBI'!$N:$P,3,FALSE),VLOOKUP($A9,'PIMCO TBI'!$J:$L,3,FALSE))</f>
        <v>4.0611835916731454E-2</v>
      </c>
      <c r="H9" s="45">
        <f>IF(Xinput_allocation_option=5,VLOOKUP($A9,'Bloomberg DBI ER'!$N:$P,3,FALSE),VLOOKUP($A9,'Bloomberg DBI ER'!$J:$L,3,FALSE))</f>
        <v>-3.0647180525431517E-2</v>
      </c>
      <c r="I9" s="45">
        <f>IF(Xinput_allocation_option=5,VLOOKUP($A9,'PIMCO TBI ER'!$N:$P,3,FALSE),VLOOKUP($A9,'PIMCO TBI ER'!$J:$L,3,FALSE))</f>
        <v>3.7282163603466256E-2</v>
      </c>
      <c r="J9" s="45">
        <f>IF(Xinput_allocation_option=5,VLOOKUP($A9,'iBLD Claria ER'!$N:$P,3,FALSE),VLOOKUP($A9,'iBLD Claria ER'!$J:$L,3,FALSE))</f>
        <v>5.1541378975007268E-2</v>
      </c>
    </row>
    <row r="10" spans="1:10" ht="15.45" thickTop="1" thickBot="1">
      <c r="A10" s="17">
        <v>9</v>
      </c>
      <c r="B10" s="45">
        <f>IF(Xinput_allocation_option=5,VLOOKUP($A10,'S&amp;P 500'!$N:$P,3,FALSE),VLOOKUP($A10,'S&amp;P 500'!$J:$L,3,FALSE))</f>
        <v>6.0955500508012225E-2</v>
      </c>
      <c r="C10" s="45">
        <f>IF(Xinput_allocation_option=5,VLOOKUP($A10,'NAS 100'!$N:$P,3,FALSE),VLOOKUP($A10,'NAS 100'!$J:$L,3,FALSE))</f>
        <v>0.1922218482102504</v>
      </c>
      <c r="D10" s="45">
        <f>IF(Xinput_allocation_option=5,VLOOKUP($A10,'Russel 2000'!$N:$P,3,FALSE),VLOOKUP($A10,'Russel 2000'!$J:$L,3,FALSE))</f>
        <v>-6.291135915543361E-2</v>
      </c>
      <c r="E10" s="45">
        <f>IF(Xinput_allocation_option=5,VLOOKUP($A10,'iBLD Claria'!$N:$P,3,FALSE),VLOOKUP($A10,'iBLD Claria'!$J:$L,3,FALSE))</f>
        <v>-8.0576146567829826E-2</v>
      </c>
      <c r="F10" s="45">
        <f>IF(Xinput_allocation_option=5,VLOOKUP($A10,'Bloomberg DBI'!$N:$P,3,FALSE),VLOOKUP($A10,'Bloomberg DBI'!$J:$L,3,FALSE))</f>
        <v>0.15506029544703762</v>
      </c>
      <c r="G10" s="45">
        <f>IF(Xinput_allocation_option=5,VLOOKUP($A10,'PIMCO TBI'!$N:$P,3,FALSE),VLOOKUP($A10,'PIMCO TBI'!$J:$L,3,FALSE))</f>
        <v>-0.1444741392862757</v>
      </c>
      <c r="H10" s="45">
        <f>IF(Xinput_allocation_option=5,VLOOKUP($A10,'Bloomberg DBI ER'!$N:$P,3,FALSE),VLOOKUP($A10,'Bloomberg DBI ER'!$J:$L,3,FALSE))</f>
        <v>0.1408233915533314</v>
      </c>
      <c r="I10" s="45">
        <f>IF(Xinput_allocation_option=5,VLOOKUP($A10,'PIMCO TBI ER'!$N:$P,3,FALSE),VLOOKUP($A10,'PIMCO TBI ER'!$J:$L,3,FALSE))</f>
        <v>-0.12806977277943543</v>
      </c>
      <c r="J10" s="45">
        <f>IF(Xinput_allocation_option=5,VLOOKUP($A10,'iBLD Claria ER'!$N:$P,3,FALSE),VLOOKUP($A10,'iBLD Claria ER'!$J:$L,3,FALSE))</f>
        <v>-7.4262461851475087E-2</v>
      </c>
    </row>
    <row r="11" spans="1:10" ht="15.45" thickTop="1" thickBot="1">
      <c r="A11" s="17">
        <v>10</v>
      </c>
      <c r="B11" s="45">
        <f>IF(Xinput_allocation_option=5,VLOOKUP($A11,'S&amp;P 500'!$N:$P,3,FALSE),VLOOKUP($A11,'S&amp;P 500'!$J:$L,3,FALSE))</f>
        <v>0.30425970504008892</v>
      </c>
      <c r="C11" s="45">
        <f>IF(Xinput_allocation_option=5,VLOOKUP($A11,'NAS 100'!$N:$P,3,FALSE),VLOOKUP($A11,'NAS 100'!$J:$L,3,FALSE))</f>
        <v>0.58417106044846767</v>
      </c>
      <c r="D11" s="45">
        <f>IF(Xinput_allocation_option=5,VLOOKUP($A11,'Russel 2000'!$N:$P,3,FALSE),VLOOKUP($A11,'Russel 2000'!$J:$L,3,FALSE))</f>
        <v>0.45040457026621861</v>
      </c>
      <c r="E11" s="45">
        <f>IF(Xinput_allocation_option=5,VLOOKUP($A11,'iBLD Claria'!$N:$P,3,FALSE),VLOOKUP($A11,'iBLD Claria'!$J:$L,3,FALSE))</f>
        <v>-3.1659674882013718E-2</v>
      </c>
      <c r="F11" s="45">
        <f>IF(Xinput_allocation_option=5,VLOOKUP($A11,'Bloomberg DBI'!$N:$P,3,FALSE),VLOOKUP($A11,'Bloomberg DBI'!$J:$L,3,FALSE))</f>
        <v>4.3805461458172455E-2</v>
      </c>
      <c r="G11" s="45">
        <f>IF(Xinput_allocation_option=5,VLOOKUP($A11,'PIMCO TBI'!$N:$P,3,FALSE),VLOOKUP($A11,'PIMCO TBI'!$J:$L,3,FALSE))</f>
        <v>0.12325431826534354</v>
      </c>
      <c r="H11" s="45">
        <f>IF(Xinput_allocation_option=5,VLOOKUP($A11,'Bloomberg DBI ER'!$N:$P,3,FALSE),VLOOKUP($A11,'Bloomberg DBI ER'!$J:$L,3,FALSE))</f>
        <v>2.7254877789204764E-2</v>
      </c>
      <c r="I11" s="45">
        <f>IF(Xinput_allocation_option=5,VLOOKUP($A11,'PIMCO TBI ER'!$N:$P,3,FALSE),VLOOKUP($A11,'PIMCO TBI ER'!$J:$L,3,FALSE))</f>
        <v>0.10565938404843392</v>
      </c>
      <c r="J11" s="45">
        <f>IF(Xinput_allocation_option=5,VLOOKUP($A11,'iBLD Claria ER'!$N:$P,3,FALSE),VLOOKUP($A11,'iBLD Claria ER'!$J:$L,3,FALSE))</f>
        <v>2.7272727272727313E-2</v>
      </c>
    </row>
    <row r="12" spans="1:10" ht="15.45" thickTop="1" thickBot="1">
      <c r="A12" s="17">
        <v>11</v>
      </c>
      <c r="B12" s="45">
        <f>IF(Xinput_allocation_option=5,VLOOKUP($A12,'S&amp;P 500'!$N:$P,3,FALSE),VLOOKUP($A12,'S&amp;P 500'!$J:$L,3,FALSE))</f>
        <v>-0.65554221761429954</v>
      </c>
      <c r="C12" s="45">
        <f>IF(Xinput_allocation_option=5,VLOOKUP($A12,'NAS 100'!$N:$P,3,FALSE),VLOOKUP($A12,'NAS 100'!$J:$L,3,FALSE))</f>
        <v>-0.82461824783145721</v>
      </c>
      <c r="D12" s="45">
        <f>IF(Xinput_allocation_option=5,VLOOKUP($A12,'Russel 2000'!$N:$P,3,FALSE),VLOOKUP($A12,'Russel 2000'!$J:$L,3,FALSE))</f>
        <v>-0.61546559447090998</v>
      </c>
      <c r="E12" s="45">
        <f>IF(Xinput_allocation_option=5,VLOOKUP($A12,'iBLD Claria'!$N:$P,3,FALSE),VLOOKUP($A12,'iBLD Claria'!$J:$L,3,FALSE))</f>
        <v>0.12319772558045095</v>
      </c>
      <c r="F12" s="45">
        <f>IF(Xinput_allocation_option=5,VLOOKUP($A12,'Bloomberg DBI'!$N:$P,3,FALSE),VLOOKUP($A12,'Bloomberg DBI'!$J:$L,3,FALSE))</f>
        <v>-0.45102421407850335</v>
      </c>
      <c r="G12" s="45">
        <f>IF(Xinput_allocation_option=5,VLOOKUP($A12,'PIMCO TBI'!$N:$P,3,FALSE),VLOOKUP($A12,'PIMCO TBI'!$J:$L,3,FALSE))</f>
        <v>4.0611835916731454E-2</v>
      </c>
      <c r="H12" s="45">
        <f>IF(Xinput_allocation_option=5,VLOOKUP($A12,'Bloomberg DBI ER'!$N:$P,3,FALSE),VLOOKUP($A12,'Bloomberg DBI ER'!$J:$L,3,FALSE))</f>
        <v>-0.4476399005749413</v>
      </c>
      <c r="I12" s="45">
        <f>IF(Xinput_allocation_option=5,VLOOKUP($A12,'PIMCO TBI ER'!$N:$P,3,FALSE),VLOOKUP($A12,'PIMCO TBI ER'!$J:$L,3,FALSE))</f>
        <v>3.7282163603466256E-2</v>
      </c>
      <c r="J12" s="45">
        <f>IF(Xinput_allocation_option=5,VLOOKUP($A12,'iBLD Claria ER'!$N:$P,3,FALSE),VLOOKUP($A12,'iBLD Claria ER'!$J:$L,3,FALSE))</f>
        <v>5.1541378975007268E-2</v>
      </c>
    </row>
    <row r="13" spans="1:10" ht="15.45" thickTop="1" thickBot="1">
      <c r="A13" s="17">
        <v>12</v>
      </c>
      <c r="B13" s="45">
        <f>IF(Xinput_allocation_option=5,VLOOKUP($A13,'S&amp;P 500'!$N:$P,3,FALSE),VLOOKUP($A13,'S&amp;P 500'!$J:$L,3,FALSE))</f>
        <v>2.8977926674070474E-2</v>
      </c>
      <c r="C13" s="45">
        <f>IF(Xinput_allocation_option=5,VLOOKUP($A13,'NAS 100'!$N:$P,3,FALSE),VLOOKUP($A13,'NAS 100'!$J:$L,3,FALSE))</f>
        <v>0.11574277608897852</v>
      </c>
      <c r="D13" s="45">
        <f>IF(Xinput_allocation_option=5,VLOOKUP($A13,'Russel 2000'!$N:$P,3,FALSE),VLOOKUP($A13,'Russel 2000'!$J:$L,3,FALSE))</f>
        <v>-1.5192191168490705E-2</v>
      </c>
      <c r="E13" s="45">
        <f>IF(Xinput_allocation_option=5,VLOOKUP($A13,'iBLD Claria'!$N:$P,3,FALSE),VLOOKUP($A13,'iBLD Claria'!$J:$L,3,FALSE))</f>
        <v>-8.0576146567829826E-2</v>
      </c>
      <c r="F13" s="45">
        <f>IF(Xinput_allocation_option=5,VLOOKUP($A13,'Bloomberg DBI'!$N:$P,3,FALSE),VLOOKUP($A13,'Bloomberg DBI'!$J:$L,3,FALSE))</f>
        <v>4.9631394375468034E-2</v>
      </c>
      <c r="G13" s="45">
        <f>IF(Xinput_allocation_option=5,VLOOKUP($A13,'PIMCO TBI'!$N:$P,3,FALSE),VLOOKUP($A13,'PIMCO TBI'!$J:$L,3,FALSE))</f>
        <v>-0.1444741392862757</v>
      </c>
      <c r="H13" s="45">
        <f>IF(Xinput_allocation_option=5,VLOOKUP($A13,'Bloomberg DBI ER'!$N:$P,3,FALSE),VLOOKUP($A13,'Bloomberg DBI ER'!$J:$L,3,FALSE))</f>
        <v>5.9633789624114593E-2</v>
      </c>
      <c r="I13" s="45">
        <f>IF(Xinput_allocation_option=5,VLOOKUP($A13,'PIMCO TBI ER'!$N:$P,3,FALSE),VLOOKUP($A13,'PIMCO TBI ER'!$J:$L,3,FALSE))</f>
        <v>-0.12806977277943543</v>
      </c>
      <c r="J13" s="45">
        <f>IF(Xinput_allocation_option=5,VLOOKUP($A13,'iBLD Claria ER'!$N:$P,3,FALSE),VLOOKUP($A13,'iBLD Claria ER'!$J:$L,3,FALSE))</f>
        <v>-7.4262461851475087E-2</v>
      </c>
    </row>
    <row r="14" spans="1:10" ht="15.45" thickTop="1" thickBot="1">
      <c r="A14" s="17">
        <v>13</v>
      </c>
      <c r="B14" s="45">
        <f>IF(Xinput_allocation_option=5,VLOOKUP($A14,'S&amp;P 500'!$N:$P,3,FALSE),VLOOKUP($A14,'S&amp;P 500'!$J:$L,3,FALSE))</f>
        <v>0.10910315308742147</v>
      </c>
      <c r="C14" s="45">
        <f>IF(Xinput_allocation_option=5,VLOOKUP($A14,'NAS 100'!$N:$P,3,FALSE),VLOOKUP($A14,'NAS 100'!$J:$L,3,FALSE))</f>
        <v>4.4024236851673539E-2</v>
      </c>
      <c r="D14" s="45">
        <f>IF(Xinput_allocation_option=5,VLOOKUP($A14,'Russel 2000'!$N:$P,3,FALSE),VLOOKUP($A14,'Russel 2000'!$J:$L,3,FALSE))</f>
        <v>0.12352329734993144</v>
      </c>
      <c r="E14" s="45">
        <f>IF(Xinput_allocation_option=5,VLOOKUP($A14,'iBLD Claria'!$N:$P,3,FALSE),VLOOKUP($A14,'iBLD Claria'!$J:$L,3,FALSE))</f>
        <v>-3.1659674882013718E-2</v>
      </c>
      <c r="F14" s="45">
        <f>IF(Xinput_allocation_option=5,VLOOKUP($A14,'Bloomberg DBI'!$N:$P,3,FALSE),VLOOKUP($A14,'Bloomberg DBI'!$J:$L,3,FALSE))</f>
        <v>6.5960116701655941E-2</v>
      </c>
      <c r="G14" s="45">
        <f>IF(Xinput_allocation_option=5,VLOOKUP($A14,'PIMCO TBI'!$N:$P,3,FALSE),VLOOKUP($A14,'PIMCO TBI'!$J:$L,3,FALSE))</f>
        <v>0.12325431826534354</v>
      </c>
      <c r="H14" s="45">
        <f>IF(Xinput_allocation_option=5,VLOOKUP($A14,'Bloomberg DBI ER'!$N:$P,3,FALSE),VLOOKUP($A14,'Bloomberg DBI ER'!$J:$L,3,FALSE))</f>
        <v>7.3492509994359967E-2</v>
      </c>
      <c r="I14" s="45">
        <f>IF(Xinput_allocation_option=5,VLOOKUP($A14,'PIMCO TBI ER'!$N:$P,3,FALSE),VLOOKUP($A14,'PIMCO TBI ER'!$J:$L,3,FALSE))</f>
        <v>0.10565938404843392</v>
      </c>
      <c r="J14" s="45">
        <f>IF(Xinput_allocation_option=5,VLOOKUP($A14,'iBLD Claria ER'!$N:$P,3,FALSE),VLOOKUP($A14,'iBLD Claria ER'!$J:$L,3,FALSE))</f>
        <v>2.7272727272727313E-2</v>
      </c>
    </row>
    <row r="15" spans="1:10" ht="15.45" thickTop="1" thickBot="1">
      <c r="A15" s="17">
        <v>14</v>
      </c>
      <c r="B15" s="45">
        <f>IF(Xinput_allocation_option=5,VLOOKUP($A15,'S&amp;P 500'!$N:$P,3,FALSE),VLOOKUP($A15,'S&amp;P 500'!$J:$L,3,FALSE))</f>
        <v>0.22761895892767869</v>
      </c>
      <c r="C15" s="45">
        <f>IF(Xinput_allocation_option=5,VLOOKUP($A15,'NAS 100'!$N:$P,3,FALSE),VLOOKUP($A15,'NAS 100'!$J:$L,3,FALSE))</f>
        <v>0.34964105219785357</v>
      </c>
      <c r="D15" s="45">
        <f>IF(Xinput_allocation_option=5,VLOOKUP($A15,'Russel 2000'!$N:$P,3,FALSE),VLOOKUP($A15,'Russel 2000'!$J:$L,3,FALSE))</f>
        <v>0.29844919765641681</v>
      </c>
      <c r="E15" s="45">
        <f>IF(Xinput_allocation_option=5,VLOOKUP($A15,'iBLD Claria'!$N:$P,3,FALSE),VLOOKUP($A15,'iBLD Claria'!$J:$L,3,FALSE))</f>
        <v>0.12319772558045095</v>
      </c>
      <c r="F15" s="45">
        <f>IF(Xinput_allocation_option=5,VLOOKUP($A15,'Bloomberg DBI'!$N:$P,3,FALSE),VLOOKUP($A15,'Bloomberg DBI'!$J:$L,3,FALSE))</f>
        <v>6.807198148919788E-2</v>
      </c>
      <c r="G15" s="45">
        <f>IF(Xinput_allocation_option=5,VLOOKUP($A15,'PIMCO TBI'!$N:$P,3,FALSE),VLOOKUP($A15,'PIMCO TBI'!$J:$L,3,FALSE))</f>
        <v>4.0611835916731454E-2</v>
      </c>
      <c r="H15" s="45">
        <f>IF(Xinput_allocation_option=5,VLOOKUP($A15,'Bloomberg DBI ER'!$N:$P,3,FALSE),VLOOKUP($A15,'Bloomberg DBI ER'!$J:$L,3,FALSE))</f>
        <v>6.8652784680292983E-2</v>
      </c>
      <c r="I15" s="45">
        <f>IF(Xinput_allocation_option=5,VLOOKUP($A15,'PIMCO TBI ER'!$N:$P,3,FALSE),VLOOKUP($A15,'PIMCO TBI ER'!$J:$L,3,FALSE))</f>
        <v>3.7282163603466256E-2</v>
      </c>
      <c r="J15" s="45">
        <f>IF(Xinput_allocation_option=5,VLOOKUP($A15,'iBLD Claria ER'!$N:$P,3,FALSE),VLOOKUP($A15,'iBLD Claria ER'!$J:$L,3,FALSE))</f>
        <v>5.1541378975007268E-2</v>
      </c>
    </row>
    <row r="16" spans="1:10" ht="15.45" thickTop="1" thickBot="1">
      <c r="A16" s="17">
        <v>15</v>
      </c>
      <c r="B16" s="45">
        <f>IF(Xinput_allocation_option=5,VLOOKUP($A16,'S&amp;P 500'!$N:$P,3,FALSE),VLOOKUP($A16,'S&amp;P 500'!$J:$L,3,FALSE))</f>
        <v>0.13178631071420535</v>
      </c>
      <c r="C16" s="45">
        <f>IF(Xinput_allocation_option=5,VLOOKUP($A16,'NAS 100'!$N:$P,3,FALSE),VLOOKUP($A16,'NAS 100'!$J:$L,3,FALSE))</f>
        <v>0.20144741870029306</v>
      </c>
      <c r="D16" s="45">
        <f>IF(Xinput_allocation_option=5,VLOOKUP($A16,'Russel 2000'!$N:$P,3,FALSE),VLOOKUP($A16,'Russel 2000'!$J:$L,3,FALSE))</f>
        <v>4.2551722919959796E-2</v>
      </c>
      <c r="E16" s="45">
        <f>IF(Xinput_allocation_option=5,VLOOKUP($A16,'iBLD Claria'!$N:$P,3,FALSE),VLOOKUP($A16,'iBLD Claria'!$J:$L,3,FALSE))</f>
        <v>-8.0576146567829826E-2</v>
      </c>
      <c r="F16" s="45">
        <f>IF(Xinput_allocation_option=5,VLOOKUP($A16,'Bloomberg DBI'!$N:$P,3,FALSE),VLOOKUP($A16,'Bloomberg DBI'!$J:$L,3,FALSE))</f>
        <v>6.3237178764079124E-2</v>
      </c>
      <c r="G16" s="45">
        <f>IF(Xinput_allocation_option=5,VLOOKUP($A16,'PIMCO TBI'!$N:$P,3,FALSE),VLOOKUP($A16,'PIMCO TBI'!$J:$L,3,FALSE))</f>
        <v>-0.1444741392862757</v>
      </c>
      <c r="H16" s="45">
        <f>IF(Xinput_allocation_option=5,VLOOKUP($A16,'Bloomberg DBI ER'!$N:$P,3,FALSE),VLOOKUP($A16,'Bloomberg DBI ER'!$J:$L,3,FALSE))</f>
        <v>7.1704873851048082E-2</v>
      </c>
      <c r="I16" s="45">
        <f>IF(Xinput_allocation_option=5,VLOOKUP($A16,'PIMCO TBI ER'!$N:$P,3,FALSE),VLOOKUP($A16,'PIMCO TBI ER'!$J:$L,3,FALSE))</f>
        <v>-0.12806977277943543</v>
      </c>
      <c r="J16" s="45">
        <f>IF(Xinput_allocation_option=5,VLOOKUP($A16,'iBLD Claria ER'!$N:$P,3,FALSE),VLOOKUP($A16,'iBLD Claria ER'!$J:$L,3,FALSE))</f>
        <v>-7.4262461851475087E-2</v>
      </c>
    </row>
    <row r="17" spans="1:10" ht="15.45" thickTop="1" thickBot="1">
      <c r="A17" s="17">
        <v>16</v>
      </c>
      <c r="B17" s="45">
        <f>IF(Xinput_allocation_option=5,VLOOKUP($A17,'S&amp;P 500'!$N:$P,3,FALSE),VLOOKUP($A17,'S&amp;P 500'!$J:$L,3,FALSE))</f>
        <v>-8.1857933000712729E-2</v>
      </c>
      <c r="C17" s="45">
        <f>IF(Xinput_allocation_option=5,VLOOKUP($A17,'NAS 100'!$N:$P,3,FALSE),VLOOKUP($A17,'NAS 100'!$J:$L,3,FALSE))</f>
        <v>-5.3944519454873288E-2</v>
      </c>
      <c r="D17" s="45">
        <f>IF(Xinput_allocation_option=5,VLOOKUP($A17,'Russel 2000'!$N:$P,3,FALSE),VLOOKUP($A17,'Russel 2000'!$J:$L,3,FALSE))</f>
        <v>-0.16172760145669021</v>
      </c>
      <c r="E17" s="45">
        <f>IF(Xinput_allocation_option=5,VLOOKUP($A17,'iBLD Claria'!$N:$P,3,FALSE),VLOOKUP($A17,'iBLD Claria'!$J:$L,3,FALSE))</f>
        <v>-3.1659674882013718E-2</v>
      </c>
      <c r="F17" s="45">
        <f>IF(Xinput_allocation_option=5,VLOOKUP($A17,'Bloomberg DBI'!$N:$P,3,FALSE),VLOOKUP($A17,'Bloomberg DBI'!$J:$L,3,FALSE))</f>
        <v>-3.046724551155407E-2</v>
      </c>
      <c r="G17" s="45">
        <f>IF(Xinput_allocation_option=5,VLOOKUP($A17,'PIMCO TBI'!$N:$P,3,FALSE),VLOOKUP($A17,'PIMCO TBI'!$J:$L,3,FALSE))</f>
        <v>0.12325431826534354</v>
      </c>
      <c r="H17" s="45">
        <f>IF(Xinput_allocation_option=5,VLOOKUP($A17,'Bloomberg DBI ER'!$N:$P,3,FALSE),VLOOKUP($A17,'Bloomberg DBI ER'!$J:$L,3,FALSE))</f>
        <v>-3.1721933218501211E-2</v>
      </c>
      <c r="I17" s="45">
        <f>IF(Xinput_allocation_option=5,VLOOKUP($A17,'PIMCO TBI ER'!$N:$P,3,FALSE),VLOOKUP($A17,'PIMCO TBI ER'!$J:$L,3,FALSE))</f>
        <v>0.10565938404843392</v>
      </c>
      <c r="J17" s="45">
        <f>IF(Xinput_allocation_option=5,VLOOKUP($A17,'iBLD Claria ER'!$N:$P,3,FALSE),VLOOKUP($A17,'iBLD Claria ER'!$J:$L,3,FALSE))</f>
        <v>2.7272727272727313E-2</v>
      </c>
    </row>
    <row r="18" spans="1:10" ht="15.45" thickTop="1" thickBot="1">
      <c r="A18" s="17">
        <v>17</v>
      </c>
      <c r="B18" s="45">
        <f>IF(Xinput_allocation_option=5,VLOOKUP($A18,'S&amp;P 500'!$N:$P,3,FALSE),VLOOKUP($A18,'S&amp;P 500'!$J:$L,3,FALSE))</f>
        <v>0.2232704789105901</v>
      </c>
      <c r="C18" s="45">
        <f>IF(Xinput_allocation_option=5,VLOOKUP($A18,'NAS 100'!$N:$P,3,FALSE),VLOOKUP($A18,'NAS 100'!$J:$L,3,FALSE))</f>
        <v>0.26878306512367683</v>
      </c>
      <c r="D18" s="45">
        <f>IF(Xinput_allocation_option=5,VLOOKUP($A18,'Russel 2000'!$N:$P,3,FALSE),VLOOKUP($A18,'Russel 2000'!$J:$L,3,FALSE))</f>
        <v>0.34121290435331286</v>
      </c>
      <c r="E18" s="45">
        <f>IF(Xinput_allocation_option=5,VLOOKUP($A18,'iBLD Claria'!$N:$P,3,FALSE),VLOOKUP($A18,'iBLD Claria'!$J:$L,3,FALSE))</f>
        <v>0.12319772558045095</v>
      </c>
      <c r="F18" s="45">
        <f>IF(Xinput_allocation_option=5,VLOOKUP($A18,'Bloomberg DBI'!$N:$P,3,FALSE),VLOOKUP($A18,'Bloomberg DBI'!$J:$L,3,FALSE))</f>
        <v>6.5569036319059262E-2</v>
      </c>
      <c r="G18" s="45">
        <f>IF(Xinput_allocation_option=5,VLOOKUP($A18,'PIMCO TBI'!$N:$P,3,FALSE),VLOOKUP($A18,'PIMCO TBI'!$J:$L,3,FALSE))</f>
        <v>4.0611835916731454E-2</v>
      </c>
      <c r="H18" s="45">
        <f>IF(Xinput_allocation_option=5,VLOOKUP($A18,'Bloomberg DBI ER'!$N:$P,3,FALSE),VLOOKUP($A18,'Bloomberg DBI ER'!$J:$L,3,FALSE))</f>
        <v>7.194968748361126E-2</v>
      </c>
      <c r="I18" s="45">
        <f>IF(Xinput_allocation_option=5,VLOOKUP($A18,'PIMCO TBI ER'!$N:$P,3,FALSE),VLOOKUP($A18,'PIMCO TBI ER'!$J:$L,3,FALSE))</f>
        <v>3.7282163603466256E-2</v>
      </c>
      <c r="J18" s="45">
        <f>IF(Xinput_allocation_option=5,VLOOKUP($A18,'iBLD Claria ER'!$N:$P,3,FALSE),VLOOKUP($A18,'iBLD Claria ER'!$J:$L,3,FALSE))</f>
        <v>5.1541378975007268E-2</v>
      </c>
    </row>
    <row r="19" spans="1:10" ht="15.45" thickTop="1" thickBot="1">
      <c r="A19" s="17">
        <v>18</v>
      </c>
      <c r="B19" s="45">
        <f>IF(Xinput_allocation_option=5,VLOOKUP($A19,'S&amp;P 500'!$N:$P,3,FALSE),VLOOKUP($A19,'S&amp;P 500'!$J:$L,3,FALSE))</f>
        <v>0.14815716473439972</v>
      </c>
      <c r="C19" s="45">
        <f>IF(Xinput_allocation_option=5,VLOOKUP($A19,'NAS 100'!$N:$P,3,FALSE),VLOOKUP($A19,'NAS 100'!$J:$L,3,FALSE))</f>
        <v>0.28593268423974799</v>
      </c>
      <c r="D19" s="45">
        <f>IF(Xinput_allocation_option=5,VLOOKUP($A19,'Russel 2000'!$N:$P,3,FALSE),VLOOKUP($A19,'Russel 2000'!$J:$L,3,FALSE))</f>
        <v>9.0698569318283517E-2</v>
      </c>
      <c r="E19" s="45">
        <f>IF(Xinput_allocation_option=5,VLOOKUP($A19,'iBLD Claria'!$N:$P,3,FALSE),VLOOKUP($A19,'iBLD Claria'!$J:$L,3,FALSE))</f>
        <v>-8.0576146567829826E-2</v>
      </c>
      <c r="F19" s="45">
        <f>IF(Xinput_allocation_option=5,VLOOKUP($A19,'Bloomberg DBI'!$N:$P,3,FALSE),VLOOKUP($A19,'Bloomberg DBI'!$J:$L,3,FALSE))</f>
        <v>0.17408240841116446</v>
      </c>
      <c r="G19" s="45">
        <f>IF(Xinput_allocation_option=5,VLOOKUP($A19,'PIMCO TBI'!$N:$P,3,FALSE),VLOOKUP($A19,'PIMCO TBI'!$J:$L,3,FALSE))</f>
        <v>-0.1444741392862757</v>
      </c>
      <c r="H19" s="45">
        <f>IF(Xinput_allocation_option=5,VLOOKUP($A19,'Bloomberg DBI ER'!$N:$P,3,FALSE),VLOOKUP($A19,'Bloomberg DBI ER'!$J:$L,3,FALSE))</f>
        <v>0.17857724619076987</v>
      </c>
      <c r="I19" s="45">
        <f>IF(Xinput_allocation_option=5,VLOOKUP($A19,'PIMCO TBI ER'!$N:$P,3,FALSE),VLOOKUP($A19,'PIMCO TBI ER'!$J:$L,3,FALSE))</f>
        <v>-0.12806977277943543</v>
      </c>
      <c r="J19" s="45">
        <f>IF(Xinput_allocation_option=5,VLOOKUP($A19,'iBLD Claria ER'!$N:$P,3,FALSE),VLOOKUP($A19,'iBLD Claria ER'!$J:$L,3,FALSE))</f>
        <v>-7.4262461851475087E-2</v>
      </c>
    </row>
    <row r="20" spans="1:10" ht="15.45" thickTop="1" thickBot="1">
      <c r="A20" s="17">
        <v>19</v>
      </c>
      <c r="B20" s="45">
        <f>IF(Xinput_allocation_option=5,VLOOKUP($A20,'S&amp;P 500'!$N:$P,3,FALSE),VLOOKUP($A20,'S&amp;P 500'!$J:$L,3,FALSE))</f>
        <v>2.603696987988062E-2</v>
      </c>
      <c r="C20" s="45">
        <f>IF(Xinput_allocation_option=5,VLOOKUP($A20,'NAS 100'!$N:$P,3,FALSE),VLOOKUP($A20,'NAS 100'!$J:$L,3,FALSE))</f>
        <v>3.5467605686035131E-2</v>
      </c>
      <c r="D20" s="45">
        <f>IF(Xinput_allocation_option=5,VLOOKUP($A20,'Russel 2000'!$N:$P,3,FALSE),VLOOKUP($A20,'Russel 2000'!$J:$L,3,FALSE))</f>
        <v>4.1720453598004636E-2</v>
      </c>
      <c r="E20" s="45">
        <f>IF(Xinput_allocation_option=5,VLOOKUP($A20,'iBLD Claria'!$N:$P,3,FALSE),VLOOKUP($A20,'iBLD Claria'!$J:$L,3,FALSE))</f>
        <v>-3.1659674882013718E-2</v>
      </c>
      <c r="F20" s="45">
        <f>IF(Xinput_allocation_option=5,VLOOKUP($A20,'Bloomberg DBI'!$N:$P,3,FALSE),VLOOKUP($A20,'Bloomberg DBI'!$J:$L,3,FALSE))</f>
        <v>-1.9671819185666482E-2</v>
      </c>
      <c r="G20" s="45">
        <f>IF(Xinput_allocation_option=5,VLOOKUP($A20,'PIMCO TBI'!$N:$P,3,FALSE),VLOOKUP($A20,'PIMCO TBI'!$J:$L,3,FALSE))</f>
        <v>0.12325431826534354</v>
      </c>
      <c r="H20" s="45">
        <f>IF(Xinput_allocation_option=5,VLOOKUP($A20,'Bloomberg DBI ER'!$N:$P,3,FALSE),VLOOKUP($A20,'Bloomberg DBI ER'!$J:$L,3,FALSE))</f>
        <v>-3.0647180525431517E-2</v>
      </c>
      <c r="I20" s="45">
        <f>IF(Xinput_allocation_option=5,VLOOKUP($A20,'PIMCO TBI ER'!$N:$P,3,FALSE),VLOOKUP($A20,'PIMCO TBI ER'!$J:$L,3,FALSE))</f>
        <v>0.10565938404843392</v>
      </c>
      <c r="J20" s="45">
        <f>IF(Xinput_allocation_option=5,VLOOKUP($A20,'iBLD Claria ER'!$N:$P,3,FALSE),VLOOKUP($A20,'iBLD Claria ER'!$J:$L,3,FALSE))</f>
        <v>2.7272727272727313E-2</v>
      </c>
    </row>
    <row r="21" spans="1:10" ht="15.45" thickTop="1" thickBot="1">
      <c r="A21" s="17">
        <v>20</v>
      </c>
      <c r="B21" s="45">
        <f>IF(Xinput_allocation_option=5,VLOOKUP($A21,'S&amp;P 500'!$N:$P,3,FALSE),VLOOKUP($A21,'S&amp;P 500'!$J:$L,3,FALSE))</f>
        <v>6.0955500508012225E-2</v>
      </c>
      <c r="C21" s="45">
        <f>IF(Xinput_allocation_option=5,VLOOKUP($A21,'NAS 100'!$N:$P,3,FALSE),VLOOKUP($A21,'NAS 100'!$J:$L,3,FALSE))</f>
        <v>0.1922218482102504</v>
      </c>
      <c r="D21" s="45">
        <f>IF(Xinput_allocation_option=5,VLOOKUP($A21,'Russel 2000'!$N:$P,3,FALSE),VLOOKUP($A21,'Russel 2000'!$J:$L,3,FALSE))</f>
        <v>-6.291135915543361E-2</v>
      </c>
      <c r="E21" s="45">
        <f>IF(Xinput_allocation_option=5,VLOOKUP($A21,'iBLD Claria'!$N:$P,3,FALSE),VLOOKUP($A21,'iBLD Claria'!$J:$L,3,FALSE))</f>
        <v>0.12319772558045095</v>
      </c>
      <c r="F21" s="45">
        <f>IF(Xinput_allocation_option=5,VLOOKUP($A21,'Bloomberg DBI'!$N:$P,3,FALSE),VLOOKUP($A21,'Bloomberg DBI'!$J:$L,3,FALSE))</f>
        <v>0.15506029544703762</v>
      </c>
      <c r="G21" s="45">
        <f>IF(Xinput_allocation_option=5,VLOOKUP($A21,'PIMCO TBI'!$N:$P,3,FALSE),VLOOKUP($A21,'PIMCO TBI'!$J:$L,3,FALSE))</f>
        <v>4.0611835916731454E-2</v>
      </c>
      <c r="H21" s="45">
        <f>IF(Xinput_allocation_option=5,VLOOKUP($A21,'Bloomberg DBI ER'!$N:$P,3,FALSE),VLOOKUP($A21,'Bloomberg DBI ER'!$J:$L,3,FALSE))</f>
        <v>0.1408233915533314</v>
      </c>
      <c r="I21" s="45">
        <f>IF(Xinput_allocation_option=5,VLOOKUP($A21,'PIMCO TBI ER'!$N:$P,3,FALSE),VLOOKUP($A21,'PIMCO TBI ER'!$J:$L,3,FALSE))</f>
        <v>3.7282163603466256E-2</v>
      </c>
      <c r="J21" s="45">
        <f>IF(Xinput_allocation_option=5,VLOOKUP($A21,'iBLD Claria ER'!$N:$P,3,FALSE),VLOOKUP($A21,'iBLD Claria ER'!$J:$L,3,FALSE))</f>
        <v>5.1541378975007268E-2</v>
      </c>
    </row>
    <row r="22" spans="1:10" ht="15.45" thickTop="1" thickBot="1">
      <c r="A22" s="17">
        <v>21</v>
      </c>
      <c r="B22" s="45">
        <f>IF(Xinput_allocation_option=5,VLOOKUP($A22,'S&amp;P 500'!$N:$P,3,FALSE),VLOOKUP($A22,'S&amp;P 500'!$J:$L,3,FALSE))</f>
        <v>0.30425970504008892</v>
      </c>
      <c r="C22" s="45">
        <f>IF(Xinput_allocation_option=5,VLOOKUP($A22,'NAS 100'!$N:$P,3,FALSE),VLOOKUP($A22,'NAS 100'!$J:$L,3,FALSE))</f>
        <v>0.58417106044846767</v>
      </c>
      <c r="D22" s="45">
        <f>IF(Xinput_allocation_option=5,VLOOKUP($A22,'Russel 2000'!$N:$P,3,FALSE),VLOOKUP($A22,'Russel 2000'!$J:$L,3,FALSE))</f>
        <v>0.45040457026621861</v>
      </c>
      <c r="E22" s="45">
        <f>IF(Xinput_allocation_option=5,VLOOKUP($A22,'iBLD Claria'!$N:$P,3,FALSE),VLOOKUP($A22,'iBLD Claria'!$J:$L,3,FALSE))</f>
        <v>-8.0576146567829826E-2</v>
      </c>
      <c r="F22" s="45">
        <f>IF(Xinput_allocation_option=5,VLOOKUP($A22,'Bloomberg DBI'!$N:$P,3,FALSE),VLOOKUP($A22,'Bloomberg DBI'!$J:$L,3,FALSE))</f>
        <v>4.3805461458172455E-2</v>
      </c>
      <c r="G22" s="45">
        <f>IF(Xinput_allocation_option=5,VLOOKUP($A22,'PIMCO TBI'!$N:$P,3,FALSE),VLOOKUP($A22,'PIMCO TBI'!$J:$L,3,FALSE))</f>
        <v>-0.1444741392862757</v>
      </c>
      <c r="H22" s="45">
        <f>IF(Xinput_allocation_option=5,VLOOKUP($A22,'Bloomberg DBI ER'!$N:$P,3,FALSE),VLOOKUP($A22,'Bloomberg DBI ER'!$J:$L,3,FALSE))</f>
        <v>2.7254877789204764E-2</v>
      </c>
      <c r="I22" s="45">
        <f>IF(Xinput_allocation_option=5,VLOOKUP($A22,'PIMCO TBI ER'!$N:$P,3,FALSE),VLOOKUP($A22,'PIMCO TBI ER'!$J:$L,3,FALSE))</f>
        <v>-0.12806977277943543</v>
      </c>
      <c r="J22" s="45">
        <f>IF(Xinput_allocation_option=5,VLOOKUP($A22,'iBLD Claria ER'!$N:$P,3,FALSE),VLOOKUP($A22,'iBLD Claria ER'!$J:$L,3,FALSE))</f>
        <v>-7.4262461851475087E-2</v>
      </c>
    </row>
    <row r="23" spans="1:10" ht="15.45" thickTop="1" thickBot="1">
      <c r="A23" s="17">
        <v>22</v>
      </c>
      <c r="B23" s="45">
        <f>IF(Xinput_allocation_option=5,VLOOKUP($A23,'S&amp;P 500'!$N:$P,3,FALSE),VLOOKUP($A23,'S&amp;P 500'!$J:$L,3,FALSE))</f>
        <v>-0.65554221761429954</v>
      </c>
      <c r="C23" s="45">
        <f>IF(Xinput_allocation_option=5,VLOOKUP($A23,'NAS 100'!$N:$P,3,FALSE),VLOOKUP($A23,'NAS 100'!$J:$L,3,FALSE))</f>
        <v>-0.82461824783145721</v>
      </c>
      <c r="D23" s="45">
        <f>IF(Xinput_allocation_option=5,VLOOKUP($A23,'Russel 2000'!$N:$P,3,FALSE),VLOOKUP($A23,'Russel 2000'!$J:$L,3,FALSE))</f>
        <v>-0.61546559447090998</v>
      </c>
      <c r="E23" s="45">
        <f>IF(Xinput_allocation_option=5,VLOOKUP($A23,'iBLD Claria'!$N:$P,3,FALSE),VLOOKUP($A23,'iBLD Claria'!$J:$L,3,FALSE))</f>
        <v>-3.1659674882013718E-2</v>
      </c>
      <c r="F23" s="45">
        <f>IF(Xinput_allocation_option=5,VLOOKUP($A23,'Bloomberg DBI'!$N:$P,3,FALSE),VLOOKUP($A23,'Bloomberg DBI'!$J:$L,3,FALSE))</f>
        <v>-0.45102421407850335</v>
      </c>
      <c r="G23" s="45">
        <f>IF(Xinput_allocation_option=5,VLOOKUP($A23,'PIMCO TBI'!$N:$P,3,FALSE),VLOOKUP($A23,'PIMCO TBI'!$J:$L,3,FALSE))</f>
        <v>0.12325431826534354</v>
      </c>
      <c r="H23" s="45">
        <f>IF(Xinput_allocation_option=5,VLOOKUP($A23,'Bloomberg DBI ER'!$N:$P,3,FALSE),VLOOKUP($A23,'Bloomberg DBI ER'!$J:$L,3,FALSE))</f>
        <v>-0.4476399005749413</v>
      </c>
      <c r="I23" s="45">
        <f>IF(Xinput_allocation_option=5,VLOOKUP($A23,'PIMCO TBI ER'!$N:$P,3,FALSE),VLOOKUP($A23,'PIMCO TBI ER'!$J:$L,3,FALSE))</f>
        <v>0.10565938404843392</v>
      </c>
      <c r="J23" s="45">
        <f>IF(Xinput_allocation_option=5,VLOOKUP($A23,'iBLD Claria ER'!$N:$P,3,FALSE),VLOOKUP($A23,'iBLD Claria ER'!$J:$L,3,FALSE))</f>
        <v>2.7272727272727313E-2</v>
      </c>
    </row>
    <row r="24" spans="1:10" ht="15.45" thickTop="1" thickBot="1">
      <c r="A24" s="17">
        <v>23</v>
      </c>
      <c r="B24" s="45">
        <f>IF(Xinput_allocation_option=5,VLOOKUP($A24,'S&amp;P 500'!$N:$P,3,FALSE),VLOOKUP($A24,'S&amp;P 500'!$J:$L,3,FALSE))</f>
        <v>2.8977926674070474E-2</v>
      </c>
      <c r="C24" s="45">
        <f>IF(Xinput_allocation_option=5,VLOOKUP($A24,'NAS 100'!$N:$P,3,FALSE),VLOOKUP($A24,'NAS 100'!$J:$L,3,FALSE))</f>
        <v>0.11574277608897852</v>
      </c>
      <c r="D24" s="45">
        <f>IF(Xinput_allocation_option=5,VLOOKUP($A24,'Russel 2000'!$N:$P,3,FALSE),VLOOKUP($A24,'Russel 2000'!$J:$L,3,FALSE))</f>
        <v>-1.5192191168490705E-2</v>
      </c>
      <c r="E24" s="45">
        <f>IF(Xinput_allocation_option=5,VLOOKUP($A24,'iBLD Claria'!$N:$P,3,FALSE),VLOOKUP($A24,'iBLD Claria'!$J:$L,3,FALSE))</f>
        <v>0.12319772558045095</v>
      </c>
      <c r="F24" s="45">
        <f>IF(Xinput_allocation_option=5,VLOOKUP($A24,'Bloomberg DBI'!$N:$P,3,FALSE),VLOOKUP($A24,'Bloomberg DBI'!$J:$L,3,FALSE))</f>
        <v>4.9631394375468034E-2</v>
      </c>
      <c r="G24" s="45">
        <f>IF(Xinput_allocation_option=5,VLOOKUP($A24,'PIMCO TBI'!$N:$P,3,FALSE),VLOOKUP($A24,'PIMCO TBI'!$J:$L,3,FALSE))</f>
        <v>4.0611835916731454E-2</v>
      </c>
      <c r="H24" s="45">
        <f>IF(Xinput_allocation_option=5,VLOOKUP($A24,'Bloomberg DBI ER'!$N:$P,3,FALSE),VLOOKUP($A24,'Bloomberg DBI ER'!$J:$L,3,FALSE))</f>
        <v>5.9633789624114593E-2</v>
      </c>
      <c r="I24" s="45">
        <f>IF(Xinput_allocation_option=5,VLOOKUP($A24,'PIMCO TBI ER'!$N:$P,3,FALSE),VLOOKUP($A24,'PIMCO TBI ER'!$J:$L,3,FALSE))</f>
        <v>3.7282163603466256E-2</v>
      </c>
      <c r="J24" s="45">
        <f>IF(Xinput_allocation_option=5,VLOOKUP($A24,'iBLD Claria ER'!$N:$P,3,FALSE),VLOOKUP($A24,'iBLD Claria ER'!$J:$L,3,FALSE))</f>
        <v>5.1541378975007268E-2</v>
      </c>
    </row>
    <row r="25" spans="1:10" ht="15.45" thickTop="1" thickBot="1">
      <c r="A25" s="17">
        <v>24</v>
      </c>
      <c r="B25" s="45">
        <f>IF(Xinput_allocation_option=5,VLOOKUP($A25,'S&amp;P 500'!$N:$P,3,FALSE),VLOOKUP($A25,'S&amp;P 500'!$J:$L,3,FALSE))</f>
        <v>0.10910315308742147</v>
      </c>
      <c r="C25" s="45">
        <f>IF(Xinput_allocation_option=5,VLOOKUP($A25,'NAS 100'!$N:$P,3,FALSE),VLOOKUP($A25,'NAS 100'!$J:$L,3,FALSE))</f>
        <v>4.4024236851673539E-2</v>
      </c>
      <c r="D25" s="45">
        <f>IF(Xinput_allocation_option=5,VLOOKUP($A25,'Russel 2000'!$N:$P,3,FALSE),VLOOKUP($A25,'Russel 2000'!$J:$L,3,FALSE))</f>
        <v>0.12352329734993144</v>
      </c>
      <c r="E25" s="45">
        <f>IF(Xinput_allocation_option=5,VLOOKUP($A25,'iBLD Claria'!$N:$P,3,FALSE),VLOOKUP($A25,'iBLD Claria'!$J:$L,3,FALSE))</f>
        <v>-8.0576146567829826E-2</v>
      </c>
      <c r="F25" s="45">
        <f>IF(Xinput_allocation_option=5,VLOOKUP($A25,'Bloomberg DBI'!$N:$P,3,FALSE),VLOOKUP($A25,'Bloomberg DBI'!$J:$L,3,FALSE))</f>
        <v>6.5960116701655941E-2</v>
      </c>
      <c r="G25" s="45">
        <f>IF(Xinput_allocation_option=5,VLOOKUP($A25,'PIMCO TBI'!$N:$P,3,FALSE),VLOOKUP($A25,'PIMCO TBI'!$J:$L,3,FALSE))</f>
        <v>-0.1444741392862757</v>
      </c>
      <c r="H25" s="45">
        <f>IF(Xinput_allocation_option=5,VLOOKUP($A25,'Bloomberg DBI ER'!$N:$P,3,FALSE),VLOOKUP($A25,'Bloomberg DBI ER'!$J:$L,3,FALSE))</f>
        <v>7.3492509994359967E-2</v>
      </c>
      <c r="I25" s="45">
        <f>IF(Xinput_allocation_option=5,VLOOKUP($A25,'PIMCO TBI ER'!$N:$P,3,FALSE),VLOOKUP($A25,'PIMCO TBI ER'!$J:$L,3,FALSE))</f>
        <v>-0.12806977277943543</v>
      </c>
      <c r="J25" s="45">
        <f>IF(Xinput_allocation_option=5,VLOOKUP($A25,'iBLD Claria ER'!$N:$P,3,FALSE),VLOOKUP($A25,'iBLD Claria ER'!$J:$L,3,FALSE))</f>
        <v>-7.4262461851475087E-2</v>
      </c>
    </row>
    <row r="26" spans="1:10" ht="15.45" thickTop="1" thickBot="1">
      <c r="A26" s="17">
        <v>25</v>
      </c>
      <c r="B26" s="45">
        <f>IF(Xinput_allocation_option=5,VLOOKUP($A26,'S&amp;P 500'!$N:$P,3,FALSE),VLOOKUP($A26,'S&amp;P 500'!$J:$L,3,FALSE))</f>
        <v>0.22761895892767869</v>
      </c>
      <c r="C26" s="45">
        <f>IF(Xinput_allocation_option=5,VLOOKUP($A26,'NAS 100'!$N:$P,3,FALSE),VLOOKUP($A26,'NAS 100'!$J:$L,3,FALSE))</f>
        <v>0.34964105219785357</v>
      </c>
      <c r="D26" s="45">
        <f>IF(Xinput_allocation_option=5,VLOOKUP($A26,'Russel 2000'!$N:$P,3,FALSE),VLOOKUP($A26,'Russel 2000'!$J:$L,3,FALSE))</f>
        <v>0.29844919765641681</v>
      </c>
      <c r="E26" s="45">
        <f>IF(Xinput_allocation_option=5,VLOOKUP($A26,'iBLD Claria'!$N:$P,3,FALSE),VLOOKUP($A26,'iBLD Claria'!$J:$L,3,FALSE))</f>
        <v>-3.1659674882013718E-2</v>
      </c>
      <c r="F26" s="45">
        <f>IF(Xinput_allocation_option=5,VLOOKUP($A26,'Bloomberg DBI'!$N:$P,3,FALSE),VLOOKUP($A26,'Bloomberg DBI'!$J:$L,3,FALSE))</f>
        <v>6.807198148919788E-2</v>
      </c>
      <c r="G26" s="45">
        <f>IF(Xinput_allocation_option=5,VLOOKUP($A26,'PIMCO TBI'!$N:$P,3,FALSE),VLOOKUP($A26,'PIMCO TBI'!$J:$L,3,FALSE))</f>
        <v>0.12325431826534354</v>
      </c>
      <c r="H26" s="45">
        <f>IF(Xinput_allocation_option=5,VLOOKUP($A26,'Bloomberg DBI ER'!$N:$P,3,FALSE),VLOOKUP($A26,'Bloomberg DBI ER'!$J:$L,3,FALSE))</f>
        <v>6.8652784680292983E-2</v>
      </c>
      <c r="I26" s="45">
        <f>IF(Xinput_allocation_option=5,VLOOKUP($A26,'PIMCO TBI ER'!$N:$P,3,FALSE),VLOOKUP($A26,'PIMCO TBI ER'!$J:$L,3,FALSE))</f>
        <v>0.10565938404843392</v>
      </c>
      <c r="J26" s="45">
        <f>IF(Xinput_allocation_option=5,VLOOKUP($A26,'iBLD Claria ER'!$N:$P,3,FALSE),VLOOKUP($A26,'iBLD Claria ER'!$J:$L,3,FALSE))</f>
        <v>2.7272727272727313E-2</v>
      </c>
    </row>
    <row r="27" spans="1:10" ht="15.45" thickTop="1" thickBot="1">
      <c r="A27" s="17">
        <v>26</v>
      </c>
      <c r="B27" s="45">
        <f>IF(Xinput_allocation_option=5,VLOOKUP($A27,'S&amp;P 500'!$N:$P,3,FALSE),VLOOKUP($A27,'S&amp;P 500'!$J:$L,3,FALSE))</f>
        <v>0.13178631071420535</v>
      </c>
      <c r="C27" s="45">
        <f>IF(Xinput_allocation_option=5,VLOOKUP($A27,'NAS 100'!$N:$P,3,FALSE),VLOOKUP($A27,'NAS 100'!$J:$L,3,FALSE))</f>
        <v>0.20144741870029306</v>
      </c>
      <c r="D27" s="45">
        <f>IF(Xinput_allocation_option=5,VLOOKUP($A27,'Russel 2000'!$N:$P,3,FALSE),VLOOKUP($A27,'Russel 2000'!$J:$L,3,FALSE))</f>
        <v>4.2551722919959796E-2</v>
      </c>
      <c r="E27" s="45">
        <f>IF(Xinput_allocation_option=5,VLOOKUP($A27,'iBLD Claria'!$N:$P,3,FALSE),VLOOKUP($A27,'iBLD Claria'!$J:$L,3,FALSE))</f>
        <v>0.12319772558045095</v>
      </c>
      <c r="F27" s="45">
        <f>IF(Xinput_allocation_option=5,VLOOKUP($A27,'Bloomberg DBI'!$N:$P,3,FALSE),VLOOKUP($A27,'Bloomberg DBI'!$J:$L,3,FALSE))</f>
        <v>6.3237178764079124E-2</v>
      </c>
      <c r="G27" s="45">
        <f>IF(Xinput_allocation_option=5,VLOOKUP($A27,'PIMCO TBI'!$N:$P,3,FALSE),VLOOKUP($A27,'PIMCO TBI'!$J:$L,3,FALSE))</f>
        <v>4.0611835916731454E-2</v>
      </c>
      <c r="H27" s="45">
        <f>IF(Xinput_allocation_option=5,VLOOKUP($A27,'Bloomberg DBI ER'!$N:$P,3,FALSE),VLOOKUP($A27,'Bloomberg DBI ER'!$J:$L,3,FALSE))</f>
        <v>7.1704873851048082E-2</v>
      </c>
      <c r="I27" s="45">
        <f>IF(Xinput_allocation_option=5,VLOOKUP($A27,'PIMCO TBI ER'!$N:$P,3,FALSE),VLOOKUP($A27,'PIMCO TBI ER'!$J:$L,3,FALSE))</f>
        <v>3.7282163603466256E-2</v>
      </c>
      <c r="J27" s="45">
        <f>IF(Xinput_allocation_option=5,VLOOKUP($A27,'iBLD Claria ER'!$N:$P,3,FALSE),VLOOKUP($A27,'iBLD Claria ER'!$J:$L,3,FALSE))</f>
        <v>5.1541378975007268E-2</v>
      </c>
    </row>
    <row r="28" spans="1:10" ht="15.45" thickTop="1" thickBot="1">
      <c r="A28" s="17">
        <v>27</v>
      </c>
      <c r="B28" s="45">
        <f>IF(Xinput_allocation_option=5,VLOOKUP($A28,'S&amp;P 500'!$N:$P,3,FALSE),VLOOKUP($A28,'S&amp;P 500'!$J:$L,3,FALSE))</f>
        <v>-8.1857933000712729E-2</v>
      </c>
      <c r="C28" s="45">
        <f>IF(Xinput_allocation_option=5,VLOOKUP($A28,'NAS 100'!$N:$P,3,FALSE),VLOOKUP($A28,'NAS 100'!$J:$L,3,FALSE))</f>
        <v>-5.3944519454873288E-2</v>
      </c>
      <c r="D28" s="45">
        <f>IF(Xinput_allocation_option=5,VLOOKUP($A28,'Russel 2000'!$N:$P,3,FALSE),VLOOKUP($A28,'Russel 2000'!$J:$L,3,FALSE))</f>
        <v>-0.16172760145669021</v>
      </c>
      <c r="E28" s="45">
        <f>IF(Xinput_allocation_option=5,VLOOKUP($A28,'iBLD Claria'!$N:$P,3,FALSE),VLOOKUP($A28,'iBLD Claria'!$J:$L,3,FALSE))</f>
        <v>-8.0576146567829826E-2</v>
      </c>
      <c r="F28" s="45">
        <f>IF(Xinput_allocation_option=5,VLOOKUP($A28,'Bloomberg DBI'!$N:$P,3,FALSE),VLOOKUP($A28,'Bloomberg DBI'!$J:$L,3,FALSE))</f>
        <v>-3.046724551155407E-2</v>
      </c>
      <c r="G28" s="45">
        <f>IF(Xinput_allocation_option=5,VLOOKUP($A28,'PIMCO TBI'!$N:$P,3,FALSE),VLOOKUP($A28,'PIMCO TBI'!$J:$L,3,FALSE))</f>
        <v>-0.1444741392862757</v>
      </c>
      <c r="H28" s="45">
        <f>IF(Xinput_allocation_option=5,VLOOKUP($A28,'Bloomberg DBI ER'!$N:$P,3,FALSE),VLOOKUP($A28,'Bloomberg DBI ER'!$J:$L,3,FALSE))</f>
        <v>-3.1721933218501211E-2</v>
      </c>
      <c r="I28" s="45">
        <f>IF(Xinput_allocation_option=5,VLOOKUP($A28,'PIMCO TBI ER'!$N:$P,3,FALSE),VLOOKUP($A28,'PIMCO TBI ER'!$J:$L,3,FALSE))</f>
        <v>-0.12806977277943543</v>
      </c>
      <c r="J28" s="45">
        <f>IF(Xinput_allocation_option=5,VLOOKUP($A28,'iBLD Claria ER'!$N:$P,3,FALSE),VLOOKUP($A28,'iBLD Claria ER'!$J:$L,3,FALSE))</f>
        <v>-7.4262461851475087E-2</v>
      </c>
    </row>
    <row r="29" spans="1:10" ht="15.45" thickTop="1" thickBot="1">
      <c r="A29" s="17">
        <v>28</v>
      </c>
      <c r="B29" s="45">
        <f>IF(Xinput_allocation_option=5,VLOOKUP($A29,'S&amp;P 500'!$N:$P,3,FALSE),VLOOKUP($A29,'S&amp;P 500'!$J:$L,3,FALSE))</f>
        <v>0.2232704789105901</v>
      </c>
      <c r="C29" s="45">
        <f>IF(Xinput_allocation_option=5,VLOOKUP($A29,'NAS 100'!$N:$P,3,FALSE),VLOOKUP($A29,'NAS 100'!$J:$L,3,FALSE))</f>
        <v>0.26878306512367683</v>
      </c>
      <c r="D29" s="45">
        <f>IF(Xinput_allocation_option=5,VLOOKUP($A29,'Russel 2000'!$N:$P,3,FALSE),VLOOKUP($A29,'Russel 2000'!$J:$L,3,FALSE))</f>
        <v>0.34121290435331286</v>
      </c>
      <c r="E29" s="45">
        <f>IF(Xinput_allocation_option=5,VLOOKUP($A29,'iBLD Claria'!$N:$P,3,FALSE),VLOOKUP($A29,'iBLD Claria'!$J:$L,3,FALSE))</f>
        <v>-3.1659674882013718E-2</v>
      </c>
      <c r="F29" s="45">
        <f>IF(Xinput_allocation_option=5,VLOOKUP($A29,'Bloomberg DBI'!$N:$P,3,FALSE),VLOOKUP($A29,'Bloomberg DBI'!$J:$L,3,FALSE))</f>
        <v>6.5569036319059262E-2</v>
      </c>
      <c r="G29" s="45">
        <f>IF(Xinput_allocation_option=5,VLOOKUP($A29,'PIMCO TBI'!$N:$P,3,FALSE),VLOOKUP($A29,'PIMCO TBI'!$J:$L,3,FALSE))</f>
        <v>0.12325431826534354</v>
      </c>
      <c r="H29" s="45">
        <f>IF(Xinput_allocation_option=5,VLOOKUP($A29,'Bloomberg DBI ER'!$N:$P,3,FALSE),VLOOKUP($A29,'Bloomberg DBI ER'!$J:$L,3,FALSE))</f>
        <v>7.194968748361126E-2</v>
      </c>
      <c r="I29" s="45">
        <f>IF(Xinput_allocation_option=5,VLOOKUP($A29,'PIMCO TBI ER'!$N:$P,3,FALSE),VLOOKUP($A29,'PIMCO TBI ER'!$J:$L,3,FALSE))</f>
        <v>0.10565938404843392</v>
      </c>
      <c r="J29" s="45">
        <f>IF(Xinput_allocation_option=5,VLOOKUP($A29,'iBLD Claria ER'!$N:$P,3,FALSE),VLOOKUP($A29,'iBLD Claria ER'!$J:$L,3,FALSE))</f>
        <v>2.7272727272727313E-2</v>
      </c>
    </row>
    <row r="30" spans="1:10" ht="15.45" thickTop="1" thickBot="1">
      <c r="A30" s="17">
        <v>29</v>
      </c>
      <c r="B30" s="45">
        <f>IF(Xinput_allocation_option=5,VLOOKUP($A30,'S&amp;P 500'!$N:$P,3,FALSE),VLOOKUP($A30,'S&amp;P 500'!$J:$L,3,FALSE))</f>
        <v>0.14815716473439972</v>
      </c>
      <c r="C30" s="45">
        <f>IF(Xinput_allocation_option=5,VLOOKUP($A30,'NAS 100'!$N:$P,3,FALSE),VLOOKUP($A30,'NAS 100'!$J:$L,3,FALSE))</f>
        <v>0.28593268423974799</v>
      </c>
      <c r="D30" s="45">
        <f>IF(Xinput_allocation_option=5,VLOOKUP($A30,'Russel 2000'!$N:$P,3,FALSE),VLOOKUP($A30,'Russel 2000'!$J:$L,3,FALSE))</f>
        <v>9.0698569318283517E-2</v>
      </c>
      <c r="E30" s="45">
        <f>IF(Xinput_allocation_option=5,VLOOKUP($A30,'iBLD Claria'!$N:$P,3,FALSE),VLOOKUP($A30,'iBLD Claria'!$J:$L,3,FALSE))</f>
        <v>0.12319772558045095</v>
      </c>
      <c r="F30" s="45">
        <f>IF(Xinput_allocation_option=5,VLOOKUP($A30,'Bloomberg DBI'!$N:$P,3,FALSE),VLOOKUP($A30,'Bloomberg DBI'!$J:$L,3,FALSE))</f>
        <v>0.17408240841116446</v>
      </c>
      <c r="G30" s="45">
        <f>IF(Xinput_allocation_option=5,VLOOKUP($A30,'PIMCO TBI'!$N:$P,3,FALSE),VLOOKUP($A30,'PIMCO TBI'!$J:$L,3,FALSE))</f>
        <v>4.0611835916731454E-2</v>
      </c>
      <c r="H30" s="45">
        <f>IF(Xinput_allocation_option=5,VLOOKUP($A30,'Bloomberg DBI ER'!$N:$P,3,FALSE),VLOOKUP($A30,'Bloomberg DBI ER'!$J:$L,3,FALSE))</f>
        <v>0.17857724619076987</v>
      </c>
      <c r="I30" s="45">
        <f>IF(Xinput_allocation_option=5,VLOOKUP($A30,'PIMCO TBI ER'!$N:$P,3,FALSE),VLOOKUP($A30,'PIMCO TBI ER'!$J:$L,3,FALSE))</f>
        <v>3.7282163603466256E-2</v>
      </c>
      <c r="J30" s="45">
        <f>IF(Xinput_allocation_option=5,VLOOKUP($A30,'iBLD Claria ER'!$N:$P,3,FALSE),VLOOKUP($A30,'iBLD Claria ER'!$J:$L,3,FALSE))</f>
        <v>5.1541378975007268E-2</v>
      </c>
    </row>
    <row r="31" spans="1:10" ht="15.45" thickTop="1" thickBot="1">
      <c r="A31" s="17">
        <v>30</v>
      </c>
      <c r="B31" s="45">
        <f>IF(Xinput_allocation_option=5,VLOOKUP($A31,'S&amp;P 500'!$N:$P,3,FALSE),VLOOKUP($A31,'S&amp;P 500'!$J:$L,3,FALSE))</f>
        <v>2.603696987988062E-2</v>
      </c>
      <c r="C31" s="45">
        <f>IF(Xinput_allocation_option=5,VLOOKUP($A31,'NAS 100'!$N:$P,3,FALSE),VLOOKUP($A31,'NAS 100'!$J:$L,3,FALSE))</f>
        <v>3.5467605686035131E-2</v>
      </c>
      <c r="D31" s="45">
        <f>IF(Xinput_allocation_option=5,VLOOKUP($A31,'Russel 2000'!$N:$P,3,FALSE),VLOOKUP($A31,'Russel 2000'!$J:$L,3,FALSE))</f>
        <v>4.1720453598004636E-2</v>
      </c>
      <c r="E31" s="45">
        <f>IF(Xinput_allocation_option=5,VLOOKUP($A31,'iBLD Claria'!$N:$P,3,FALSE),VLOOKUP($A31,'iBLD Claria'!$J:$L,3,FALSE))</f>
        <v>-8.0576146567829826E-2</v>
      </c>
      <c r="F31" s="45">
        <f>IF(Xinput_allocation_option=5,VLOOKUP($A31,'Bloomberg DBI'!$N:$P,3,FALSE),VLOOKUP($A31,'Bloomberg DBI'!$J:$L,3,FALSE))</f>
        <v>-1.9671819185666482E-2</v>
      </c>
      <c r="G31" s="45">
        <f>IF(Xinput_allocation_option=5,VLOOKUP($A31,'PIMCO TBI'!$N:$P,3,FALSE),VLOOKUP($A31,'PIMCO TBI'!$J:$L,3,FALSE))</f>
        <v>-0.1444741392862757</v>
      </c>
      <c r="H31" s="45">
        <f>IF(Xinput_allocation_option=5,VLOOKUP($A31,'Bloomberg DBI ER'!$N:$P,3,FALSE),VLOOKUP($A31,'Bloomberg DBI ER'!$J:$L,3,FALSE))</f>
        <v>-3.0647180525431517E-2</v>
      </c>
      <c r="I31" s="45">
        <f>IF(Xinput_allocation_option=5,VLOOKUP($A31,'PIMCO TBI ER'!$N:$P,3,FALSE),VLOOKUP($A31,'PIMCO TBI ER'!$J:$L,3,FALSE))</f>
        <v>-0.12806977277943543</v>
      </c>
      <c r="J31" s="45">
        <f>IF(Xinput_allocation_option=5,VLOOKUP($A31,'iBLD Claria ER'!$N:$P,3,FALSE),VLOOKUP($A31,'iBLD Claria ER'!$J:$L,3,FALSE))</f>
        <v>-7.4262461851475087E-2</v>
      </c>
    </row>
    <row r="32" spans="1:10" ht="15.45" thickTop="1" thickBot="1">
      <c r="A32" s="17">
        <v>31</v>
      </c>
      <c r="B32" s="45">
        <f>IF(Xinput_allocation_option=5,VLOOKUP($A32,'S&amp;P 500'!$N:$P,3,FALSE),VLOOKUP($A32,'S&amp;P 500'!$J:$L,3,FALSE))</f>
        <v>6.0955500508012225E-2</v>
      </c>
      <c r="C32" s="45">
        <f>IF(Xinput_allocation_option=5,VLOOKUP($A32,'NAS 100'!$N:$P,3,FALSE),VLOOKUP($A32,'NAS 100'!$J:$L,3,FALSE))</f>
        <v>0.1922218482102504</v>
      </c>
      <c r="D32" s="45">
        <f>IF(Xinput_allocation_option=5,VLOOKUP($A32,'Russel 2000'!$N:$P,3,FALSE),VLOOKUP($A32,'Russel 2000'!$J:$L,3,FALSE))</f>
        <v>-6.291135915543361E-2</v>
      </c>
      <c r="E32" s="45">
        <f>IF(Xinput_allocation_option=5,VLOOKUP($A32,'iBLD Claria'!$N:$P,3,FALSE),VLOOKUP($A32,'iBLD Claria'!$J:$L,3,FALSE))</f>
        <v>-3.1659674882013718E-2</v>
      </c>
      <c r="F32" s="45">
        <f>IF(Xinput_allocation_option=5,VLOOKUP($A32,'Bloomberg DBI'!$N:$P,3,FALSE),VLOOKUP($A32,'Bloomberg DBI'!$J:$L,3,FALSE))</f>
        <v>0.15506029544703762</v>
      </c>
      <c r="G32" s="45">
        <f>IF(Xinput_allocation_option=5,VLOOKUP($A32,'PIMCO TBI'!$N:$P,3,FALSE),VLOOKUP($A32,'PIMCO TBI'!$J:$L,3,FALSE))</f>
        <v>0.12325431826534354</v>
      </c>
      <c r="H32" s="45">
        <f>IF(Xinput_allocation_option=5,VLOOKUP($A32,'Bloomberg DBI ER'!$N:$P,3,FALSE),VLOOKUP($A32,'Bloomberg DBI ER'!$J:$L,3,FALSE))</f>
        <v>0.1408233915533314</v>
      </c>
      <c r="I32" s="45">
        <f>IF(Xinput_allocation_option=5,VLOOKUP($A32,'PIMCO TBI ER'!$N:$P,3,FALSE),VLOOKUP($A32,'PIMCO TBI ER'!$J:$L,3,FALSE))</f>
        <v>0.10565938404843392</v>
      </c>
      <c r="J32" s="45">
        <f>IF(Xinput_allocation_option=5,VLOOKUP($A32,'iBLD Claria ER'!$N:$P,3,FALSE),VLOOKUP($A32,'iBLD Claria ER'!$J:$L,3,FALSE))</f>
        <v>2.7272727272727313E-2</v>
      </c>
    </row>
    <row r="33" spans="1:10" ht="15.45" thickTop="1" thickBot="1">
      <c r="A33" s="17">
        <v>32</v>
      </c>
      <c r="B33" s="45">
        <f>IF(Xinput_allocation_option=5,VLOOKUP($A33,'S&amp;P 500'!$N:$P,3,FALSE),VLOOKUP($A33,'S&amp;P 500'!$J:$L,3,FALSE))</f>
        <v>0.30425970504008892</v>
      </c>
      <c r="C33" s="45">
        <f>IF(Xinput_allocation_option=5,VLOOKUP($A33,'NAS 100'!$N:$P,3,FALSE),VLOOKUP($A33,'NAS 100'!$J:$L,3,FALSE))</f>
        <v>0.58417106044846767</v>
      </c>
      <c r="D33" s="45">
        <f>IF(Xinput_allocation_option=5,VLOOKUP($A33,'Russel 2000'!$N:$P,3,FALSE),VLOOKUP($A33,'Russel 2000'!$J:$L,3,FALSE))</f>
        <v>0.45040457026621861</v>
      </c>
      <c r="E33" s="45">
        <f>IF(Xinput_allocation_option=5,VLOOKUP($A33,'iBLD Claria'!$N:$P,3,FALSE),VLOOKUP($A33,'iBLD Claria'!$J:$L,3,FALSE))</f>
        <v>0.12319772558045095</v>
      </c>
      <c r="F33" s="45">
        <f>IF(Xinput_allocation_option=5,VLOOKUP($A33,'Bloomberg DBI'!$N:$P,3,FALSE),VLOOKUP($A33,'Bloomberg DBI'!$J:$L,3,FALSE))</f>
        <v>4.3805461458172455E-2</v>
      </c>
      <c r="G33" s="45">
        <f>IF(Xinput_allocation_option=5,VLOOKUP($A33,'PIMCO TBI'!$N:$P,3,FALSE),VLOOKUP($A33,'PIMCO TBI'!$J:$L,3,FALSE))</f>
        <v>4.0611835916731454E-2</v>
      </c>
      <c r="H33" s="45">
        <f>IF(Xinput_allocation_option=5,VLOOKUP($A33,'Bloomberg DBI ER'!$N:$P,3,FALSE),VLOOKUP($A33,'Bloomberg DBI ER'!$J:$L,3,FALSE))</f>
        <v>2.7254877789204764E-2</v>
      </c>
      <c r="I33" s="45">
        <f>IF(Xinput_allocation_option=5,VLOOKUP($A33,'PIMCO TBI ER'!$N:$P,3,FALSE),VLOOKUP($A33,'PIMCO TBI ER'!$J:$L,3,FALSE))</f>
        <v>3.7282163603466256E-2</v>
      </c>
      <c r="J33" s="45">
        <f>IF(Xinput_allocation_option=5,VLOOKUP($A33,'iBLD Claria ER'!$N:$P,3,FALSE),VLOOKUP($A33,'iBLD Claria ER'!$J:$L,3,FALSE))</f>
        <v>5.1541378975007268E-2</v>
      </c>
    </row>
    <row r="34" spans="1:10" ht="15.45" thickTop="1" thickBot="1">
      <c r="A34" s="17">
        <v>33</v>
      </c>
      <c r="B34" s="45">
        <f>IF(Xinput_allocation_option=5,VLOOKUP($A34,'S&amp;P 500'!$N:$P,3,FALSE),VLOOKUP($A34,'S&amp;P 500'!$J:$L,3,FALSE))</f>
        <v>-0.65554221761429954</v>
      </c>
      <c r="C34" s="45">
        <f>IF(Xinput_allocation_option=5,VLOOKUP($A34,'NAS 100'!$N:$P,3,FALSE),VLOOKUP($A34,'NAS 100'!$J:$L,3,FALSE))</f>
        <v>-0.82461824783145721</v>
      </c>
      <c r="D34" s="45">
        <f>IF(Xinput_allocation_option=5,VLOOKUP($A34,'Russel 2000'!$N:$P,3,FALSE),VLOOKUP($A34,'Russel 2000'!$J:$L,3,FALSE))</f>
        <v>-0.61546559447090998</v>
      </c>
      <c r="E34" s="45">
        <f>IF(Xinput_allocation_option=5,VLOOKUP($A34,'iBLD Claria'!$N:$P,3,FALSE),VLOOKUP($A34,'iBLD Claria'!$J:$L,3,FALSE))</f>
        <v>-8.0576146567829826E-2</v>
      </c>
      <c r="F34" s="45">
        <f>IF(Xinput_allocation_option=5,VLOOKUP($A34,'Bloomberg DBI'!$N:$P,3,FALSE),VLOOKUP($A34,'Bloomberg DBI'!$J:$L,3,FALSE))</f>
        <v>-0.45102421407850335</v>
      </c>
      <c r="G34" s="45">
        <f>IF(Xinput_allocation_option=5,VLOOKUP($A34,'PIMCO TBI'!$N:$P,3,FALSE),VLOOKUP($A34,'PIMCO TBI'!$J:$L,3,FALSE))</f>
        <v>-0.1444741392862757</v>
      </c>
      <c r="H34" s="45">
        <f>IF(Xinput_allocation_option=5,VLOOKUP($A34,'Bloomberg DBI ER'!$N:$P,3,FALSE),VLOOKUP($A34,'Bloomberg DBI ER'!$J:$L,3,FALSE))</f>
        <v>-0.4476399005749413</v>
      </c>
      <c r="I34" s="45">
        <f>IF(Xinput_allocation_option=5,VLOOKUP($A34,'PIMCO TBI ER'!$N:$P,3,FALSE),VLOOKUP($A34,'PIMCO TBI ER'!$J:$L,3,FALSE))</f>
        <v>-0.12806977277943543</v>
      </c>
      <c r="J34" s="45">
        <f>IF(Xinput_allocation_option=5,VLOOKUP($A34,'iBLD Claria ER'!$N:$P,3,FALSE),VLOOKUP($A34,'iBLD Claria ER'!$J:$L,3,FALSE))</f>
        <v>-7.4262461851475087E-2</v>
      </c>
    </row>
    <row r="35" spans="1:10" ht="15.45" thickTop="1" thickBot="1">
      <c r="A35" s="17">
        <v>34</v>
      </c>
      <c r="B35" s="45">
        <f>IF(Xinput_allocation_option=5,VLOOKUP($A35,'S&amp;P 500'!$N:$P,3,FALSE),VLOOKUP($A35,'S&amp;P 500'!$J:$L,3,FALSE))</f>
        <v>2.8977926674070474E-2</v>
      </c>
      <c r="C35" s="45">
        <f>IF(Xinput_allocation_option=5,VLOOKUP($A35,'NAS 100'!$N:$P,3,FALSE),VLOOKUP($A35,'NAS 100'!$J:$L,3,FALSE))</f>
        <v>0.11574277608897852</v>
      </c>
      <c r="D35" s="45">
        <f>IF(Xinput_allocation_option=5,VLOOKUP($A35,'Russel 2000'!$N:$P,3,FALSE),VLOOKUP($A35,'Russel 2000'!$J:$L,3,FALSE))</f>
        <v>-1.5192191168490705E-2</v>
      </c>
      <c r="E35" s="45">
        <f>IF(Xinput_allocation_option=5,VLOOKUP($A35,'iBLD Claria'!$N:$P,3,FALSE),VLOOKUP($A35,'iBLD Claria'!$J:$L,3,FALSE))</f>
        <v>-3.1659674882013718E-2</v>
      </c>
      <c r="F35" s="45">
        <f>IF(Xinput_allocation_option=5,VLOOKUP($A35,'Bloomberg DBI'!$N:$P,3,FALSE),VLOOKUP($A35,'Bloomberg DBI'!$J:$L,3,FALSE))</f>
        <v>4.9631394375468034E-2</v>
      </c>
      <c r="G35" s="45">
        <f>IF(Xinput_allocation_option=5,VLOOKUP($A35,'PIMCO TBI'!$N:$P,3,FALSE),VLOOKUP($A35,'PIMCO TBI'!$J:$L,3,FALSE))</f>
        <v>0.12325431826534354</v>
      </c>
      <c r="H35" s="45">
        <f>IF(Xinput_allocation_option=5,VLOOKUP($A35,'Bloomberg DBI ER'!$N:$P,3,FALSE),VLOOKUP($A35,'Bloomberg DBI ER'!$J:$L,3,FALSE))</f>
        <v>5.9633789624114593E-2</v>
      </c>
      <c r="I35" s="45">
        <f>IF(Xinput_allocation_option=5,VLOOKUP($A35,'PIMCO TBI ER'!$N:$P,3,FALSE),VLOOKUP($A35,'PIMCO TBI ER'!$J:$L,3,FALSE))</f>
        <v>0.10565938404843392</v>
      </c>
      <c r="J35" s="45">
        <f>IF(Xinput_allocation_option=5,VLOOKUP($A35,'iBLD Claria ER'!$N:$P,3,FALSE),VLOOKUP($A35,'iBLD Claria ER'!$J:$L,3,FALSE))</f>
        <v>2.7272727272727313E-2</v>
      </c>
    </row>
    <row r="36" spans="1:10" ht="15.45" thickTop="1" thickBot="1">
      <c r="A36" s="17">
        <v>35</v>
      </c>
      <c r="B36" s="45">
        <f>IF(Xinput_allocation_option=5,VLOOKUP($A36,'S&amp;P 500'!$N:$P,3,FALSE),VLOOKUP($A36,'S&amp;P 500'!$J:$L,3,FALSE))</f>
        <v>0.10910315308742147</v>
      </c>
      <c r="C36" s="45">
        <f>IF(Xinput_allocation_option=5,VLOOKUP($A36,'NAS 100'!$N:$P,3,FALSE),VLOOKUP($A36,'NAS 100'!$J:$L,3,FALSE))</f>
        <v>4.4024236851673539E-2</v>
      </c>
      <c r="D36" s="45">
        <f>IF(Xinput_allocation_option=5,VLOOKUP($A36,'Russel 2000'!$N:$P,3,FALSE),VLOOKUP($A36,'Russel 2000'!$J:$L,3,FALSE))</f>
        <v>0.12352329734993144</v>
      </c>
      <c r="E36" s="45">
        <f>IF(Xinput_allocation_option=5,VLOOKUP($A36,'iBLD Claria'!$N:$P,3,FALSE),VLOOKUP($A36,'iBLD Claria'!$J:$L,3,FALSE))</f>
        <v>0.12319772558045095</v>
      </c>
      <c r="F36" s="45">
        <f>IF(Xinput_allocation_option=5,VLOOKUP($A36,'Bloomberg DBI'!$N:$P,3,FALSE),VLOOKUP($A36,'Bloomberg DBI'!$J:$L,3,FALSE))</f>
        <v>6.5960116701655941E-2</v>
      </c>
      <c r="G36" s="45">
        <f>IF(Xinput_allocation_option=5,VLOOKUP($A36,'PIMCO TBI'!$N:$P,3,FALSE),VLOOKUP($A36,'PIMCO TBI'!$J:$L,3,FALSE))</f>
        <v>4.0611835916731454E-2</v>
      </c>
      <c r="H36" s="45">
        <f>IF(Xinput_allocation_option=5,VLOOKUP($A36,'Bloomberg DBI ER'!$N:$P,3,FALSE),VLOOKUP($A36,'Bloomberg DBI ER'!$J:$L,3,FALSE))</f>
        <v>7.3492509994359967E-2</v>
      </c>
      <c r="I36" s="45">
        <f>IF(Xinput_allocation_option=5,VLOOKUP($A36,'PIMCO TBI ER'!$N:$P,3,FALSE),VLOOKUP($A36,'PIMCO TBI ER'!$J:$L,3,FALSE))</f>
        <v>3.7282163603466256E-2</v>
      </c>
      <c r="J36" s="45">
        <f>IF(Xinput_allocation_option=5,VLOOKUP($A36,'iBLD Claria ER'!$N:$P,3,FALSE),VLOOKUP($A36,'iBLD Claria ER'!$J:$L,3,FALSE))</f>
        <v>5.1541378975007268E-2</v>
      </c>
    </row>
    <row r="37" spans="1:10" ht="15.45" thickTop="1" thickBot="1">
      <c r="A37" s="17">
        <v>36</v>
      </c>
      <c r="B37" s="45">
        <f>IF(Xinput_allocation_option=5,VLOOKUP($A37,'S&amp;P 500'!$N:$P,3,FALSE),VLOOKUP($A37,'S&amp;P 500'!$J:$L,3,FALSE))</f>
        <v>0.22761895892767869</v>
      </c>
      <c r="C37" s="45">
        <f>IF(Xinput_allocation_option=5,VLOOKUP($A37,'NAS 100'!$N:$P,3,FALSE),VLOOKUP($A37,'NAS 100'!$J:$L,3,FALSE))</f>
        <v>0.34964105219785357</v>
      </c>
      <c r="D37" s="45">
        <f>IF(Xinput_allocation_option=5,VLOOKUP($A37,'Russel 2000'!$N:$P,3,FALSE),VLOOKUP($A37,'Russel 2000'!$J:$L,3,FALSE))</f>
        <v>0.29844919765641681</v>
      </c>
      <c r="E37" s="45">
        <f>IF(Xinput_allocation_option=5,VLOOKUP($A37,'iBLD Claria'!$N:$P,3,FALSE),VLOOKUP($A37,'iBLD Claria'!$J:$L,3,FALSE))</f>
        <v>-8.0576146567829826E-2</v>
      </c>
      <c r="F37" s="45">
        <f>IF(Xinput_allocation_option=5,VLOOKUP($A37,'Bloomberg DBI'!$N:$P,3,FALSE),VLOOKUP($A37,'Bloomberg DBI'!$J:$L,3,FALSE))</f>
        <v>6.807198148919788E-2</v>
      </c>
      <c r="G37" s="45">
        <f>IF(Xinput_allocation_option=5,VLOOKUP($A37,'PIMCO TBI'!$N:$P,3,FALSE),VLOOKUP($A37,'PIMCO TBI'!$J:$L,3,FALSE))</f>
        <v>-0.1444741392862757</v>
      </c>
      <c r="H37" s="45">
        <f>IF(Xinput_allocation_option=5,VLOOKUP($A37,'Bloomberg DBI ER'!$N:$P,3,FALSE),VLOOKUP($A37,'Bloomberg DBI ER'!$J:$L,3,FALSE))</f>
        <v>6.8652784680292983E-2</v>
      </c>
      <c r="I37" s="45">
        <f>IF(Xinput_allocation_option=5,VLOOKUP($A37,'PIMCO TBI ER'!$N:$P,3,FALSE),VLOOKUP($A37,'PIMCO TBI ER'!$J:$L,3,FALSE))</f>
        <v>-0.12806977277943543</v>
      </c>
      <c r="J37" s="45">
        <f>IF(Xinput_allocation_option=5,VLOOKUP($A37,'iBLD Claria ER'!$N:$P,3,FALSE),VLOOKUP($A37,'iBLD Claria ER'!$J:$L,3,FALSE))</f>
        <v>-7.4262461851475087E-2</v>
      </c>
    </row>
    <row r="38" spans="1:10" ht="15.45" thickTop="1" thickBot="1">
      <c r="A38" s="17">
        <v>37</v>
      </c>
      <c r="B38" s="45">
        <f>IF(Xinput_allocation_option=5,VLOOKUP($A38,'S&amp;P 500'!$N:$P,3,FALSE),VLOOKUP($A38,'S&amp;P 500'!$J:$L,3,FALSE))</f>
        <v>0.13178631071420535</v>
      </c>
      <c r="C38" s="45">
        <f>IF(Xinput_allocation_option=5,VLOOKUP($A38,'NAS 100'!$N:$P,3,FALSE),VLOOKUP($A38,'NAS 100'!$J:$L,3,FALSE))</f>
        <v>0.20144741870029306</v>
      </c>
      <c r="D38" s="45">
        <f>IF(Xinput_allocation_option=5,VLOOKUP($A38,'Russel 2000'!$N:$P,3,FALSE),VLOOKUP($A38,'Russel 2000'!$J:$L,3,FALSE))</f>
        <v>4.2551722919959796E-2</v>
      </c>
      <c r="E38" s="45">
        <f>IF(Xinput_allocation_option=5,VLOOKUP($A38,'iBLD Claria'!$N:$P,3,FALSE),VLOOKUP($A38,'iBLD Claria'!$J:$L,3,FALSE))</f>
        <v>-3.1659674882013718E-2</v>
      </c>
      <c r="F38" s="45">
        <f>IF(Xinput_allocation_option=5,VLOOKUP($A38,'Bloomberg DBI'!$N:$P,3,FALSE),VLOOKUP($A38,'Bloomberg DBI'!$J:$L,3,FALSE))</f>
        <v>6.3237178764079124E-2</v>
      </c>
      <c r="G38" s="45">
        <f>IF(Xinput_allocation_option=5,VLOOKUP($A38,'PIMCO TBI'!$N:$P,3,FALSE),VLOOKUP($A38,'PIMCO TBI'!$J:$L,3,FALSE))</f>
        <v>0.12325431826534354</v>
      </c>
      <c r="H38" s="45">
        <f>IF(Xinput_allocation_option=5,VLOOKUP($A38,'Bloomberg DBI ER'!$N:$P,3,FALSE),VLOOKUP($A38,'Bloomberg DBI ER'!$J:$L,3,FALSE))</f>
        <v>7.1704873851048082E-2</v>
      </c>
      <c r="I38" s="45">
        <f>IF(Xinput_allocation_option=5,VLOOKUP($A38,'PIMCO TBI ER'!$N:$P,3,FALSE),VLOOKUP($A38,'PIMCO TBI ER'!$J:$L,3,FALSE))</f>
        <v>0.10565938404843392</v>
      </c>
      <c r="J38" s="45">
        <f>IF(Xinput_allocation_option=5,VLOOKUP($A38,'iBLD Claria ER'!$N:$P,3,FALSE),VLOOKUP($A38,'iBLD Claria ER'!$J:$L,3,FALSE))</f>
        <v>2.7272727272727313E-2</v>
      </c>
    </row>
    <row r="39" spans="1:10" ht="15.45" thickTop="1" thickBot="1">
      <c r="A39" s="17">
        <v>38</v>
      </c>
      <c r="B39" s="45">
        <f>IF(Xinput_allocation_option=5,VLOOKUP($A39,'S&amp;P 500'!$N:$P,3,FALSE),VLOOKUP($A39,'S&amp;P 500'!$J:$L,3,FALSE))</f>
        <v>-8.1857933000712729E-2</v>
      </c>
      <c r="C39" s="45">
        <f>IF(Xinput_allocation_option=5,VLOOKUP($A39,'NAS 100'!$N:$P,3,FALSE),VLOOKUP($A39,'NAS 100'!$J:$L,3,FALSE))</f>
        <v>-5.3944519454873288E-2</v>
      </c>
      <c r="D39" s="45">
        <f>IF(Xinput_allocation_option=5,VLOOKUP($A39,'Russel 2000'!$N:$P,3,FALSE),VLOOKUP($A39,'Russel 2000'!$J:$L,3,FALSE))</f>
        <v>-0.16172760145669021</v>
      </c>
      <c r="E39" s="45">
        <f>IF(Xinput_allocation_option=5,VLOOKUP($A39,'iBLD Claria'!$N:$P,3,FALSE),VLOOKUP($A39,'iBLD Claria'!$J:$L,3,FALSE))</f>
        <v>0.12319772558045095</v>
      </c>
      <c r="F39" s="45">
        <f>IF(Xinput_allocation_option=5,VLOOKUP($A39,'Bloomberg DBI'!$N:$P,3,FALSE),VLOOKUP($A39,'Bloomberg DBI'!$J:$L,3,FALSE))</f>
        <v>-3.046724551155407E-2</v>
      </c>
      <c r="G39" s="45">
        <f>IF(Xinput_allocation_option=5,VLOOKUP($A39,'PIMCO TBI'!$N:$P,3,FALSE),VLOOKUP($A39,'PIMCO TBI'!$J:$L,3,FALSE))</f>
        <v>4.0611835916731454E-2</v>
      </c>
      <c r="H39" s="45">
        <f>IF(Xinput_allocation_option=5,VLOOKUP($A39,'Bloomberg DBI ER'!$N:$P,3,FALSE),VLOOKUP($A39,'Bloomberg DBI ER'!$J:$L,3,FALSE))</f>
        <v>-3.1721933218501211E-2</v>
      </c>
      <c r="I39" s="45">
        <f>IF(Xinput_allocation_option=5,VLOOKUP($A39,'PIMCO TBI ER'!$N:$P,3,FALSE),VLOOKUP($A39,'PIMCO TBI ER'!$J:$L,3,FALSE))</f>
        <v>3.7282163603466256E-2</v>
      </c>
      <c r="J39" s="45">
        <f>IF(Xinput_allocation_option=5,VLOOKUP($A39,'iBLD Claria ER'!$N:$P,3,FALSE),VLOOKUP($A39,'iBLD Claria ER'!$J:$L,3,FALSE))</f>
        <v>5.1541378975007268E-2</v>
      </c>
    </row>
    <row r="40" spans="1:10" ht="15.45" thickTop="1" thickBot="1">
      <c r="A40" s="17">
        <v>39</v>
      </c>
      <c r="B40" s="45">
        <f>IF(Xinput_allocation_option=5,VLOOKUP($A40,'S&amp;P 500'!$N:$P,3,FALSE),VLOOKUP($A40,'S&amp;P 500'!$J:$L,3,FALSE))</f>
        <v>0.2232704789105901</v>
      </c>
      <c r="C40" s="45">
        <f>IF(Xinput_allocation_option=5,VLOOKUP($A40,'NAS 100'!$N:$P,3,FALSE),VLOOKUP($A40,'NAS 100'!$J:$L,3,FALSE))</f>
        <v>0.26878306512367683</v>
      </c>
      <c r="D40" s="45">
        <f>IF(Xinput_allocation_option=5,VLOOKUP($A40,'Russel 2000'!$N:$P,3,FALSE),VLOOKUP($A40,'Russel 2000'!$J:$L,3,FALSE))</f>
        <v>0.34121290435331286</v>
      </c>
      <c r="E40" s="45">
        <f>IF(Xinput_allocation_option=5,VLOOKUP($A40,'iBLD Claria'!$N:$P,3,FALSE),VLOOKUP($A40,'iBLD Claria'!$J:$L,3,FALSE))</f>
        <v>-8.0576146567829826E-2</v>
      </c>
      <c r="F40" s="45">
        <f>IF(Xinput_allocation_option=5,VLOOKUP($A40,'Bloomberg DBI'!$N:$P,3,FALSE),VLOOKUP($A40,'Bloomberg DBI'!$J:$L,3,FALSE))</f>
        <v>6.5569036319059262E-2</v>
      </c>
      <c r="G40" s="45">
        <f>IF(Xinput_allocation_option=5,VLOOKUP($A40,'PIMCO TBI'!$N:$P,3,FALSE),VLOOKUP($A40,'PIMCO TBI'!$J:$L,3,FALSE))</f>
        <v>-0.1444741392862757</v>
      </c>
      <c r="H40" s="45">
        <f>IF(Xinput_allocation_option=5,VLOOKUP($A40,'Bloomberg DBI ER'!$N:$P,3,FALSE),VLOOKUP($A40,'Bloomberg DBI ER'!$J:$L,3,FALSE))</f>
        <v>7.194968748361126E-2</v>
      </c>
      <c r="I40" s="45">
        <f>IF(Xinput_allocation_option=5,VLOOKUP($A40,'PIMCO TBI ER'!$N:$P,3,FALSE),VLOOKUP($A40,'PIMCO TBI ER'!$J:$L,3,FALSE))</f>
        <v>-0.12806977277943543</v>
      </c>
      <c r="J40" s="45">
        <f>IF(Xinput_allocation_option=5,VLOOKUP($A40,'iBLD Claria ER'!$N:$P,3,FALSE),VLOOKUP($A40,'iBLD Claria ER'!$J:$L,3,FALSE))</f>
        <v>-7.4262461851475087E-2</v>
      </c>
    </row>
    <row r="41" spans="1:10" ht="15.45" thickTop="1" thickBot="1">
      <c r="A41" s="17">
        <v>40</v>
      </c>
      <c r="B41" s="45">
        <f>IF(Xinput_allocation_option=5,VLOOKUP($A41,'S&amp;P 500'!$N:$P,3,FALSE),VLOOKUP($A41,'S&amp;P 500'!$J:$L,3,FALSE))</f>
        <v>0.14815716473439972</v>
      </c>
      <c r="C41" s="45">
        <f>IF(Xinput_allocation_option=5,VLOOKUP($A41,'NAS 100'!$N:$P,3,FALSE),VLOOKUP($A41,'NAS 100'!$J:$L,3,FALSE))</f>
        <v>0.28593268423974799</v>
      </c>
      <c r="D41" s="45">
        <f>IF(Xinput_allocation_option=5,VLOOKUP($A41,'Russel 2000'!$N:$P,3,FALSE),VLOOKUP($A41,'Russel 2000'!$J:$L,3,FALSE))</f>
        <v>9.0698569318283517E-2</v>
      </c>
      <c r="E41" s="45">
        <f>IF(Xinput_allocation_option=5,VLOOKUP($A41,'iBLD Claria'!$N:$P,3,FALSE),VLOOKUP($A41,'iBLD Claria'!$J:$L,3,FALSE))</f>
        <v>-3.1659674882013718E-2</v>
      </c>
      <c r="F41" s="45">
        <f>IF(Xinput_allocation_option=5,VLOOKUP($A41,'Bloomberg DBI'!$N:$P,3,FALSE),VLOOKUP($A41,'Bloomberg DBI'!$J:$L,3,FALSE))</f>
        <v>0.17408240841116446</v>
      </c>
      <c r="G41" s="45">
        <f>IF(Xinput_allocation_option=5,VLOOKUP($A41,'PIMCO TBI'!$N:$P,3,FALSE),VLOOKUP($A41,'PIMCO TBI'!$J:$L,3,FALSE))</f>
        <v>0.12325431826534354</v>
      </c>
      <c r="H41" s="45">
        <f>IF(Xinput_allocation_option=5,VLOOKUP($A41,'Bloomberg DBI ER'!$N:$P,3,FALSE),VLOOKUP($A41,'Bloomberg DBI ER'!$J:$L,3,FALSE))</f>
        <v>0.17857724619076987</v>
      </c>
      <c r="I41" s="45">
        <f>IF(Xinput_allocation_option=5,VLOOKUP($A41,'PIMCO TBI ER'!$N:$P,3,FALSE),VLOOKUP($A41,'PIMCO TBI ER'!$J:$L,3,FALSE))</f>
        <v>0.10565938404843392</v>
      </c>
      <c r="J41" s="45">
        <f>IF(Xinput_allocation_option=5,VLOOKUP($A41,'iBLD Claria ER'!$N:$P,3,FALSE),VLOOKUP($A41,'iBLD Claria ER'!$J:$L,3,FALSE))</f>
        <v>2.7272727272727313E-2</v>
      </c>
    </row>
    <row r="42" spans="1:10" ht="15.45" thickTop="1" thickBot="1">
      <c r="A42" s="17">
        <v>41</v>
      </c>
      <c r="B42" s="45">
        <f>IF(Xinput_allocation_option=5,VLOOKUP($A42,'S&amp;P 500'!$N:$P,3,FALSE),VLOOKUP($A42,'S&amp;P 500'!$J:$L,3,FALSE))</f>
        <v>2.603696987988062E-2</v>
      </c>
      <c r="C42" s="45">
        <f>IF(Xinput_allocation_option=5,VLOOKUP($A42,'NAS 100'!$N:$P,3,FALSE),VLOOKUP($A42,'NAS 100'!$J:$L,3,FALSE))</f>
        <v>3.5467605686035131E-2</v>
      </c>
      <c r="D42" s="45">
        <f>IF(Xinput_allocation_option=5,VLOOKUP($A42,'Russel 2000'!$N:$P,3,FALSE),VLOOKUP($A42,'Russel 2000'!$J:$L,3,FALSE))</f>
        <v>4.1720453598004636E-2</v>
      </c>
      <c r="E42" s="45">
        <f>IF(Xinput_allocation_option=5,VLOOKUP($A42,'iBLD Claria'!$N:$P,3,FALSE),VLOOKUP($A42,'iBLD Claria'!$J:$L,3,FALSE))</f>
        <v>0.12319772558045095</v>
      </c>
      <c r="F42" s="45">
        <f>IF(Xinput_allocation_option=5,VLOOKUP($A42,'Bloomberg DBI'!$N:$P,3,FALSE),VLOOKUP($A42,'Bloomberg DBI'!$J:$L,3,FALSE))</f>
        <v>-1.9671819185666482E-2</v>
      </c>
      <c r="G42" s="45">
        <f>IF(Xinput_allocation_option=5,VLOOKUP($A42,'PIMCO TBI'!$N:$P,3,FALSE),VLOOKUP($A42,'PIMCO TBI'!$J:$L,3,FALSE))</f>
        <v>4.0611835916731454E-2</v>
      </c>
      <c r="H42" s="45">
        <f>IF(Xinput_allocation_option=5,VLOOKUP($A42,'Bloomberg DBI ER'!$N:$P,3,FALSE),VLOOKUP($A42,'Bloomberg DBI ER'!$J:$L,3,FALSE))</f>
        <v>-3.0647180525431517E-2</v>
      </c>
      <c r="I42" s="45">
        <f>IF(Xinput_allocation_option=5,VLOOKUP($A42,'PIMCO TBI ER'!$N:$P,3,FALSE),VLOOKUP($A42,'PIMCO TBI ER'!$J:$L,3,FALSE))</f>
        <v>3.7282163603466256E-2</v>
      </c>
      <c r="J42" s="45">
        <f>IF(Xinput_allocation_option=5,VLOOKUP($A42,'iBLD Claria ER'!$N:$P,3,FALSE),VLOOKUP($A42,'iBLD Claria ER'!$J:$L,3,FALSE))</f>
        <v>5.1541378975007268E-2</v>
      </c>
    </row>
    <row r="43" spans="1:10" ht="15.45" thickTop="1" thickBot="1">
      <c r="A43" s="17">
        <v>42</v>
      </c>
      <c r="B43" s="45">
        <f>IF(Xinput_allocation_option=5,VLOOKUP($A43,'S&amp;P 500'!$N:$P,3,FALSE),VLOOKUP($A43,'S&amp;P 500'!$J:$L,3,FALSE))</f>
        <v>6.0955500508012225E-2</v>
      </c>
      <c r="C43" s="45">
        <f>IF(Xinput_allocation_option=5,VLOOKUP($A43,'NAS 100'!$N:$P,3,FALSE),VLOOKUP($A43,'NAS 100'!$J:$L,3,FALSE))</f>
        <v>0.1922218482102504</v>
      </c>
      <c r="D43" s="45">
        <f>IF(Xinput_allocation_option=5,VLOOKUP($A43,'Russel 2000'!$N:$P,3,FALSE),VLOOKUP($A43,'Russel 2000'!$J:$L,3,FALSE))</f>
        <v>-6.291135915543361E-2</v>
      </c>
      <c r="E43" s="45">
        <f>IF(Xinput_allocation_option=5,VLOOKUP($A43,'iBLD Claria'!$N:$P,3,FALSE),VLOOKUP($A43,'iBLD Claria'!$J:$L,3,FALSE))</f>
        <v>-8.0576146567829826E-2</v>
      </c>
      <c r="F43" s="45">
        <f>IF(Xinput_allocation_option=5,VLOOKUP($A43,'Bloomberg DBI'!$N:$P,3,FALSE),VLOOKUP($A43,'Bloomberg DBI'!$J:$L,3,FALSE))</f>
        <v>0.15506029544703762</v>
      </c>
      <c r="G43" s="45">
        <f>IF(Xinput_allocation_option=5,VLOOKUP($A43,'PIMCO TBI'!$N:$P,3,FALSE),VLOOKUP($A43,'PIMCO TBI'!$J:$L,3,FALSE))</f>
        <v>-0.1444741392862757</v>
      </c>
      <c r="H43" s="45">
        <f>IF(Xinput_allocation_option=5,VLOOKUP($A43,'Bloomberg DBI ER'!$N:$P,3,FALSE),VLOOKUP($A43,'Bloomberg DBI ER'!$J:$L,3,FALSE))</f>
        <v>0.1408233915533314</v>
      </c>
      <c r="I43" s="45">
        <f>IF(Xinput_allocation_option=5,VLOOKUP($A43,'PIMCO TBI ER'!$N:$P,3,FALSE),VLOOKUP($A43,'PIMCO TBI ER'!$J:$L,3,FALSE))</f>
        <v>-0.12806977277943543</v>
      </c>
      <c r="J43" s="45">
        <f>IF(Xinput_allocation_option=5,VLOOKUP($A43,'iBLD Claria ER'!$N:$P,3,FALSE),VLOOKUP($A43,'iBLD Claria ER'!$J:$L,3,FALSE))</f>
        <v>-7.4262461851475087E-2</v>
      </c>
    </row>
    <row r="44" spans="1:10" ht="15.45" thickTop="1" thickBot="1">
      <c r="A44" s="17">
        <v>43</v>
      </c>
      <c r="B44" s="45">
        <f>IF(Xinput_allocation_option=5,VLOOKUP($A44,'S&amp;P 500'!$N:$P,3,FALSE),VLOOKUP($A44,'S&amp;P 500'!$J:$L,3,FALSE))</f>
        <v>0.30425970504008892</v>
      </c>
      <c r="C44" s="45">
        <f>IF(Xinput_allocation_option=5,VLOOKUP($A44,'NAS 100'!$N:$P,3,FALSE),VLOOKUP($A44,'NAS 100'!$J:$L,3,FALSE))</f>
        <v>0.58417106044846767</v>
      </c>
      <c r="D44" s="45">
        <f>IF(Xinput_allocation_option=5,VLOOKUP($A44,'Russel 2000'!$N:$P,3,FALSE),VLOOKUP($A44,'Russel 2000'!$J:$L,3,FALSE))</f>
        <v>0.45040457026621861</v>
      </c>
      <c r="E44" s="45">
        <f>IF(Xinput_allocation_option=5,VLOOKUP($A44,'iBLD Claria'!$N:$P,3,FALSE),VLOOKUP($A44,'iBLD Claria'!$J:$L,3,FALSE))</f>
        <v>-3.1659674882013718E-2</v>
      </c>
      <c r="F44" s="45">
        <f>IF(Xinput_allocation_option=5,VLOOKUP($A44,'Bloomberg DBI'!$N:$P,3,FALSE),VLOOKUP($A44,'Bloomberg DBI'!$J:$L,3,FALSE))</f>
        <v>4.3805461458172455E-2</v>
      </c>
      <c r="G44" s="45">
        <f>IF(Xinput_allocation_option=5,VLOOKUP($A44,'PIMCO TBI'!$N:$P,3,FALSE),VLOOKUP($A44,'PIMCO TBI'!$J:$L,3,FALSE))</f>
        <v>0.12325431826534354</v>
      </c>
      <c r="H44" s="45">
        <f>IF(Xinput_allocation_option=5,VLOOKUP($A44,'Bloomberg DBI ER'!$N:$P,3,FALSE),VLOOKUP($A44,'Bloomberg DBI ER'!$J:$L,3,FALSE))</f>
        <v>2.7254877789204764E-2</v>
      </c>
      <c r="I44" s="45">
        <f>IF(Xinput_allocation_option=5,VLOOKUP($A44,'PIMCO TBI ER'!$N:$P,3,FALSE),VLOOKUP($A44,'PIMCO TBI ER'!$J:$L,3,FALSE))</f>
        <v>0.10565938404843392</v>
      </c>
      <c r="J44" s="45">
        <f>IF(Xinput_allocation_option=5,VLOOKUP($A44,'iBLD Claria ER'!$N:$P,3,FALSE),VLOOKUP($A44,'iBLD Claria ER'!$J:$L,3,FALSE))</f>
        <v>2.7272727272727313E-2</v>
      </c>
    </row>
    <row r="45" spans="1:10" ht="15.45" thickTop="1" thickBot="1">
      <c r="A45" s="17">
        <v>44</v>
      </c>
      <c r="B45" s="45">
        <f>IF(Xinput_allocation_option=5,VLOOKUP($A45,'S&amp;P 500'!$N:$P,3,FALSE),VLOOKUP($A45,'S&amp;P 500'!$J:$L,3,FALSE))</f>
        <v>-0.65554221761429954</v>
      </c>
      <c r="C45" s="45">
        <f>IF(Xinput_allocation_option=5,VLOOKUP($A45,'NAS 100'!$N:$P,3,FALSE),VLOOKUP($A45,'NAS 100'!$J:$L,3,FALSE))</f>
        <v>-0.82461824783145721</v>
      </c>
      <c r="D45" s="45">
        <f>IF(Xinput_allocation_option=5,VLOOKUP($A45,'Russel 2000'!$N:$P,3,FALSE),VLOOKUP($A45,'Russel 2000'!$J:$L,3,FALSE))</f>
        <v>-0.61546559447090998</v>
      </c>
      <c r="E45" s="45">
        <f>IF(Xinput_allocation_option=5,VLOOKUP($A45,'iBLD Claria'!$N:$P,3,FALSE),VLOOKUP($A45,'iBLD Claria'!$J:$L,3,FALSE))</f>
        <v>0.12319772558045095</v>
      </c>
      <c r="F45" s="45">
        <f>IF(Xinput_allocation_option=5,VLOOKUP($A45,'Bloomberg DBI'!$N:$P,3,FALSE),VLOOKUP($A45,'Bloomberg DBI'!$J:$L,3,FALSE))</f>
        <v>-0.45102421407850335</v>
      </c>
      <c r="G45" s="45">
        <f>IF(Xinput_allocation_option=5,VLOOKUP($A45,'PIMCO TBI'!$N:$P,3,FALSE),VLOOKUP($A45,'PIMCO TBI'!$J:$L,3,FALSE))</f>
        <v>4.0611835916731454E-2</v>
      </c>
      <c r="H45" s="45">
        <f>IF(Xinput_allocation_option=5,VLOOKUP($A45,'Bloomberg DBI ER'!$N:$P,3,FALSE),VLOOKUP($A45,'Bloomberg DBI ER'!$J:$L,3,FALSE))</f>
        <v>-0.4476399005749413</v>
      </c>
      <c r="I45" s="45">
        <f>IF(Xinput_allocation_option=5,VLOOKUP($A45,'PIMCO TBI ER'!$N:$P,3,FALSE),VLOOKUP($A45,'PIMCO TBI ER'!$J:$L,3,FALSE))</f>
        <v>3.7282163603466256E-2</v>
      </c>
      <c r="J45" s="45">
        <f>IF(Xinput_allocation_option=5,VLOOKUP($A45,'iBLD Claria ER'!$N:$P,3,FALSE),VLOOKUP($A45,'iBLD Claria ER'!$J:$L,3,FALSE))</f>
        <v>5.1541378975007268E-2</v>
      </c>
    </row>
    <row r="46" spans="1:10" ht="15.45" thickTop="1" thickBot="1">
      <c r="A46" s="17">
        <v>45</v>
      </c>
      <c r="B46" s="45">
        <f>IF(Xinput_allocation_option=5,VLOOKUP($A46,'S&amp;P 500'!$N:$P,3,FALSE),VLOOKUP($A46,'S&amp;P 500'!$J:$L,3,FALSE))</f>
        <v>2.8977926674070474E-2</v>
      </c>
      <c r="C46" s="45">
        <f>IF(Xinput_allocation_option=5,VLOOKUP($A46,'NAS 100'!$N:$P,3,FALSE),VLOOKUP($A46,'NAS 100'!$J:$L,3,FALSE))</f>
        <v>0.11574277608897852</v>
      </c>
      <c r="D46" s="45">
        <f>IF(Xinput_allocation_option=5,VLOOKUP($A46,'Russel 2000'!$N:$P,3,FALSE),VLOOKUP($A46,'Russel 2000'!$J:$L,3,FALSE))</f>
        <v>-1.5192191168490705E-2</v>
      </c>
      <c r="E46" s="45">
        <f>IF(Xinput_allocation_option=5,VLOOKUP($A46,'iBLD Claria'!$N:$P,3,FALSE),VLOOKUP($A46,'iBLD Claria'!$J:$L,3,FALSE))</f>
        <v>-8.0576146567829826E-2</v>
      </c>
      <c r="F46" s="45">
        <f>IF(Xinput_allocation_option=5,VLOOKUP($A46,'Bloomberg DBI'!$N:$P,3,FALSE),VLOOKUP($A46,'Bloomberg DBI'!$J:$L,3,FALSE))</f>
        <v>4.9631394375468034E-2</v>
      </c>
      <c r="G46" s="45">
        <f>IF(Xinput_allocation_option=5,VLOOKUP($A46,'PIMCO TBI'!$N:$P,3,FALSE),VLOOKUP($A46,'PIMCO TBI'!$J:$L,3,FALSE))</f>
        <v>-0.1444741392862757</v>
      </c>
      <c r="H46" s="45">
        <f>IF(Xinput_allocation_option=5,VLOOKUP($A46,'Bloomberg DBI ER'!$N:$P,3,FALSE),VLOOKUP($A46,'Bloomberg DBI ER'!$J:$L,3,FALSE))</f>
        <v>5.9633789624114593E-2</v>
      </c>
      <c r="I46" s="45">
        <f>IF(Xinput_allocation_option=5,VLOOKUP($A46,'PIMCO TBI ER'!$N:$P,3,FALSE),VLOOKUP($A46,'PIMCO TBI ER'!$J:$L,3,FALSE))</f>
        <v>-0.12806977277943543</v>
      </c>
      <c r="J46" s="45">
        <f>IF(Xinput_allocation_option=5,VLOOKUP($A46,'iBLD Claria ER'!$N:$P,3,FALSE),VLOOKUP($A46,'iBLD Claria ER'!$J:$L,3,FALSE))</f>
        <v>-7.4262461851475087E-2</v>
      </c>
    </row>
    <row r="47" spans="1:10" ht="15.45" thickTop="1" thickBot="1">
      <c r="A47" s="17">
        <v>46</v>
      </c>
      <c r="B47" s="45">
        <f>IF(Xinput_allocation_option=5,VLOOKUP($A47,'S&amp;P 500'!$N:$P,3,FALSE),VLOOKUP($A47,'S&amp;P 500'!$J:$L,3,FALSE))</f>
        <v>0.10910315308742147</v>
      </c>
      <c r="C47" s="45">
        <f>IF(Xinput_allocation_option=5,VLOOKUP($A47,'NAS 100'!$N:$P,3,FALSE),VLOOKUP($A47,'NAS 100'!$J:$L,3,FALSE))</f>
        <v>4.4024236851673539E-2</v>
      </c>
      <c r="D47" s="45">
        <f>IF(Xinput_allocation_option=5,VLOOKUP($A47,'Russel 2000'!$N:$P,3,FALSE),VLOOKUP($A47,'Russel 2000'!$J:$L,3,FALSE))</f>
        <v>0.12352329734993144</v>
      </c>
      <c r="E47" s="45">
        <f>IF(Xinput_allocation_option=5,VLOOKUP($A47,'iBLD Claria'!$N:$P,3,FALSE),VLOOKUP($A47,'iBLD Claria'!$J:$L,3,FALSE))</f>
        <v>-3.1659674882013718E-2</v>
      </c>
      <c r="F47" s="45">
        <f>IF(Xinput_allocation_option=5,VLOOKUP($A47,'Bloomberg DBI'!$N:$P,3,FALSE),VLOOKUP($A47,'Bloomberg DBI'!$J:$L,3,FALSE))</f>
        <v>6.5960116701655941E-2</v>
      </c>
      <c r="G47" s="45">
        <f>IF(Xinput_allocation_option=5,VLOOKUP($A47,'PIMCO TBI'!$N:$P,3,FALSE),VLOOKUP($A47,'PIMCO TBI'!$J:$L,3,FALSE))</f>
        <v>0.12325431826534354</v>
      </c>
      <c r="H47" s="45">
        <f>IF(Xinput_allocation_option=5,VLOOKUP($A47,'Bloomberg DBI ER'!$N:$P,3,FALSE),VLOOKUP($A47,'Bloomberg DBI ER'!$J:$L,3,FALSE))</f>
        <v>7.3492509994359967E-2</v>
      </c>
      <c r="I47" s="45">
        <f>IF(Xinput_allocation_option=5,VLOOKUP($A47,'PIMCO TBI ER'!$N:$P,3,FALSE),VLOOKUP($A47,'PIMCO TBI ER'!$J:$L,3,FALSE))</f>
        <v>0.10565938404843392</v>
      </c>
      <c r="J47" s="45">
        <f>IF(Xinput_allocation_option=5,VLOOKUP($A47,'iBLD Claria ER'!$N:$P,3,FALSE),VLOOKUP($A47,'iBLD Claria ER'!$J:$L,3,FALSE))</f>
        <v>2.7272727272727313E-2</v>
      </c>
    </row>
    <row r="48" spans="1:10" ht="15.45" thickTop="1" thickBot="1">
      <c r="A48" s="17">
        <v>47</v>
      </c>
      <c r="B48" s="45">
        <f>IF(Xinput_allocation_option=5,VLOOKUP($A48,'S&amp;P 500'!$N:$P,3,FALSE),VLOOKUP($A48,'S&amp;P 500'!$J:$L,3,FALSE))</f>
        <v>0.22761895892767869</v>
      </c>
      <c r="C48" s="45">
        <f>IF(Xinput_allocation_option=5,VLOOKUP($A48,'NAS 100'!$N:$P,3,FALSE),VLOOKUP($A48,'NAS 100'!$J:$L,3,FALSE))</f>
        <v>0.34964105219785357</v>
      </c>
      <c r="D48" s="45">
        <f>IF(Xinput_allocation_option=5,VLOOKUP($A48,'Russel 2000'!$N:$P,3,FALSE),VLOOKUP($A48,'Russel 2000'!$J:$L,3,FALSE))</f>
        <v>0.29844919765641681</v>
      </c>
      <c r="E48" s="45">
        <f>IF(Xinput_allocation_option=5,VLOOKUP($A48,'iBLD Claria'!$N:$P,3,FALSE),VLOOKUP($A48,'iBLD Claria'!$J:$L,3,FALSE))</f>
        <v>0.12319772558045095</v>
      </c>
      <c r="F48" s="45">
        <f>IF(Xinput_allocation_option=5,VLOOKUP($A48,'Bloomberg DBI'!$N:$P,3,FALSE),VLOOKUP($A48,'Bloomberg DBI'!$J:$L,3,FALSE))</f>
        <v>6.807198148919788E-2</v>
      </c>
      <c r="G48" s="45">
        <f>IF(Xinput_allocation_option=5,VLOOKUP($A48,'PIMCO TBI'!$N:$P,3,FALSE),VLOOKUP($A48,'PIMCO TBI'!$J:$L,3,FALSE))</f>
        <v>4.0611835916731454E-2</v>
      </c>
      <c r="H48" s="45">
        <f>IF(Xinput_allocation_option=5,VLOOKUP($A48,'Bloomberg DBI ER'!$N:$P,3,FALSE),VLOOKUP($A48,'Bloomberg DBI ER'!$J:$L,3,FALSE))</f>
        <v>6.8652784680292983E-2</v>
      </c>
      <c r="I48" s="45">
        <f>IF(Xinput_allocation_option=5,VLOOKUP($A48,'PIMCO TBI ER'!$N:$P,3,FALSE),VLOOKUP($A48,'PIMCO TBI ER'!$J:$L,3,FALSE))</f>
        <v>3.7282163603466256E-2</v>
      </c>
      <c r="J48" s="45">
        <f>IF(Xinput_allocation_option=5,VLOOKUP($A48,'iBLD Claria ER'!$N:$P,3,FALSE),VLOOKUP($A48,'iBLD Claria ER'!$J:$L,3,FALSE))</f>
        <v>5.1541378975007268E-2</v>
      </c>
    </row>
    <row r="49" spans="1:10" ht="15.45" thickTop="1" thickBot="1">
      <c r="A49" s="17">
        <v>48</v>
      </c>
      <c r="B49" s="45">
        <f>IF(Xinput_allocation_option=5,VLOOKUP($A49,'S&amp;P 500'!$N:$P,3,FALSE),VLOOKUP($A49,'S&amp;P 500'!$J:$L,3,FALSE))</f>
        <v>0.13178631071420535</v>
      </c>
      <c r="C49" s="45">
        <f>IF(Xinput_allocation_option=5,VLOOKUP($A49,'NAS 100'!$N:$P,3,FALSE),VLOOKUP($A49,'NAS 100'!$J:$L,3,FALSE))</f>
        <v>0.20144741870029306</v>
      </c>
      <c r="D49" s="45">
        <f>IF(Xinput_allocation_option=5,VLOOKUP($A49,'Russel 2000'!$N:$P,3,FALSE),VLOOKUP($A49,'Russel 2000'!$J:$L,3,FALSE))</f>
        <v>4.2551722919959796E-2</v>
      </c>
      <c r="E49" s="45">
        <f>IF(Xinput_allocation_option=5,VLOOKUP($A49,'iBLD Claria'!$N:$P,3,FALSE),VLOOKUP($A49,'iBLD Claria'!$J:$L,3,FALSE))</f>
        <v>-8.0576146567829826E-2</v>
      </c>
      <c r="F49" s="45">
        <f>IF(Xinput_allocation_option=5,VLOOKUP($A49,'Bloomberg DBI'!$N:$P,3,FALSE),VLOOKUP($A49,'Bloomberg DBI'!$J:$L,3,FALSE))</f>
        <v>6.3237178764079124E-2</v>
      </c>
      <c r="G49" s="45">
        <f>IF(Xinput_allocation_option=5,VLOOKUP($A49,'PIMCO TBI'!$N:$P,3,FALSE),VLOOKUP($A49,'PIMCO TBI'!$J:$L,3,FALSE))</f>
        <v>-0.1444741392862757</v>
      </c>
      <c r="H49" s="45">
        <f>IF(Xinput_allocation_option=5,VLOOKUP($A49,'Bloomberg DBI ER'!$N:$P,3,FALSE),VLOOKUP($A49,'Bloomberg DBI ER'!$J:$L,3,FALSE))</f>
        <v>7.1704873851048082E-2</v>
      </c>
      <c r="I49" s="45">
        <f>IF(Xinput_allocation_option=5,VLOOKUP($A49,'PIMCO TBI ER'!$N:$P,3,FALSE),VLOOKUP($A49,'PIMCO TBI ER'!$J:$L,3,FALSE))</f>
        <v>-0.12806977277943543</v>
      </c>
      <c r="J49" s="45">
        <f>IF(Xinput_allocation_option=5,VLOOKUP($A49,'iBLD Claria ER'!$N:$P,3,FALSE),VLOOKUP($A49,'iBLD Claria ER'!$J:$L,3,FALSE))</f>
        <v>-7.4262461851475087E-2</v>
      </c>
    </row>
    <row r="50" spans="1:10" ht="15.45" thickTop="1" thickBot="1">
      <c r="A50" s="17">
        <v>49</v>
      </c>
      <c r="B50" s="45">
        <f>IF(Xinput_allocation_option=5,VLOOKUP($A50,'S&amp;P 500'!$N:$P,3,FALSE),VLOOKUP($A50,'S&amp;P 500'!$J:$L,3,FALSE))</f>
        <v>-8.1857933000712729E-2</v>
      </c>
      <c r="C50" s="45">
        <f>IF(Xinput_allocation_option=5,VLOOKUP($A50,'NAS 100'!$N:$P,3,FALSE),VLOOKUP($A50,'NAS 100'!$J:$L,3,FALSE))</f>
        <v>-5.3944519454873288E-2</v>
      </c>
      <c r="D50" s="45">
        <f>IF(Xinput_allocation_option=5,VLOOKUP($A50,'Russel 2000'!$N:$P,3,FALSE),VLOOKUP($A50,'Russel 2000'!$J:$L,3,FALSE))</f>
        <v>-0.16172760145669021</v>
      </c>
      <c r="E50" s="45">
        <f>IF(Xinput_allocation_option=5,VLOOKUP($A50,'iBLD Claria'!$N:$P,3,FALSE),VLOOKUP($A50,'iBLD Claria'!$J:$L,3,FALSE))</f>
        <v>-3.1659674882013718E-2</v>
      </c>
      <c r="F50" s="45">
        <f>IF(Xinput_allocation_option=5,VLOOKUP($A50,'Bloomberg DBI'!$N:$P,3,FALSE),VLOOKUP($A50,'Bloomberg DBI'!$J:$L,3,FALSE))</f>
        <v>-3.046724551155407E-2</v>
      </c>
      <c r="G50" s="45">
        <f>IF(Xinput_allocation_option=5,VLOOKUP($A50,'PIMCO TBI'!$N:$P,3,FALSE),VLOOKUP($A50,'PIMCO TBI'!$J:$L,3,FALSE))</f>
        <v>0.12325431826534354</v>
      </c>
      <c r="H50" s="45">
        <f>IF(Xinput_allocation_option=5,VLOOKUP($A50,'Bloomberg DBI ER'!$N:$P,3,FALSE),VLOOKUP($A50,'Bloomberg DBI ER'!$J:$L,3,FALSE))</f>
        <v>-3.1721933218501211E-2</v>
      </c>
      <c r="I50" s="45">
        <f>IF(Xinput_allocation_option=5,VLOOKUP($A50,'PIMCO TBI ER'!$N:$P,3,FALSE),VLOOKUP($A50,'PIMCO TBI ER'!$J:$L,3,FALSE))</f>
        <v>0.10565938404843392</v>
      </c>
      <c r="J50" s="45">
        <f>IF(Xinput_allocation_option=5,VLOOKUP($A50,'iBLD Claria ER'!$N:$P,3,FALSE),VLOOKUP($A50,'iBLD Claria ER'!$J:$L,3,FALSE))</f>
        <v>2.7272727272727313E-2</v>
      </c>
    </row>
    <row r="51" spans="1:10" ht="15.45" thickTop="1" thickBot="1">
      <c r="A51" s="17">
        <v>50</v>
      </c>
      <c r="B51" s="45">
        <f>IF(Xinput_allocation_option=5,VLOOKUP($A51,'S&amp;P 500'!$N:$P,3,FALSE),VLOOKUP($A51,'S&amp;P 500'!$J:$L,3,FALSE))</f>
        <v>0.2232704789105901</v>
      </c>
      <c r="C51" s="45">
        <f>IF(Xinput_allocation_option=5,VLOOKUP($A51,'NAS 100'!$N:$P,3,FALSE),VLOOKUP($A51,'NAS 100'!$J:$L,3,FALSE))</f>
        <v>0.26878306512367683</v>
      </c>
      <c r="D51" s="45">
        <f>IF(Xinput_allocation_option=5,VLOOKUP($A51,'Russel 2000'!$N:$P,3,FALSE),VLOOKUP($A51,'Russel 2000'!$J:$L,3,FALSE))</f>
        <v>0.34121290435331286</v>
      </c>
      <c r="E51" s="45">
        <f>IF(Xinput_allocation_option=5,VLOOKUP($A51,'iBLD Claria'!$N:$P,3,FALSE),VLOOKUP($A51,'iBLD Claria'!$J:$L,3,FALSE))</f>
        <v>0.12319772558045095</v>
      </c>
      <c r="F51" s="45">
        <f>IF(Xinput_allocation_option=5,VLOOKUP($A51,'Bloomberg DBI'!$N:$P,3,FALSE),VLOOKUP($A51,'Bloomberg DBI'!$J:$L,3,FALSE))</f>
        <v>6.5569036319059262E-2</v>
      </c>
      <c r="G51" s="45">
        <f>IF(Xinput_allocation_option=5,VLOOKUP($A51,'PIMCO TBI'!$N:$P,3,FALSE),VLOOKUP($A51,'PIMCO TBI'!$J:$L,3,FALSE))</f>
        <v>4.0611835916731454E-2</v>
      </c>
      <c r="H51" s="45">
        <f>IF(Xinput_allocation_option=5,VLOOKUP($A51,'Bloomberg DBI ER'!$N:$P,3,FALSE),VLOOKUP($A51,'Bloomberg DBI ER'!$J:$L,3,FALSE))</f>
        <v>7.194968748361126E-2</v>
      </c>
      <c r="I51" s="45">
        <f>IF(Xinput_allocation_option=5,VLOOKUP($A51,'PIMCO TBI ER'!$N:$P,3,FALSE),VLOOKUP($A51,'PIMCO TBI ER'!$J:$L,3,FALSE))</f>
        <v>3.7282163603466256E-2</v>
      </c>
      <c r="J51" s="45">
        <f>IF(Xinput_allocation_option=5,VLOOKUP($A51,'iBLD Claria ER'!$N:$P,3,FALSE),VLOOKUP($A51,'iBLD Claria ER'!$J:$L,3,FALSE))</f>
        <v>5.1541378975007268E-2</v>
      </c>
    </row>
    <row r="52" spans="1:10" ht="15.45" thickTop="1" thickBot="1">
      <c r="A52" s="17">
        <v>51</v>
      </c>
      <c r="B52" s="45">
        <f>IF(Xinput_allocation_option=5,VLOOKUP($A52,'S&amp;P 500'!$N:$P,3,FALSE),VLOOKUP($A52,'S&amp;P 500'!$J:$L,3,FALSE))</f>
        <v>0.14815716473439972</v>
      </c>
      <c r="C52" s="45">
        <f>IF(Xinput_allocation_option=5,VLOOKUP($A52,'NAS 100'!$N:$P,3,FALSE),VLOOKUP($A52,'NAS 100'!$J:$L,3,FALSE))</f>
        <v>0.28593268423974799</v>
      </c>
      <c r="D52" s="45">
        <f>IF(Xinput_allocation_option=5,VLOOKUP($A52,'Russel 2000'!$N:$P,3,FALSE),VLOOKUP($A52,'Russel 2000'!$J:$L,3,FALSE))</f>
        <v>9.0698569318283517E-2</v>
      </c>
      <c r="E52" s="45">
        <f>IF(Xinput_allocation_option=5,VLOOKUP($A52,'iBLD Claria'!$N:$P,3,FALSE),VLOOKUP($A52,'iBLD Claria'!$J:$L,3,FALSE))</f>
        <v>-8.0576146567829826E-2</v>
      </c>
      <c r="F52" s="45">
        <f>IF(Xinput_allocation_option=5,VLOOKUP($A52,'Bloomberg DBI'!$N:$P,3,FALSE),VLOOKUP($A52,'Bloomberg DBI'!$J:$L,3,FALSE))</f>
        <v>0.17408240841116446</v>
      </c>
      <c r="G52" s="45">
        <f>IF(Xinput_allocation_option=5,VLOOKUP($A52,'PIMCO TBI'!$N:$P,3,FALSE),VLOOKUP($A52,'PIMCO TBI'!$J:$L,3,FALSE))</f>
        <v>-0.1444741392862757</v>
      </c>
      <c r="H52" s="45">
        <f>IF(Xinput_allocation_option=5,VLOOKUP($A52,'Bloomberg DBI ER'!$N:$P,3,FALSE),VLOOKUP($A52,'Bloomberg DBI ER'!$J:$L,3,FALSE))</f>
        <v>0.17857724619076987</v>
      </c>
      <c r="I52" s="45">
        <f>IF(Xinput_allocation_option=5,VLOOKUP($A52,'PIMCO TBI ER'!$N:$P,3,FALSE),VLOOKUP($A52,'PIMCO TBI ER'!$J:$L,3,FALSE))</f>
        <v>-0.12806977277943543</v>
      </c>
      <c r="J52" s="45">
        <f>IF(Xinput_allocation_option=5,VLOOKUP($A52,'iBLD Claria ER'!$N:$P,3,FALSE),VLOOKUP($A52,'iBLD Claria ER'!$J:$L,3,FALSE))</f>
        <v>-7.4262461851475087E-2</v>
      </c>
    </row>
    <row r="53" spans="1:10" ht="15.45" thickTop="1" thickBot="1">
      <c r="A53" s="17">
        <v>52</v>
      </c>
      <c r="B53" s="45">
        <f>IF(Xinput_allocation_option=5,VLOOKUP($A53,'S&amp;P 500'!$N:$P,3,FALSE),VLOOKUP($A53,'S&amp;P 500'!$J:$L,3,FALSE))</f>
        <v>2.603696987988062E-2</v>
      </c>
      <c r="C53" s="45">
        <f>IF(Xinput_allocation_option=5,VLOOKUP($A53,'NAS 100'!$N:$P,3,FALSE),VLOOKUP($A53,'NAS 100'!$J:$L,3,FALSE))</f>
        <v>3.5467605686035131E-2</v>
      </c>
      <c r="D53" s="45">
        <f>IF(Xinput_allocation_option=5,VLOOKUP($A53,'Russel 2000'!$N:$P,3,FALSE),VLOOKUP($A53,'Russel 2000'!$J:$L,3,FALSE))</f>
        <v>4.1720453598004636E-2</v>
      </c>
      <c r="E53" s="45">
        <f>IF(Xinput_allocation_option=5,VLOOKUP($A53,'iBLD Claria'!$N:$P,3,FALSE),VLOOKUP($A53,'iBLD Claria'!$J:$L,3,FALSE))</f>
        <v>-3.1659674882013718E-2</v>
      </c>
      <c r="F53" s="45">
        <f>IF(Xinput_allocation_option=5,VLOOKUP($A53,'Bloomberg DBI'!$N:$P,3,FALSE),VLOOKUP($A53,'Bloomberg DBI'!$J:$L,3,FALSE))</f>
        <v>-1.9671819185666482E-2</v>
      </c>
      <c r="G53" s="45">
        <f>IF(Xinput_allocation_option=5,VLOOKUP($A53,'PIMCO TBI'!$N:$P,3,FALSE),VLOOKUP($A53,'PIMCO TBI'!$J:$L,3,FALSE))</f>
        <v>0.12325431826534354</v>
      </c>
      <c r="H53" s="45">
        <f>IF(Xinput_allocation_option=5,VLOOKUP($A53,'Bloomberg DBI ER'!$N:$P,3,FALSE),VLOOKUP($A53,'Bloomberg DBI ER'!$J:$L,3,FALSE))</f>
        <v>-3.0647180525431517E-2</v>
      </c>
      <c r="I53" s="45">
        <f>IF(Xinput_allocation_option=5,VLOOKUP($A53,'PIMCO TBI ER'!$N:$P,3,FALSE),VLOOKUP($A53,'PIMCO TBI ER'!$J:$L,3,FALSE))</f>
        <v>0.10565938404843392</v>
      </c>
      <c r="J53" s="45">
        <f>IF(Xinput_allocation_option=5,VLOOKUP($A53,'iBLD Claria ER'!$N:$P,3,FALSE),VLOOKUP($A53,'iBLD Claria ER'!$J:$L,3,FALSE))</f>
        <v>2.7272727272727313E-2</v>
      </c>
    </row>
    <row r="54" spans="1:10" ht="15.45" thickTop="1" thickBot="1">
      <c r="A54" s="17">
        <v>53</v>
      </c>
      <c r="B54" s="45">
        <f>IF(Xinput_allocation_option=5,VLOOKUP($A54,'S&amp;P 500'!$N:$P,3,FALSE),VLOOKUP($A54,'S&amp;P 500'!$J:$L,3,FALSE))</f>
        <v>6.0955500508012225E-2</v>
      </c>
      <c r="C54" s="45">
        <f>IF(Xinput_allocation_option=5,VLOOKUP($A54,'NAS 100'!$N:$P,3,FALSE),VLOOKUP($A54,'NAS 100'!$J:$L,3,FALSE))</f>
        <v>0.1922218482102504</v>
      </c>
      <c r="D54" s="45">
        <f>IF(Xinput_allocation_option=5,VLOOKUP($A54,'Russel 2000'!$N:$P,3,FALSE),VLOOKUP($A54,'Russel 2000'!$J:$L,3,FALSE))</f>
        <v>-6.291135915543361E-2</v>
      </c>
      <c r="E54" s="45">
        <f>IF(Xinput_allocation_option=5,VLOOKUP($A54,'iBLD Claria'!$N:$P,3,FALSE),VLOOKUP($A54,'iBLD Claria'!$J:$L,3,FALSE))</f>
        <v>0.12319772558045095</v>
      </c>
      <c r="F54" s="45">
        <f>IF(Xinput_allocation_option=5,VLOOKUP($A54,'Bloomberg DBI'!$N:$P,3,FALSE),VLOOKUP($A54,'Bloomberg DBI'!$J:$L,3,FALSE))</f>
        <v>0.15506029544703762</v>
      </c>
      <c r="G54" s="45">
        <f>IF(Xinput_allocation_option=5,VLOOKUP($A54,'PIMCO TBI'!$N:$P,3,FALSE),VLOOKUP($A54,'PIMCO TBI'!$J:$L,3,FALSE))</f>
        <v>4.0611835916731454E-2</v>
      </c>
      <c r="H54" s="45">
        <f>IF(Xinput_allocation_option=5,VLOOKUP($A54,'Bloomberg DBI ER'!$N:$P,3,FALSE),VLOOKUP($A54,'Bloomberg DBI ER'!$J:$L,3,FALSE))</f>
        <v>0.1408233915533314</v>
      </c>
      <c r="I54" s="45">
        <f>IF(Xinput_allocation_option=5,VLOOKUP($A54,'PIMCO TBI ER'!$N:$P,3,FALSE),VLOOKUP($A54,'PIMCO TBI ER'!$J:$L,3,FALSE))</f>
        <v>3.7282163603466256E-2</v>
      </c>
      <c r="J54" s="45">
        <f>IF(Xinput_allocation_option=5,VLOOKUP($A54,'iBLD Claria ER'!$N:$P,3,FALSE),VLOOKUP($A54,'iBLD Claria ER'!$J:$L,3,FALSE))</f>
        <v>5.1541378975007268E-2</v>
      </c>
    </row>
    <row r="55" spans="1:10" ht="15.45" thickTop="1" thickBot="1">
      <c r="A55" s="17">
        <v>54</v>
      </c>
      <c r="B55" s="45">
        <f>IF(Xinput_allocation_option=5,VLOOKUP($A55,'S&amp;P 500'!$N:$P,3,FALSE),VLOOKUP($A55,'S&amp;P 500'!$J:$L,3,FALSE))</f>
        <v>0.30425970504008892</v>
      </c>
      <c r="C55" s="45">
        <f>IF(Xinput_allocation_option=5,VLOOKUP($A55,'NAS 100'!$N:$P,3,FALSE),VLOOKUP($A55,'NAS 100'!$J:$L,3,FALSE))</f>
        <v>0.58417106044846767</v>
      </c>
      <c r="D55" s="45">
        <f>IF(Xinput_allocation_option=5,VLOOKUP($A55,'Russel 2000'!$N:$P,3,FALSE),VLOOKUP($A55,'Russel 2000'!$J:$L,3,FALSE))</f>
        <v>0.45040457026621861</v>
      </c>
      <c r="E55" s="45">
        <f>IF(Xinput_allocation_option=5,VLOOKUP($A55,'iBLD Claria'!$N:$P,3,FALSE),VLOOKUP($A55,'iBLD Claria'!$J:$L,3,FALSE))</f>
        <v>-8.0576146567829826E-2</v>
      </c>
      <c r="F55" s="45">
        <f>IF(Xinput_allocation_option=5,VLOOKUP($A55,'Bloomberg DBI'!$N:$P,3,FALSE),VLOOKUP($A55,'Bloomberg DBI'!$J:$L,3,FALSE))</f>
        <v>4.3805461458172455E-2</v>
      </c>
      <c r="G55" s="45">
        <f>IF(Xinput_allocation_option=5,VLOOKUP($A55,'PIMCO TBI'!$N:$P,3,FALSE),VLOOKUP($A55,'PIMCO TBI'!$J:$L,3,FALSE))</f>
        <v>-0.1444741392862757</v>
      </c>
      <c r="H55" s="45">
        <f>IF(Xinput_allocation_option=5,VLOOKUP($A55,'Bloomberg DBI ER'!$N:$P,3,FALSE),VLOOKUP($A55,'Bloomberg DBI ER'!$J:$L,3,FALSE))</f>
        <v>2.7254877789204764E-2</v>
      </c>
      <c r="I55" s="45">
        <f>IF(Xinput_allocation_option=5,VLOOKUP($A55,'PIMCO TBI ER'!$N:$P,3,FALSE),VLOOKUP($A55,'PIMCO TBI ER'!$J:$L,3,FALSE))</f>
        <v>-0.12806977277943543</v>
      </c>
      <c r="J55" s="45">
        <f>IF(Xinput_allocation_option=5,VLOOKUP($A55,'iBLD Claria ER'!$N:$P,3,FALSE),VLOOKUP($A55,'iBLD Claria ER'!$J:$L,3,FALSE))</f>
        <v>-7.4262461851475087E-2</v>
      </c>
    </row>
    <row r="56" spans="1:10" ht="15.45" thickTop="1" thickBot="1">
      <c r="A56" s="17">
        <v>55</v>
      </c>
      <c r="B56" s="45">
        <f>IF(Xinput_allocation_option=5,VLOOKUP($A56,'S&amp;P 500'!$N:$P,3,FALSE),VLOOKUP($A56,'S&amp;P 500'!$J:$L,3,FALSE))</f>
        <v>-0.65554221761429954</v>
      </c>
      <c r="C56" s="45">
        <f>IF(Xinput_allocation_option=5,VLOOKUP($A56,'NAS 100'!$N:$P,3,FALSE),VLOOKUP($A56,'NAS 100'!$J:$L,3,FALSE))</f>
        <v>-0.82461824783145721</v>
      </c>
      <c r="D56" s="45">
        <f>IF(Xinput_allocation_option=5,VLOOKUP($A56,'Russel 2000'!$N:$P,3,FALSE),VLOOKUP($A56,'Russel 2000'!$J:$L,3,FALSE))</f>
        <v>-0.61546559447090998</v>
      </c>
      <c r="E56" s="45">
        <f>IF(Xinput_allocation_option=5,VLOOKUP($A56,'iBLD Claria'!$N:$P,3,FALSE),VLOOKUP($A56,'iBLD Claria'!$J:$L,3,FALSE))</f>
        <v>-3.1659674882013718E-2</v>
      </c>
      <c r="F56" s="45">
        <f>IF(Xinput_allocation_option=5,VLOOKUP($A56,'Bloomberg DBI'!$N:$P,3,FALSE),VLOOKUP($A56,'Bloomberg DBI'!$J:$L,3,FALSE))</f>
        <v>-0.45102421407850335</v>
      </c>
      <c r="G56" s="45">
        <f>IF(Xinput_allocation_option=5,VLOOKUP($A56,'PIMCO TBI'!$N:$P,3,FALSE),VLOOKUP($A56,'PIMCO TBI'!$J:$L,3,FALSE))</f>
        <v>0.12325431826534354</v>
      </c>
      <c r="H56" s="45">
        <f>IF(Xinput_allocation_option=5,VLOOKUP($A56,'Bloomberg DBI ER'!$N:$P,3,FALSE),VLOOKUP($A56,'Bloomberg DBI ER'!$J:$L,3,FALSE))</f>
        <v>-0.4476399005749413</v>
      </c>
      <c r="I56" s="45">
        <f>IF(Xinput_allocation_option=5,VLOOKUP($A56,'PIMCO TBI ER'!$N:$P,3,FALSE),VLOOKUP($A56,'PIMCO TBI ER'!$J:$L,3,FALSE))</f>
        <v>0.10565938404843392</v>
      </c>
      <c r="J56" s="45">
        <f>IF(Xinput_allocation_option=5,VLOOKUP($A56,'iBLD Claria ER'!$N:$P,3,FALSE),VLOOKUP($A56,'iBLD Claria ER'!$J:$L,3,FALSE))</f>
        <v>2.7272727272727313E-2</v>
      </c>
    </row>
    <row r="57" spans="1:10" ht="15.45" thickTop="1" thickBot="1">
      <c r="A57" s="17">
        <v>56</v>
      </c>
      <c r="B57" s="45">
        <f>IF(Xinput_allocation_option=5,VLOOKUP($A57,'S&amp;P 500'!$N:$P,3,FALSE),VLOOKUP($A57,'S&amp;P 500'!$J:$L,3,FALSE))</f>
        <v>2.8977926674070474E-2</v>
      </c>
      <c r="C57" s="45">
        <f>IF(Xinput_allocation_option=5,VLOOKUP($A57,'NAS 100'!$N:$P,3,FALSE),VLOOKUP($A57,'NAS 100'!$J:$L,3,FALSE))</f>
        <v>0.11574277608897852</v>
      </c>
      <c r="D57" s="45">
        <f>IF(Xinput_allocation_option=5,VLOOKUP($A57,'Russel 2000'!$N:$P,3,FALSE),VLOOKUP($A57,'Russel 2000'!$J:$L,3,FALSE))</f>
        <v>-1.5192191168490705E-2</v>
      </c>
      <c r="E57" s="45">
        <f>IF(Xinput_allocation_option=5,VLOOKUP($A57,'iBLD Claria'!$N:$P,3,FALSE),VLOOKUP($A57,'iBLD Claria'!$J:$L,3,FALSE))</f>
        <v>0.12319772558045095</v>
      </c>
      <c r="F57" s="45">
        <f>IF(Xinput_allocation_option=5,VLOOKUP($A57,'Bloomberg DBI'!$N:$P,3,FALSE),VLOOKUP($A57,'Bloomberg DBI'!$J:$L,3,FALSE))</f>
        <v>4.9631394375468034E-2</v>
      </c>
      <c r="G57" s="45">
        <f>IF(Xinput_allocation_option=5,VLOOKUP($A57,'PIMCO TBI'!$N:$P,3,FALSE),VLOOKUP($A57,'PIMCO TBI'!$J:$L,3,FALSE))</f>
        <v>4.0611835916731454E-2</v>
      </c>
      <c r="H57" s="45">
        <f>IF(Xinput_allocation_option=5,VLOOKUP($A57,'Bloomberg DBI ER'!$N:$P,3,FALSE),VLOOKUP($A57,'Bloomberg DBI ER'!$J:$L,3,FALSE))</f>
        <v>5.9633789624114593E-2</v>
      </c>
      <c r="I57" s="45">
        <f>IF(Xinput_allocation_option=5,VLOOKUP($A57,'PIMCO TBI ER'!$N:$P,3,FALSE),VLOOKUP($A57,'PIMCO TBI ER'!$J:$L,3,FALSE))</f>
        <v>3.7282163603466256E-2</v>
      </c>
      <c r="J57" s="45">
        <f>IF(Xinput_allocation_option=5,VLOOKUP($A57,'iBLD Claria ER'!$N:$P,3,FALSE),VLOOKUP($A57,'iBLD Claria ER'!$J:$L,3,FALSE))</f>
        <v>5.1541378975007268E-2</v>
      </c>
    </row>
    <row r="58" spans="1:10" ht="15.45" thickTop="1" thickBot="1">
      <c r="A58" s="17">
        <v>57</v>
      </c>
      <c r="B58" s="45">
        <f>IF(Xinput_allocation_option=5,VLOOKUP($A58,'S&amp;P 500'!$N:$P,3,FALSE),VLOOKUP($A58,'S&amp;P 500'!$J:$L,3,FALSE))</f>
        <v>0.10910315308742147</v>
      </c>
      <c r="C58" s="45">
        <f>IF(Xinput_allocation_option=5,VLOOKUP($A58,'NAS 100'!$N:$P,3,FALSE),VLOOKUP($A58,'NAS 100'!$J:$L,3,FALSE))</f>
        <v>4.4024236851673539E-2</v>
      </c>
      <c r="D58" s="45">
        <f>IF(Xinput_allocation_option=5,VLOOKUP($A58,'Russel 2000'!$N:$P,3,FALSE),VLOOKUP($A58,'Russel 2000'!$J:$L,3,FALSE))</f>
        <v>0.12352329734993144</v>
      </c>
      <c r="E58" s="45">
        <f>IF(Xinput_allocation_option=5,VLOOKUP($A58,'iBLD Claria'!$N:$P,3,FALSE),VLOOKUP($A58,'iBLD Claria'!$J:$L,3,FALSE))</f>
        <v>-8.0576146567829826E-2</v>
      </c>
      <c r="F58" s="45">
        <f>IF(Xinput_allocation_option=5,VLOOKUP($A58,'Bloomberg DBI'!$N:$P,3,FALSE),VLOOKUP($A58,'Bloomberg DBI'!$J:$L,3,FALSE))</f>
        <v>6.5960116701655941E-2</v>
      </c>
      <c r="G58" s="45">
        <f>IF(Xinput_allocation_option=5,VLOOKUP($A58,'PIMCO TBI'!$N:$P,3,FALSE),VLOOKUP($A58,'PIMCO TBI'!$J:$L,3,FALSE))</f>
        <v>-0.1444741392862757</v>
      </c>
      <c r="H58" s="45">
        <f>IF(Xinput_allocation_option=5,VLOOKUP($A58,'Bloomberg DBI ER'!$N:$P,3,FALSE),VLOOKUP($A58,'Bloomberg DBI ER'!$J:$L,3,FALSE))</f>
        <v>7.3492509994359967E-2</v>
      </c>
      <c r="I58" s="45">
        <f>IF(Xinput_allocation_option=5,VLOOKUP($A58,'PIMCO TBI ER'!$N:$P,3,FALSE),VLOOKUP($A58,'PIMCO TBI ER'!$J:$L,3,FALSE))</f>
        <v>-0.12806977277943543</v>
      </c>
      <c r="J58" s="45">
        <f>IF(Xinput_allocation_option=5,VLOOKUP($A58,'iBLD Claria ER'!$N:$P,3,FALSE),VLOOKUP($A58,'iBLD Claria ER'!$J:$L,3,FALSE))</f>
        <v>-7.4262461851475087E-2</v>
      </c>
    </row>
    <row r="59" spans="1:10" ht="15.45" thickTop="1" thickBot="1">
      <c r="A59" s="17">
        <v>58</v>
      </c>
      <c r="B59" s="45">
        <f>IF(Xinput_allocation_option=5,VLOOKUP($A59,'S&amp;P 500'!$N:$P,3,FALSE),VLOOKUP($A59,'S&amp;P 500'!$J:$L,3,FALSE))</f>
        <v>0.22761895892767869</v>
      </c>
      <c r="C59" s="45">
        <f>IF(Xinput_allocation_option=5,VLOOKUP($A59,'NAS 100'!$N:$P,3,FALSE),VLOOKUP($A59,'NAS 100'!$J:$L,3,FALSE))</f>
        <v>0.34964105219785357</v>
      </c>
      <c r="D59" s="45">
        <f>IF(Xinput_allocation_option=5,VLOOKUP($A59,'Russel 2000'!$N:$P,3,FALSE),VLOOKUP($A59,'Russel 2000'!$J:$L,3,FALSE))</f>
        <v>0.29844919765641681</v>
      </c>
      <c r="E59" s="45">
        <f>IF(Xinput_allocation_option=5,VLOOKUP($A59,'iBLD Claria'!$N:$P,3,FALSE),VLOOKUP($A59,'iBLD Claria'!$J:$L,3,FALSE))</f>
        <v>-3.1659674882013718E-2</v>
      </c>
      <c r="F59" s="45">
        <f>IF(Xinput_allocation_option=5,VLOOKUP($A59,'Bloomberg DBI'!$N:$P,3,FALSE),VLOOKUP($A59,'Bloomberg DBI'!$J:$L,3,FALSE))</f>
        <v>6.807198148919788E-2</v>
      </c>
      <c r="G59" s="45">
        <f>IF(Xinput_allocation_option=5,VLOOKUP($A59,'PIMCO TBI'!$N:$P,3,FALSE),VLOOKUP($A59,'PIMCO TBI'!$J:$L,3,FALSE))</f>
        <v>0.12325431826534354</v>
      </c>
      <c r="H59" s="45">
        <f>IF(Xinput_allocation_option=5,VLOOKUP($A59,'Bloomberg DBI ER'!$N:$P,3,FALSE),VLOOKUP($A59,'Bloomberg DBI ER'!$J:$L,3,FALSE))</f>
        <v>6.8652784680292983E-2</v>
      </c>
      <c r="I59" s="45">
        <f>IF(Xinput_allocation_option=5,VLOOKUP($A59,'PIMCO TBI ER'!$N:$P,3,FALSE),VLOOKUP($A59,'PIMCO TBI ER'!$J:$L,3,FALSE))</f>
        <v>0.10565938404843392</v>
      </c>
      <c r="J59" s="45">
        <f>IF(Xinput_allocation_option=5,VLOOKUP($A59,'iBLD Claria ER'!$N:$P,3,FALSE),VLOOKUP($A59,'iBLD Claria ER'!$J:$L,3,FALSE))</f>
        <v>2.7272727272727313E-2</v>
      </c>
    </row>
    <row r="60" spans="1:10" ht="15.45" thickTop="1" thickBot="1">
      <c r="A60" s="17">
        <v>59</v>
      </c>
      <c r="B60" s="45">
        <f>IF(Xinput_allocation_option=5,VLOOKUP($A60,'S&amp;P 500'!$N:$P,3,FALSE),VLOOKUP($A60,'S&amp;P 500'!$J:$L,3,FALSE))</f>
        <v>0.13178631071420535</v>
      </c>
      <c r="C60" s="45">
        <f>IF(Xinput_allocation_option=5,VLOOKUP($A60,'NAS 100'!$N:$P,3,FALSE),VLOOKUP($A60,'NAS 100'!$J:$L,3,FALSE))</f>
        <v>0.20144741870029306</v>
      </c>
      <c r="D60" s="45">
        <f>IF(Xinput_allocation_option=5,VLOOKUP($A60,'Russel 2000'!$N:$P,3,FALSE),VLOOKUP($A60,'Russel 2000'!$J:$L,3,FALSE))</f>
        <v>4.2551722919959796E-2</v>
      </c>
      <c r="E60" s="45">
        <f>IF(Xinput_allocation_option=5,VLOOKUP($A60,'iBLD Claria'!$N:$P,3,FALSE),VLOOKUP($A60,'iBLD Claria'!$J:$L,3,FALSE))</f>
        <v>0.12319772558045095</v>
      </c>
      <c r="F60" s="45">
        <f>IF(Xinput_allocation_option=5,VLOOKUP($A60,'Bloomberg DBI'!$N:$P,3,FALSE),VLOOKUP($A60,'Bloomberg DBI'!$J:$L,3,FALSE))</f>
        <v>6.3237178764079124E-2</v>
      </c>
      <c r="G60" s="45">
        <f>IF(Xinput_allocation_option=5,VLOOKUP($A60,'PIMCO TBI'!$N:$P,3,FALSE),VLOOKUP($A60,'PIMCO TBI'!$J:$L,3,FALSE))</f>
        <v>4.0611835916731454E-2</v>
      </c>
      <c r="H60" s="45">
        <f>IF(Xinput_allocation_option=5,VLOOKUP($A60,'Bloomberg DBI ER'!$N:$P,3,FALSE),VLOOKUP($A60,'Bloomberg DBI ER'!$J:$L,3,FALSE))</f>
        <v>7.1704873851048082E-2</v>
      </c>
      <c r="I60" s="45">
        <f>IF(Xinput_allocation_option=5,VLOOKUP($A60,'PIMCO TBI ER'!$N:$P,3,FALSE),VLOOKUP($A60,'PIMCO TBI ER'!$J:$L,3,FALSE))</f>
        <v>3.7282163603466256E-2</v>
      </c>
      <c r="J60" s="45">
        <f>IF(Xinput_allocation_option=5,VLOOKUP($A60,'iBLD Claria ER'!$N:$P,3,FALSE),VLOOKUP($A60,'iBLD Claria ER'!$J:$L,3,FALSE))</f>
        <v>5.1541378975007268E-2</v>
      </c>
    </row>
    <row r="61" spans="1:10" ht="15.45" thickTop="1" thickBot="1">
      <c r="A61" s="17">
        <v>60</v>
      </c>
      <c r="B61" s="45">
        <f>IF(Xinput_allocation_option=5,VLOOKUP($A61,'S&amp;P 500'!$N:$P,3,FALSE),VLOOKUP($A61,'S&amp;P 500'!$J:$L,3,FALSE))</f>
        <v>-8.1857933000712729E-2</v>
      </c>
      <c r="C61" s="45">
        <f>IF(Xinput_allocation_option=5,VLOOKUP($A61,'NAS 100'!$N:$P,3,FALSE),VLOOKUP($A61,'NAS 100'!$J:$L,3,FALSE))</f>
        <v>-5.3944519454873288E-2</v>
      </c>
      <c r="D61" s="45">
        <f>IF(Xinput_allocation_option=5,VLOOKUP($A61,'Russel 2000'!$N:$P,3,FALSE),VLOOKUP($A61,'Russel 2000'!$J:$L,3,FALSE))</f>
        <v>-0.16172760145669021</v>
      </c>
      <c r="E61" s="45">
        <f>IF(Xinput_allocation_option=5,VLOOKUP($A61,'iBLD Claria'!$N:$P,3,FALSE),VLOOKUP($A61,'iBLD Claria'!$J:$L,3,FALSE))</f>
        <v>-8.0576146567829826E-2</v>
      </c>
      <c r="F61" s="45">
        <f>IF(Xinput_allocation_option=5,VLOOKUP($A61,'Bloomberg DBI'!$N:$P,3,FALSE),VLOOKUP($A61,'Bloomberg DBI'!$J:$L,3,FALSE))</f>
        <v>-3.046724551155407E-2</v>
      </c>
      <c r="G61" s="45">
        <f>IF(Xinput_allocation_option=5,VLOOKUP($A61,'PIMCO TBI'!$N:$P,3,FALSE),VLOOKUP($A61,'PIMCO TBI'!$J:$L,3,FALSE))</f>
        <v>-0.1444741392862757</v>
      </c>
      <c r="H61" s="45">
        <f>IF(Xinput_allocation_option=5,VLOOKUP($A61,'Bloomberg DBI ER'!$N:$P,3,FALSE),VLOOKUP($A61,'Bloomberg DBI ER'!$J:$L,3,FALSE))</f>
        <v>-3.1721933218501211E-2</v>
      </c>
      <c r="I61" s="45">
        <f>IF(Xinput_allocation_option=5,VLOOKUP($A61,'PIMCO TBI ER'!$N:$P,3,FALSE),VLOOKUP($A61,'PIMCO TBI ER'!$J:$L,3,FALSE))</f>
        <v>-0.12806977277943543</v>
      </c>
      <c r="J61" s="45">
        <f>IF(Xinput_allocation_option=5,VLOOKUP($A61,'iBLD Claria ER'!$N:$P,3,FALSE),VLOOKUP($A61,'iBLD Claria ER'!$J:$L,3,FALSE))</f>
        <v>-7.4262461851475087E-2</v>
      </c>
    </row>
    <row r="62" spans="1:10" ht="15.45" thickTop="1" thickBot="1">
      <c r="A62" s="17">
        <v>61</v>
      </c>
      <c r="B62" s="45">
        <f>IF(Xinput_allocation_option=5,VLOOKUP($A62,'S&amp;P 500'!$N:$P,3,FALSE),VLOOKUP($A62,'S&amp;P 500'!$J:$L,3,FALSE))</f>
        <v>0.2232704789105901</v>
      </c>
      <c r="C62" s="45">
        <f>IF(Xinput_allocation_option=5,VLOOKUP($A62,'NAS 100'!$N:$P,3,FALSE),VLOOKUP($A62,'NAS 100'!$J:$L,3,FALSE))</f>
        <v>0.26878306512367683</v>
      </c>
      <c r="D62" s="45">
        <f>IF(Xinput_allocation_option=5,VLOOKUP($A62,'Russel 2000'!$N:$P,3,FALSE),VLOOKUP($A62,'Russel 2000'!$J:$L,3,FALSE))</f>
        <v>0.34121290435331286</v>
      </c>
      <c r="E62" s="45">
        <f>IF(Xinput_allocation_option=5,VLOOKUP($A62,'iBLD Claria'!$N:$P,3,FALSE),VLOOKUP($A62,'iBLD Claria'!$J:$L,3,FALSE))</f>
        <v>-3.1659674882013718E-2</v>
      </c>
      <c r="F62" s="45">
        <f>IF(Xinput_allocation_option=5,VLOOKUP($A62,'Bloomberg DBI'!$N:$P,3,FALSE),VLOOKUP($A62,'Bloomberg DBI'!$J:$L,3,FALSE))</f>
        <v>6.5569036319059262E-2</v>
      </c>
      <c r="G62" s="45">
        <f>IF(Xinput_allocation_option=5,VLOOKUP($A62,'PIMCO TBI'!$N:$P,3,FALSE),VLOOKUP($A62,'PIMCO TBI'!$J:$L,3,FALSE))</f>
        <v>0.12325431826534354</v>
      </c>
      <c r="H62" s="45">
        <f>IF(Xinput_allocation_option=5,VLOOKUP($A62,'Bloomberg DBI ER'!$N:$P,3,FALSE),VLOOKUP($A62,'Bloomberg DBI ER'!$J:$L,3,FALSE))</f>
        <v>7.194968748361126E-2</v>
      </c>
      <c r="I62" s="45">
        <f>IF(Xinput_allocation_option=5,VLOOKUP($A62,'PIMCO TBI ER'!$N:$P,3,FALSE),VLOOKUP($A62,'PIMCO TBI ER'!$J:$L,3,FALSE))</f>
        <v>0.10565938404843392</v>
      </c>
      <c r="J62" s="45">
        <f>IF(Xinput_allocation_option=5,VLOOKUP($A62,'iBLD Claria ER'!$N:$P,3,FALSE),VLOOKUP($A62,'iBLD Claria ER'!$J:$L,3,FALSE))</f>
        <v>2.7272727272727313E-2</v>
      </c>
    </row>
    <row r="63" spans="1:10" ht="15.45" thickTop="1" thickBot="1">
      <c r="A63" s="17">
        <v>62</v>
      </c>
      <c r="B63" s="45">
        <f>IF(Xinput_allocation_option=5,VLOOKUP($A63,'S&amp;P 500'!$N:$P,3,FALSE),VLOOKUP($A63,'S&amp;P 500'!$J:$L,3,FALSE))</f>
        <v>0.14815716473439972</v>
      </c>
      <c r="C63" s="45">
        <f>IF(Xinput_allocation_option=5,VLOOKUP($A63,'NAS 100'!$N:$P,3,FALSE),VLOOKUP($A63,'NAS 100'!$J:$L,3,FALSE))</f>
        <v>0.28593268423974799</v>
      </c>
      <c r="D63" s="45">
        <f>IF(Xinput_allocation_option=5,VLOOKUP($A63,'Russel 2000'!$N:$P,3,FALSE),VLOOKUP($A63,'Russel 2000'!$J:$L,3,FALSE))</f>
        <v>9.0698569318283517E-2</v>
      </c>
      <c r="E63" s="45">
        <f>IF(Xinput_allocation_option=5,VLOOKUP($A63,'iBLD Claria'!$N:$P,3,FALSE),VLOOKUP($A63,'iBLD Claria'!$J:$L,3,FALSE))</f>
        <v>0.12319772558045095</v>
      </c>
      <c r="F63" s="45">
        <f>IF(Xinput_allocation_option=5,VLOOKUP($A63,'Bloomberg DBI'!$N:$P,3,FALSE),VLOOKUP($A63,'Bloomberg DBI'!$J:$L,3,FALSE))</f>
        <v>0.17408240841116446</v>
      </c>
      <c r="G63" s="45">
        <f>IF(Xinput_allocation_option=5,VLOOKUP($A63,'PIMCO TBI'!$N:$P,3,FALSE),VLOOKUP($A63,'PIMCO TBI'!$J:$L,3,FALSE))</f>
        <v>4.0611835916731454E-2</v>
      </c>
      <c r="H63" s="45">
        <f>IF(Xinput_allocation_option=5,VLOOKUP($A63,'Bloomberg DBI ER'!$N:$P,3,FALSE),VLOOKUP($A63,'Bloomberg DBI ER'!$J:$L,3,FALSE))</f>
        <v>0.17857724619076987</v>
      </c>
      <c r="I63" s="45">
        <f>IF(Xinput_allocation_option=5,VLOOKUP($A63,'PIMCO TBI ER'!$N:$P,3,FALSE),VLOOKUP($A63,'PIMCO TBI ER'!$J:$L,3,FALSE))</f>
        <v>3.7282163603466256E-2</v>
      </c>
      <c r="J63" s="45">
        <f>IF(Xinput_allocation_option=5,VLOOKUP($A63,'iBLD Claria ER'!$N:$P,3,FALSE),VLOOKUP($A63,'iBLD Claria ER'!$J:$L,3,FALSE))</f>
        <v>5.1541378975007268E-2</v>
      </c>
    </row>
    <row r="64" spans="1:10" ht="15.45" thickTop="1" thickBot="1">
      <c r="A64" s="17">
        <v>63</v>
      </c>
      <c r="B64" s="45">
        <f>IF(Xinput_allocation_option=5,VLOOKUP($A64,'S&amp;P 500'!$N:$P,3,FALSE),VLOOKUP($A64,'S&amp;P 500'!$J:$L,3,FALSE))</f>
        <v>2.603696987988062E-2</v>
      </c>
      <c r="C64" s="45">
        <f>IF(Xinput_allocation_option=5,VLOOKUP($A64,'NAS 100'!$N:$P,3,FALSE),VLOOKUP($A64,'NAS 100'!$J:$L,3,FALSE))</f>
        <v>3.5467605686035131E-2</v>
      </c>
      <c r="D64" s="45">
        <f>IF(Xinput_allocation_option=5,VLOOKUP($A64,'Russel 2000'!$N:$P,3,FALSE),VLOOKUP($A64,'Russel 2000'!$J:$L,3,FALSE))</f>
        <v>4.1720453598004636E-2</v>
      </c>
      <c r="E64" s="45">
        <f>IF(Xinput_allocation_option=5,VLOOKUP($A64,'iBLD Claria'!$N:$P,3,FALSE),VLOOKUP($A64,'iBLD Claria'!$J:$L,3,FALSE))</f>
        <v>-8.0576146567829826E-2</v>
      </c>
      <c r="F64" s="45">
        <f>IF(Xinput_allocation_option=5,VLOOKUP($A64,'Bloomberg DBI'!$N:$P,3,FALSE),VLOOKUP($A64,'Bloomberg DBI'!$J:$L,3,FALSE))</f>
        <v>-1.9671819185666482E-2</v>
      </c>
      <c r="G64" s="45">
        <f>IF(Xinput_allocation_option=5,VLOOKUP($A64,'PIMCO TBI'!$N:$P,3,FALSE),VLOOKUP($A64,'PIMCO TBI'!$J:$L,3,FALSE))</f>
        <v>-0.1444741392862757</v>
      </c>
      <c r="H64" s="45">
        <f>IF(Xinput_allocation_option=5,VLOOKUP($A64,'Bloomberg DBI ER'!$N:$P,3,FALSE),VLOOKUP($A64,'Bloomberg DBI ER'!$J:$L,3,FALSE))</f>
        <v>-3.0647180525431517E-2</v>
      </c>
      <c r="I64" s="45">
        <f>IF(Xinput_allocation_option=5,VLOOKUP($A64,'PIMCO TBI ER'!$N:$P,3,FALSE),VLOOKUP($A64,'PIMCO TBI ER'!$J:$L,3,FALSE))</f>
        <v>-0.12806977277943543</v>
      </c>
      <c r="J64" s="45">
        <f>IF(Xinput_allocation_option=5,VLOOKUP($A64,'iBLD Claria ER'!$N:$P,3,FALSE),VLOOKUP($A64,'iBLD Claria ER'!$J:$L,3,FALSE))</f>
        <v>-7.4262461851475087E-2</v>
      </c>
    </row>
    <row r="65" spans="1:10" ht="15.45" thickTop="1" thickBot="1">
      <c r="A65" s="17">
        <v>64</v>
      </c>
      <c r="B65" s="45">
        <f>IF(Xinput_allocation_option=5,VLOOKUP($A65,'S&amp;P 500'!$N:$P,3,FALSE),VLOOKUP($A65,'S&amp;P 500'!$J:$L,3,FALSE))</f>
        <v>6.0955500508012225E-2</v>
      </c>
      <c r="C65" s="45">
        <f>IF(Xinput_allocation_option=5,VLOOKUP($A65,'NAS 100'!$N:$P,3,FALSE),VLOOKUP($A65,'NAS 100'!$J:$L,3,FALSE))</f>
        <v>0.1922218482102504</v>
      </c>
      <c r="D65" s="45">
        <f>IF(Xinput_allocation_option=5,VLOOKUP($A65,'Russel 2000'!$N:$P,3,FALSE),VLOOKUP($A65,'Russel 2000'!$J:$L,3,FALSE))</f>
        <v>-6.291135915543361E-2</v>
      </c>
      <c r="E65" s="45">
        <f>IF(Xinput_allocation_option=5,VLOOKUP($A65,'iBLD Claria'!$N:$P,3,FALSE),VLOOKUP($A65,'iBLD Claria'!$J:$L,3,FALSE))</f>
        <v>-3.1659674882013718E-2</v>
      </c>
      <c r="F65" s="45">
        <f>IF(Xinput_allocation_option=5,VLOOKUP($A65,'Bloomberg DBI'!$N:$P,3,FALSE),VLOOKUP($A65,'Bloomberg DBI'!$J:$L,3,FALSE))</f>
        <v>0.15506029544703762</v>
      </c>
      <c r="G65" s="45">
        <f>IF(Xinput_allocation_option=5,VLOOKUP($A65,'PIMCO TBI'!$N:$P,3,FALSE),VLOOKUP($A65,'PIMCO TBI'!$J:$L,3,FALSE))</f>
        <v>0.12325431826534354</v>
      </c>
      <c r="H65" s="45">
        <f>IF(Xinput_allocation_option=5,VLOOKUP($A65,'Bloomberg DBI ER'!$N:$P,3,FALSE),VLOOKUP($A65,'Bloomberg DBI ER'!$J:$L,3,FALSE))</f>
        <v>0.1408233915533314</v>
      </c>
      <c r="I65" s="45">
        <f>IF(Xinput_allocation_option=5,VLOOKUP($A65,'PIMCO TBI ER'!$N:$P,3,FALSE),VLOOKUP($A65,'PIMCO TBI ER'!$J:$L,3,FALSE))</f>
        <v>0.10565938404843392</v>
      </c>
      <c r="J65" s="45">
        <f>IF(Xinput_allocation_option=5,VLOOKUP($A65,'iBLD Claria ER'!$N:$P,3,FALSE),VLOOKUP($A65,'iBLD Claria ER'!$J:$L,3,FALSE))</f>
        <v>2.7272727272727313E-2</v>
      </c>
    </row>
    <row r="66" spans="1:10" ht="15.45" thickTop="1" thickBot="1">
      <c r="A66" s="17">
        <v>65</v>
      </c>
      <c r="B66" s="45">
        <f>IF(Xinput_allocation_option=5,VLOOKUP($A66,'S&amp;P 500'!$N:$P,3,FALSE),VLOOKUP($A66,'S&amp;P 500'!$J:$L,3,FALSE))</f>
        <v>0.30425970504008892</v>
      </c>
      <c r="C66" s="45">
        <f>IF(Xinput_allocation_option=5,VLOOKUP($A66,'NAS 100'!$N:$P,3,FALSE),VLOOKUP($A66,'NAS 100'!$J:$L,3,FALSE))</f>
        <v>0.58417106044846767</v>
      </c>
      <c r="D66" s="45">
        <f>IF(Xinput_allocation_option=5,VLOOKUP($A66,'Russel 2000'!$N:$P,3,FALSE),VLOOKUP($A66,'Russel 2000'!$J:$L,3,FALSE))</f>
        <v>0.45040457026621861</v>
      </c>
      <c r="E66" s="45">
        <f>IF(Xinput_allocation_option=5,VLOOKUP($A66,'iBLD Claria'!$N:$P,3,FALSE),VLOOKUP($A66,'iBLD Claria'!$J:$L,3,FALSE))</f>
        <v>0.12319772558045095</v>
      </c>
      <c r="F66" s="45">
        <f>IF(Xinput_allocation_option=5,VLOOKUP($A66,'Bloomberg DBI'!$N:$P,3,FALSE),VLOOKUP($A66,'Bloomberg DBI'!$J:$L,3,FALSE))</f>
        <v>4.3805461458172455E-2</v>
      </c>
      <c r="G66" s="45">
        <f>IF(Xinput_allocation_option=5,VLOOKUP($A66,'PIMCO TBI'!$N:$P,3,FALSE),VLOOKUP($A66,'PIMCO TBI'!$J:$L,3,FALSE))</f>
        <v>4.0611835916731454E-2</v>
      </c>
      <c r="H66" s="45">
        <f>IF(Xinput_allocation_option=5,VLOOKUP($A66,'Bloomberg DBI ER'!$N:$P,3,FALSE),VLOOKUP($A66,'Bloomberg DBI ER'!$J:$L,3,FALSE))</f>
        <v>2.7254877789204764E-2</v>
      </c>
      <c r="I66" s="45">
        <f>IF(Xinput_allocation_option=5,VLOOKUP($A66,'PIMCO TBI ER'!$N:$P,3,FALSE),VLOOKUP($A66,'PIMCO TBI ER'!$J:$L,3,FALSE))</f>
        <v>3.7282163603466256E-2</v>
      </c>
      <c r="J66" s="45">
        <f>IF(Xinput_allocation_option=5,VLOOKUP($A66,'iBLD Claria ER'!$N:$P,3,FALSE),VLOOKUP($A66,'iBLD Claria ER'!$J:$L,3,FALSE))</f>
        <v>5.1541378975007268E-2</v>
      </c>
    </row>
    <row r="67" spans="1:10" ht="15.45" thickTop="1" thickBot="1">
      <c r="A67" s="17">
        <v>66</v>
      </c>
      <c r="B67" s="45">
        <f>IF(Xinput_allocation_option=5,VLOOKUP($A67,'S&amp;P 500'!$N:$P,3,FALSE),VLOOKUP($A67,'S&amp;P 500'!$J:$L,3,FALSE))</f>
        <v>-0.65554221761429954</v>
      </c>
      <c r="C67" s="45">
        <f>IF(Xinput_allocation_option=5,VLOOKUP($A67,'NAS 100'!$N:$P,3,FALSE),VLOOKUP($A67,'NAS 100'!$J:$L,3,FALSE))</f>
        <v>-0.82461824783145721</v>
      </c>
      <c r="D67" s="45">
        <f>IF(Xinput_allocation_option=5,VLOOKUP($A67,'Russel 2000'!$N:$P,3,FALSE),VLOOKUP($A67,'Russel 2000'!$J:$L,3,FALSE))</f>
        <v>-0.61546559447090998</v>
      </c>
      <c r="E67" s="45">
        <f>IF(Xinput_allocation_option=5,VLOOKUP($A67,'iBLD Claria'!$N:$P,3,FALSE),VLOOKUP($A67,'iBLD Claria'!$J:$L,3,FALSE))</f>
        <v>-8.0576146567829826E-2</v>
      </c>
      <c r="F67" s="45">
        <f>IF(Xinput_allocation_option=5,VLOOKUP($A67,'Bloomberg DBI'!$N:$P,3,FALSE),VLOOKUP($A67,'Bloomberg DBI'!$J:$L,3,FALSE))</f>
        <v>-0.45102421407850335</v>
      </c>
      <c r="G67" s="45">
        <f>IF(Xinput_allocation_option=5,VLOOKUP($A67,'PIMCO TBI'!$N:$P,3,FALSE),VLOOKUP($A67,'PIMCO TBI'!$J:$L,3,FALSE))</f>
        <v>-0.1444741392862757</v>
      </c>
      <c r="H67" s="45">
        <f>IF(Xinput_allocation_option=5,VLOOKUP($A67,'Bloomberg DBI ER'!$N:$P,3,FALSE),VLOOKUP($A67,'Bloomberg DBI ER'!$J:$L,3,FALSE))</f>
        <v>-0.4476399005749413</v>
      </c>
      <c r="I67" s="45">
        <f>IF(Xinput_allocation_option=5,VLOOKUP($A67,'PIMCO TBI ER'!$N:$P,3,FALSE),VLOOKUP($A67,'PIMCO TBI ER'!$J:$L,3,FALSE))</f>
        <v>-0.12806977277943543</v>
      </c>
      <c r="J67" s="45">
        <f>IF(Xinput_allocation_option=5,VLOOKUP($A67,'iBLD Claria ER'!$N:$P,3,FALSE),VLOOKUP($A67,'iBLD Claria ER'!$J:$L,3,FALSE))</f>
        <v>-7.4262461851475087E-2</v>
      </c>
    </row>
    <row r="68" spans="1:10" ht="15.45" thickTop="1" thickBot="1">
      <c r="A68" s="17">
        <v>67</v>
      </c>
      <c r="B68" s="45">
        <f>IF(Xinput_allocation_option=5,VLOOKUP($A68,'S&amp;P 500'!$N:$P,3,FALSE),VLOOKUP($A68,'S&amp;P 500'!$J:$L,3,FALSE))</f>
        <v>2.8977926674070474E-2</v>
      </c>
      <c r="C68" s="45">
        <f>IF(Xinput_allocation_option=5,VLOOKUP($A68,'NAS 100'!$N:$P,3,FALSE),VLOOKUP($A68,'NAS 100'!$J:$L,3,FALSE))</f>
        <v>0.11574277608897852</v>
      </c>
      <c r="D68" s="45">
        <f>IF(Xinput_allocation_option=5,VLOOKUP($A68,'Russel 2000'!$N:$P,3,FALSE),VLOOKUP($A68,'Russel 2000'!$J:$L,3,FALSE))</f>
        <v>-1.5192191168490705E-2</v>
      </c>
      <c r="E68" s="45">
        <f>IF(Xinput_allocation_option=5,VLOOKUP($A68,'iBLD Claria'!$N:$P,3,FALSE),VLOOKUP($A68,'iBLD Claria'!$J:$L,3,FALSE))</f>
        <v>-3.1659674882013718E-2</v>
      </c>
      <c r="F68" s="45">
        <f>IF(Xinput_allocation_option=5,VLOOKUP($A68,'Bloomberg DBI'!$N:$P,3,FALSE),VLOOKUP($A68,'Bloomberg DBI'!$J:$L,3,FALSE))</f>
        <v>4.9631394375468034E-2</v>
      </c>
      <c r="G68" s="45">
        <f>IF(Xinput_allocation_option=5,VLOOKUP($A68,'PIMCO TBI'!$N:$P,3,FALSE),VLOOKUP($A68,'PIMCO TBI'!$J:$L,3,FALSE))</f>
        <v>0.12325431826534354</v>
      </c>
      <c r="H68" s="45">
        <f>IF(Xinput_allocation_option=5,VLOOKUP($A68,'Bloomberg DBI ER'!$N:$P,3,FALSE),VLOOKUP($A68,'Bloomberg DBI ER'!$J:$L,3,FALSE))</f>
        <v>5.9633789624114593E-2</v>
      </c>
      <c r="I68" s="45">
        <f>IF(Xinput_allocation_option=5,VLOOKUP($A68,'PIMCO TBI ER'!$N:$P,3,FALSE),VLOOKUP($A68,'PIMCO TBI ER'!$J:$L,3,FALSE))</f>
        <v>0.10565938404843392</v>
      </c>
      <c r="J68" s="45">
        <f>IF(Xinput_allocation_option=5,VLOOKUP($A68,'iBLD Claria ER'!$N:$P,3,FALSE),VLOOKUP($A68,'iBLD Claria ER'!$J:$L,3,FALSE))</f>
        <v>2.7272727272727313E-2</v>
      </c>
    </row>
    <row r="69" spans="1:10" ht="15.45" thickTop="1" thickBot="1">
      <c r="A69" s="17">
        <v>68</v>
      </c>
      <c r="B69" s="45">
        <f>IF(Xinput_allocation_option=5,VLOOKUP($A69,'S&amp;P 500'!$N:$P,3,FALSE),VLOOKUP($A69,'S&amp;P 500'!$J:$L,3,FALSE))</f>
        <v>0.10910315308742147</v>
      </c>
      <c r="C69" s="45">
        <f>IF(Xinput_allocation_option=5,VLOOKUP($A69,'NAS 100'!$N:$P,3,FALSE),VLOOKUP($A69,'NAS 100'!$J:$L,3,FALSE))</f>
        <v>4.4024236851673539E-2</v>
      </c>
      <c r="D69" s="45">
        <f>IF(Xinput_allocation_option=5,VLOOKUP($A69,'Russel 2000'!$N:$P,3,FALSE),VLOOKUP($A69,'Russel 2000'!$J:$L,3,FALSE))</f>
        <v>0.12352329734993144</v>
      </c>
      <c r="E69" s="45">
        <f>IF(Xinput_allocation_option=5,VLOOKUP($A69,'iBLD Claria'!$N:$P,3,FALSE),VLOOKUP($A69,'iBLD Claria'!$J:$L,3,FALSE))</f>
        <v>0.12319772558045095</v>
      </c>
      <c r="F69" s="45">
        <f>IF(Xinput_allocation_option=5,VLOOKUP($A69,'Bloomberg DBI'!$N:$P,3,FALSE),VLOOKUP($A69,'Bloomberg DBI'!$J:$L,3,FALSE))</f>
        <v>6.5960116701655941E-2</v>
      </c>
      <c r="G69" s="45">
        <f>IF(Xinput_allocation_option=5,VLOOKUP($A69,'PIMCO TBI'!$N:$P,3,FALSE),VLOOKUP($A69,'PIMCO TBI'!$J:$L,3,FALSE))</f>
        <v>4.0611835916731454E-2</v>
      </c>
      <c r="H69" s="45">
        <f>IF(Xinput_allocation_option=5,VLOOKUP($A69,'Bloomberg DBI ER'!$N:$P,3,FALSE),VLOOKUP($A69,'Bloomberg DBI ER'!$J:$L,3,FALSE))</f>
        <v>7.3492509994359967E-2</v>
      </c>
      <c r="I69" s="45">
        <f>IF(Xinput_allocation_option=5,VLOOKUP($A69,'PIMCO TBI ER'!$N:$P,3,FALSE),VLOOKUP($A69,'PIMCO TBI ER'!$J:$L,3,FALSE))</f>
        <v>3.7282163603466256E-2</v>
      </c>
      <c r="J69" s="45">
        <f>IF(Xinput_allocation_option=5,VLOOKUP($A69,'iBLD Claria ER'!$N:$P,3,FALSE),VLOOKUP($A69,'iBLD Claria ER'!$J:$L,3,FALSE))</f>
        <v>5.1541378975007268E-2</v>
      </c>
    </row>
    <row r="70" spans="1:10" ht="15.45" thickTop="1" thickBot="1">
      <c r="A70" s="17">
        <v>69</v>
      </c>
      <c r="B70" s="45">
        <f>IF(Xinput_allocation_option=5,VLOOKUP($A70,'S&amp;P 500'!$N:$P,3,FALSE),VLOOKUP($A70,'S&amp;P 500'!$J:$L,3,FALSE))</f>
        <v>0.22761895892767869</v>
      </c>
      <c r="C70" s="45">
        <f>IF(Xinput_allocation_option=5,VLOOKUP($A70,'NAS 100'!$N:$P,3,FALSE),VLOOKUP($A70,'NAS 100'!$J:$L,3,FALSE))</f>
        <v>0.34964105219785357</v>
      </c>
      <c r="D70" s="45">
        <f>IF(Xinput_allocation_option=5,VLOOKUP($A70,'Russel 2000'!$N:$P,3,FALSE),VLOOKUP($A70,'Russel 2000'!$J:$L,3,FALSE))</f>
        <v>0.29844919765641681</v>
      </c>
      <c r="E70" s="45">
        <f>IF(Xinput_allocation_option=5,VLOOKUP($A70,'iBLD Claria'!$N:$P,3,FALSE),VLOOKUP($A70,'iBLD Claria'!$J:$L,3,FALSE))</f>
        <v>-8.0576146567829826E-2</v>
      </c>
      <c r="F70" s="45">
        <f>IF(Xinput_allocation_option=5,VLOOKUP($A70,'Bloomberg DBI'!$N:$P,3,FALSE),VLOOKUP($A70,'Bloomberg DBI'!$J:$L,3,FALSE))</f>
        <v>6.807198148919788E-2</v>
      </c>
      <c r="G70" s="45">
        <f>IF(Xinput_allocation_option=5,VLOOKUP($A70,'PIMCO TBI'!$N:$P,3,FALSE),VLOOKUP($A70,'PIMCO TBI'!$J:$L,3,FALSE))</f>
        <v>-0.1444741392862757</v>
      </c>
      <c r="H70" s="45">
        <f>IF(Xinput_allocation_option=5,VLOOKUP($A70,'Bloomberg DBI ER'!$N:$P,3,FALSE),VLOOKUP($A70,'Bloomberg DBI ER'!$J:$L,3,FALSE))</f>
        <v>6.8652784680292983E-2</v>
      </c>
      <c r="I70" s="45">
        <f>IF(Xinput_allocation_option=5,VLOOKUP($A70,'PIMCO TBI ER'!$N:$P,3,FALSE),VLOOKUP($A70,'PIMCO TBI ER'!$J:$L,3,FALSE))</f>
        <v>-0.12806977277943543</v>
      </c>
      <c r="J70" s="45">
        <f>IF(Xinput_allocation_option=5,VLOOKUP($A70,'iBLD Claria ER'!$N:$P,3,FALSE),VLOOKUP($A70,'iBLD Claria ER'!$J:$L,3,FALSE))</f>
        <v>-7.4262461851475087E-2</v>
      </c>
    </row>
    <row r="71" spans="1:10" ht="15.45" thickTop="1" thickBot="1">
      <c r="A71" s="17">
        <v>70</v>
      </c>
      <c r="B71" s="45">
        <f>IF(Xinput_allocation_option=5,VLOOKUP($A71,'S&amp;P 500'!$N:$P,3,FALSE),VLOOKUP($A71,'S&amp;P 500'!$J:$L,3,FALSE))</f>
        <v>0.13178631071420535</v>
      </c>
      <c r="C71" s="45">
        <f>IF(Xinput_allocation_option=5,VLOOKUP($A71,'NAS 100'!$N:$P,3,FALSE),VLOOKUP($A71,'NAS 100'!$J:$L,3,FALSE))</f>
        <v>0.20144741870029306</v>
      </c>
      <c r="D71" s="45">
        <f>IF(Xinput_allocation_option=5,VLOOKUP($A71,'Russel 2000'!$N:$P,3,FALSE),VLOOKUP($A71,'Russel 2000'!$J:$L,3,FALSE))</f>
        <v>4.2551722919959796E-2</v>
      </c>
      <c r="E71" s="45">
        <f>IF(Xinput_allocation_option=5,VLOOKUP($A71,'iBLD Claria'!$N:$P,3,FALSE),VLOOKUP($A71,'iBLD Claria'!$J:$L,3,FALSE))</f>
        <v>-3.1659674882013718E-2</v>
      </c>
      <c r="F71" s="45">
        <f>IF(Xinput_allocation_option=5,VLOOKUP($A71,'Bloomberg DBI'!$N:$P,3,FALSE),VLOOKUP($A71,'Bloomberg DBI'!$J:$L,3,FALSE))</f>
        <v>6.3237178764079124E-2</v>
      </c>
      <c r="G71" s="45">
        <f>IF(Xinput_allocation_option=5,VLOOKUP($A71,'PIMCO TBI'!$N:$P,3,FALSE),VLOOKUP($A71,'PIMCO TBI'!$J:$L,3,FALSE))</f>
        <v>0.12325431826534354</v>
      </c>
      <c r="H71" s="45">
        <f>IF(Xinput_allocation_option=5,VLOOKUP($A71,'Bloomberg DBI ER'!$N:$P,3,FALSE),VLOOKUP($A71,'Bloomberg DBI ER'!$J:$L,3,FALSE))</f>
        <v>7.1704873851048082E-2</v>
      </c>
      <c r="I71" s="45">
        <f>IF(Xinput_allocation_option=5,VLOOKUP($A71,'PIMCO TBI ER'!$N:$P,3,FALSE),VLOOKUP($A71,'PIMCO TBI ER'!$J:$L,3,FALSE))</f>
        <v>0.10565938404843392</v>
      </c>
      <c r="J71" s="45">
        <f>IF(Xinput_allocation_option=5,VLOOKUP($A71,'iBLD Claria ER'!$N:$P,3,FALSE),VLOOKUP($A71,'iBLD Claria ER'!$J:$L,3,FALSE))</f>
        <v>2.7272727272727313E-2</v>
      </c>
    </row>
    <row r="72" spans="1:10" ht="15.45" thickTop="1" thickBot="1">
      <c r="A72" s="17">
        <v>71</v>
      </c>
      <c r="B72" s="45">
        <f>IF(Xinput_allocation_option=5,VLOOKUP($A72,'S&amp;P 500'!$N:$P,3,FALSE),VLOOKUP($A72,'S&amp;P 500'!$J:$L,3,FALSE))</f>
        <v>-8.1857933000712729E-2</v>
      </c>
      <c r="C72" s="45">
        <f>IF(Xinput_allocation_option=5,VLOOKUP($A72,'NAS 100'!$N:$P,3,FALSE),VLOOKUP($A72,'NAS 100'!$J:$L,3,FALSE))</f>
        <v>-5.3944519454873288E-2</v>
      </c>
      <c r="D72" s="45">
        <f>IF(Xinput_allocation_option=5,VLOOKUP($A72,'Russel 2000'!$N:$P,3,FALSE),VLOOKUP($A72,'Russel 2000'!$J:$L,3,FALSE))</f>
        <v>-0.16172760145669021</v>
      </c>
      <c r="E72" s="45">
        <f>IF(Xinput_allocation_option=5,VLOOKUP($A72,'iBLD Claria'!$N:$P,3,FALSE),VLOOKUP($A72,'iBLD Claria'!$J:$L,3,FALSE))</f>
        <v>0.12319772558045095</v>
      </c>
      <c r="F72" s="45">
        <f>IF(Xinput_allocation_option=5,VLOOKUP($A72,'Bloomberg DBI'!$N:$P,3,FALSE),VLOOKUP($A72,'Bloomberg DBI'!$J:$L,3,FALSE))</f>
        <v>-3.046724551155407E-2</v>
      </c>
      <c r="G72" s="45">
        <f>IF(Xinput_allocation_option=5,VLOOKUP($A72,'PIMCO TBI'!$N:$P,3,FALSE),VLOOKUP($A72,'PIMCO TBI'!$J:$L,3,FALSE))</f>
        <v>4.0611835916731454E-2</v>
      </c>
      <c r="H72" s="45">
        <f>IF(Xinput_allocation_option=5,VLOOKUP($A72,'Bloomberg DBI ER'!$N:$P,3,FALSE),VLOOKUP($A72,'Bloomberg DBI ER'!$J:$L,3,FALSE))</f>
        <v>-3.1721933218501211E-2</v>
      </c>
      <c r="I72" s="45">
        <f>IF(Xinput_allocation_option=5,VLOOKUP($A72,'PIMCO TBI ER'!$N:$P,3,FALSE),VLOOKUP($A72,'PIMCO TBI ER'!$J:$L,3,FALSE))</f>
        <v>3.7282163603466256E-2</v>
      </c>
      <c r="J72" s="45">
        <f>IF(Xinput_allocation_option=5,VLOOKUP($A72,'iBLD Claria ER'!$N:$P,3,FALSE),VLOOKUP($A72,'iBLD Claria ER'!$J:$L,3,FALSE))</f>
        <v>5.1541378975007268E-2</v>
      </c>
    </row>
    <row r="73" spans="1:10" ht="15.45" thickTop="1" thickBot="1">
      <c r="A73" s="17">
        <v>72</v>
      </c>
      <c r="B73" s="45">
        <f>IF(Xinput_allocation_option=5,VLOOKUP($A73,'S&amp;P 500'!$N:$P,3,FALSE),VLOOKUP($A73,'S&amp;P 500'!$J:$L,3,FALSE))</f>
        <v>0.2232704789105901</v>
      </c>
      <c r="C73" s="45">
        <f>IF(Xinput_allocation_option=5,VLOOKUP($A73,'NAS 100'!$N:$P,3,FALSE),VLOOKUP($A73,'NAS 100'!$J:$L,3,FALSE))</f>
        <v>0.26878306512367683</v>
      </c>
      <c r="D73" s="45">
        <f>IF(Xinput_allocation_option=5,VLOOKUP($A73,'Russel 2000'!$N:$P,3,FALSE),VLOOKUP($A73,'Russel 2000'!$J:$L,3,FALSE))</f>
        <v>0.34121290435331286</v>
      </c>
      <c r="E73" s="45">
        <f>IF(Xinput_allocation_option=5,VLOOKUP($A73,'iBLD Claria'!$N:$P,3,FALSE),VLOOKUP($A73,'iBLD Claria'!$J:$L,3,FALSE))</f>
        <v>-8.0576146567829826E-2</v>
      </c>
      <c r="F73" s="45">
        <f>IF(Xinput_allocation_option=5,VLOOKUP($A73,'Bloomberg DBI'!$N:$P,3,FALSE),VLOOKUP($A73,'Bloomberg DBI'!$J:$L,3,FALSE))</f>
        <v>6.5569036319059262E-2</v>
      </c>
      <c r="G73" s="45">
        <f>IF(Xinput_allocation_option=5,VLOOKUP($A73,'PIMCO TBI'!$N:$P,3,FALSE),VLOOKUP($A73,'PIMCO TBI'!$J:$L,3,FALSE))</f>
        <v>-0.1444741392862757</v>
      </c>
      <c r="H73" s="45">
        <f>IF(Xinput_allocation_option=5,VLOOKUP($A73,'Bloomberg DBI ER'!$N:$P,3,FALSE),VLOOKUP($A73,'Bloomberg DBI ER'!$J:$L,3,FALSE))</f>
        <v>7.194968748361126E-2</v>
      </c>
      <c r="I73" s="45">
        <f>IF(Xinput_allocation_option=5,VLOOKUP($A73,'PIMCO TBI ER'!$N:$P,3,FALSE),VLOOKUP($A73,'PIMCO TBI ER'!$J:$L,3,FALSE))</f>
        <v>-0.12806977277943543</v>
      </c>
      <c r="J73" s="45">
        <f>IF(Xinput_allocation_option=5,VLOOKUP($A73,'iBLD Claria ER'!$N:$P,3,FALSE),VLOOKUP($A73,'iBLD Claria ER'!$J:$L,3,FALSE))</f>
        <v>-7.4262461851475087E-2</v>
      </c>
    </row>
    <row r="74" spans="1:10" ht="15.45" thickTop="1" thickBot="1">
      <c r="A74" s="17">
        <v>73</v>
      </c>
      <c r="B74" s="45">
        <f>IF(Xinput_allocation_option=5,VLOOKUP($A74,'S&amp;P 500'!$N:$P,3,FALSE),VLOOKUP($A74,'S&amp;P 500'!$J:$L,3,FALSE))</f>
        <v>0.14815716473439972</v>
      </c>
      <c r="C74" s="45">
        <f>IF(Xinput_allocation_option=5,VLOOKUP($A74,'NAS 100'!$N:$P,3,FALSE),VLOOKUP($A74,'NAS 100'!$J:$L,3,FALSE))</f>
        <v>0.28593268423974799</v>
      </c>
      <c r="D74" s="45">
        <f>IF(Xinput_allocation_option=5,VLOOKUP($A74,'Russel 2000'!$N:$P,3,FALSE),VLOOKUP($A74,'Russel 2000'!$J:$L,3,FALSE))</f>
        <v>9.0698569318283517E-2</v>
      </c>
      <c r="E74" s="45">
        <f>IF(Xinput_allocation_option=5,VLOOKUP($A74,'iBLD Claria'!$N:$P,3,FALSE),VLOOKUP($A74,'iBLD Claria'!$J:$L,3,FALSE))</f>
        <v>-3.1659674882013718E-2</v>
      </c>
      <c r="F74" s="45">
        <f>IF(Xinput_allocation_option=5,VLOOKUP($A74,'Bloomberg DBI'!$N:$P,3,FALSE),VLOOKUP($A74,'Bloomberg DBI'!$J:$L,3,FALSE))</f>
        <v>0.17408240841116446</v>
      </c>
      <c r="G74" s="45">
        <f>IF(Xinput_allocation_option=5,VLOOKUP($A74,'PIMCO TBI'!$N:$P,3,FALSE),VLOOKUP($A74,'PIMCO TBI'!$J:$L,3,FALSE))</f>
        <v>0.12325431826534354</v>
      </c>
      <c r="H74" s="45">
        <f>IF(Xinput_allocation_option=5,VLOOKUP($A74,'Bloomberg DBI ER'!$N:$P,3,FALSE),VLOOKUP($A74,'Bloomberg DBI ER'!$J:$L,3,FALSE))</f>
        <v>0.17857724619076987</v>
      </c>
      <c r="I74" s="45">
        <f>IF(Xinput_allocation_option=5,VLOOKUP($A74,'PIMCO TBI ER'!$N:$P,3,FALSE),VLOOKUP($A74,'PIMCO TBI ER'!$J:$L,3,FALSE))</f>
        <v>0.10565938404843392</v>
      </c>
      <c r="J74" s="45">
        <f>IF(Xinput_allocation_option=5,VLOOKUP($A74,'iBLD Claria ER'!$N:$P,3,FALSE),VLOOKUP($A74,'iBLD Claria ER'!$J:$L,3,FALSE))</f>
        <v>2.7272727272727313E-2</v>
      </c>
    </row>
    <row r="75" spans="1:10" ht="15.45" thickTop="1" thickBot="1">
      <c r="A75" s="17">
        <v>74</v>
      </c>
      <c r="B75" s="45">
        <f>IF(Xinput_allocation_option=5,VLOOKUP($A75,'S&amp;P 500'!$N:$P,3,FALSE),VLOOKUP($A75,'S&amp;P 500'!$J:$L,3,FALSE))</f>
        <v>2.603696987988062E-2</v>
      </c>
      <c r="C75" s="45">
        <f>IF(Xinput_allocation_option=5,VLOOKUP($A75,'NAS 100'!$N:$P,3,FALSE),VLOOKUP($A75,'NAS 100'!$J:$L,3,FALSE))</f>
        <v>3.5467605686035131E-2</v>
      </c>
      <c r="D75" s="45">
        <f>IF(Xinput_allocation_option=5,VLOOKUP($A75,'Russel 2000'!$N:$P,3,FALSE),VLOOKUP($A75,'Russel 2000'!$J:$L,3,FALSE))</f>
        <v>4.1720453598004636E-2</v>
      </c>
      <c r="E75" s="45">
        <f>IF(Xinput_allocation_option=5,VLOOKUP($A75,'iBLD Claria'!$N:$P,3,FALSE),VLOOKUP($A75,'iBLD Claria'!$J:$L,3,FALSE))</f>
        <v>0.12319772558045095</v>
      </c>
      <c r="F75" s="45">
        <f>IF(Xinput_allocation_option=5,VLOOKUP($A75,'Bloomberg DBI'!$N:$P,3,FALSE),VLOOKUP($A75,'Bloomberg DBI'!$J:$L,3,FALSE))</f>
        <v>-1.9671819185666482E-2</v>
      </c>
      <c r="G75" s="45">
        <f>IF(Xinput_allocation_option=5,VLOOKUP($A75,'PIMCO TBI'!$N:$P,3,FALSE),VLOOKUP($A75,'PIMCO TBI'!$J:$L,3,FALSE))</f>
        <v>4.0611835916731454E-2</v>
      </c>
      <c r="H75" s="45">
        <f>IF(Xinput_allocation_option=5,VLOOKUP($A75,'Bloomberg DBI ER'!$N:$P,3,FALSE),VLOOKUP($A75,'Bloomberg DBI ER'!$J:$L,3,FALSE))</f>
        <v>-3.0647180525431517E-2</v>
      </c>
      <c r="I75" s="45">
        <f>IF(Xinput_allocation_option=5,VLOOKUP($A75,'PIMCO TBI ER'!$N:$P,3,FALSE),VLOOKUP($A75,'PIMCO TBI ER'!$J:$L,3,FALSE))</f>
        <v>3.7282163603466256E-2</v>
      </c>
      <c r="J75" s="45">
        <f>IF(Xinput_allocation_option=5,VLOOKUP($A75,'iBLD Claria ER'!$N:$P,3,FALSE),VLOOKUP($A75,'iBLD Claria ER'!$J:$L,3,FALSE))</f>
        <v>5.1541378975007268E-2</v>
      </c>
    </row>
    <row r="76" spans="1:10" ht="15.45" thickTop="1" thickBot="1">
      <c r="A76" s="17">
        <v>75</v>
      </c>
      <c r="B76" s="45">
        <f>IF(Xinput_allocation_option=5,VLOOKUP($A76,'S&amp;P 500'!$N:$P,3,FALSE),VLOOKUP($A76,'S&amp;P 500'!$J:$L,3,FALSE))</f>
        <v>6.0955500508012225E-2</v>
      </c>
      <c r="C76" s="45">
        <f>IF(Xinput_allocation_option=5,VLOOKUP($A76,'NAS 100'!$N:$P,3,FALSE),VLOOKUP($A76,'NAS 100'!$J:$L,3,FALSE))</f>
        <v>0.1922218482102504</v>
      </c>
      <c r="D76" s="45">
        <f>IF(Xinput_allocation_option=5,VLOOKUP($A76,'Russel 2000'!$N:$P,3,FALSE),VLOOKUP($A76,'Russel 2000'!$J:$L,3,FALSE))</f>
        <v>-6.291135915543361E-2</v>
      </c>
      <c r="E76" s="45">
        <f>IF(Xinput_allocation_option=5,VLOOKUP($A76,'iBLD Claria'!$N:$P,3,FALSE),VLOOKUP($A76,'iBLD Claria'!$J:$L,3,FALSE))</f>
        <v>-8.0576146567829826E-2</v>
      </c>
      <c r="F76" s="45">
        <f>IF(Xinput_allocation_option=5,VLOOKUP($A76,'Bloomberg DBI'!$N:$P,3,FALSE),VLOOKUP($A76,'Bloomberg DBI'!$J:$L,3,FALSE))</f>
        <v>0.15506029544703762</v>
      </c>
      <c r="G76" s="45">
        <f>IF(Xinput_allocation_option=5,VLOOKUP($A76,'PIMCO TBI'!$N:$P,3,FALSE),VLOOKUP($A76,'PIMCO TBI'!$J:$L,3,FALSE))</f>
        <v>-0.1444741392862757</v>
      </c>
      <c r="H76" s="45">
        <f>IF(Xinput_allocation_option=5,VLOOKUP($A76,'Bloomberg DBI ER'!$N:$P,3,FALSE),VLOOKUP($A76,'Bloomberg DBI ER'!$J:$L,3,FALSE))</f>
        <v>0.1408233915533314</v>
      </c>
      <c r="I76" s="45">
        <f>IF(Xinput_allocation_option=5,VLOOKUP($A76,'PIMCO TBI ER'!$N:$P,3,FALSE),VLOOKUP($A76,'PIMCO TBI ER'!$J:$L,3,FALSE))</f>
        <v>-0.12806977277943543</v>
      </c>
      <c r="J76" s="45">
        <f>IF(Xinput_allocation_option=5,VLOOKUP($A76,'iBLD Claria ER'!$N:$P,3,FALSE),VLOOKUP($A76,'iBLD Claria ER'!$J:$L,3,FALSE))</f>
        <v>-7.4262461851475087E-2</v>
      </c>
    </row>
    <row r="77" spans="1:10" ht="15.45" thickTop="1" thickBot="1">
      <c r="A77" s="17">
        <v>76</v>
      </c>
      <c r="B77" s="45">
        <f>IF(Xinput_allocation_option=5,VLOOKUP($A77,'S&amp;P 500'!$N:$P,3,FALSE),VLOOKUP($A77,'S&amp;P 500'!$J:$L,3,FALSE))</f>
        <v>0.30425970504008892</v>
      </c>
      <c r="C77" s="45">
        <f>IF(Xinput_allocation_option=5,VLOOKUP($A77,'NAS 100'!$N:$P,3,FALSE),VLOOKUP($A77,'NAS 100'!$J:$L,3,FALSE))</f>
        <v>0.58417106044846767</v>
      </c>
      <c r="D77" s="45">
        <f>IF(Xinput_allocation_option=5,VLOOKUP($A77,'Russel 2000'!$N:$P,3,FALSE),VLOOKUP($A77,'Russel 2000'!$J:$L,3,FALSE))</f>
        <v>0.45040457026621861</v>
      </c>
      <c r="E77" s="45">
        <f>IF(Xinput_allocation_option=5,VLOOKUP($A77,'iBLD Claria'!$N:$P,3,FALSE),VLOOKUP($A77,'iBLD Claria'!$J:$L,3,FALSE))</f>
        <v>-3.1659674882013718E-2</v>
      </c>
      <c r="F77" s="45">
        <f>IF(Xinput_allocation_option=5,VLOOKUP($A77,'Bloomberg DBI'!$N:$P,3,FALSE),VLOOKUP($A77,'Bloomberg DBI'!$J:$L,3,FALSE))</f>
        <v>4.3805461458172455E-2</v>
      </c>
      <c r="G77" s="45">
        <f>IF(Xinput_allocation_option=5,VLOOKUP($A77,'PIMCO TBI'!$N:$P,3,FALSE),VLOOKUP($A77,'PIMCO TBI'!$J:$L,3,FALSE))</f>
        <v>0.12325431826534354</v>
      </c>
      <c r="H77" s="45">
        <f>IF(Xinput_allocation_option=5,VLOOKUP($A77,'Bloomberg DBI ER'!$N:$P,3,FALSE),VLOOKUP($A77,'Bloomberg DBI ER'!$J:$L,3,FALSE))</f>
        <v>2.7254877789204764E-2</v>
      </c>
      <c r="I77" s="45">
        <f>IF(Xinput_allocation_option=5,VLOOKUP($A77,'PIMCO TBI ER'!$N:$P,3,FALSE),VLOOKUP($A77,'PIMCO TBI ER'!$J:$L,3,FALSE))</f>
        <v>0.10565938404843392</v>
      </c>
      <c r="J77" s="45">
        <f>IF(Xinput_allocation_option=5,VLOOKUP($A77,'iBLD Claria ER'!$N:$P,3,FALSE),VLOOKUP($A77,'iBLD Claria ER'!$J:$L,3,FALSE))</f>
        <v>2.7272727272727313E-2</v>
      </c>
    </row>
    <row r="78" spans="1:10" ht="15.45" thickTop="1" thickBot="1">
      <c r="A78" s="17">
        <v>77</v>
      </c>
      <c r="B78" s="45">
        <f>IF(Xinput_allocation_option=5,VLOOKUP($A78,'S&amp;P 500'!$N:$P,3,FALSE),VLOOKUP($A78,'S&amp;P 500'!$J:$L,3,FALSE))</f>
        <v>-0.65554221761429954</v>
      </c>
      <c r="C78" s="45">
        <f>IF(Xinput_allocation_option=5,VLOOKUP($A78,'NAS 100'!$N:$P,3,FALSE),VLOOKUP($A78,'NAS 100'!$J:$L,3,FALSE))</f>
        <v>-0.82461824783145721</v>
      </c>
      <c r="D78" s="45">
        <f>IF(Xinput_allocation_option=5,VLOOKUP($A78,'Russel 2000'!$N:$P,3,FALSE),VLOOKUP($A78,'Russel 2000'!$J:$L,3,FALSE))</f>
        <v>-0.61546559447090998</v>
      </c>
      <c r="E78" s="45">
        <f>IF(Xinput_allocation_option=5,VLOOKUP($A78,'iBLD Claria'!$N:$P,3,FALSE),VLOOKUP($A78,'iBLD Claria'!$J:$L,3,FALSE))</f>
        <v>0.12319772558045095</v>
      </c>
      <c r="F78" s="45">
        <f>IF(Xinput_allocation_option=5,VLOOKUP($A78,'Bloomberg DBI'!$N:$P,3,FALSE),VLOOKUP($A78,'Bloomberg DBI'!$J:$L,3,FALSE))</f>
        <v>-0.45102421407850335</v>
      </c>
      <c r="G78" s="45">
        <f>IF(Xinput_allocation_option=5,VLOOKUP($A78,'PIMCO TBI'!$N:$P,3,FALSE),VLOOKUP($A78,'PIMCO TBI'!$J:$L,3,FALSE))</f>
        <v>4.0611835916731454E-2</v>
      </c>
      <c r="H78" s="45">
        <f>IF(Xinput_allocation_option=5,VLOOKUP($A78,'Bloomberg DBI ER'!$N:$P,3,FALSE),VLOOKUP($A78,'Bloomberg DBI ER'!$J:$L,3,FALSE))</f>
        <v>-0.4476399005749413</v>
      </c>
      <c r="I78" s="45">
        <f>IF(Xinput_allocation_option=5,VLOOKUP($A78,'PIMCO TBI ER'!$N:$P,3,FALSE),VLOOKUP($A78,'PIMCO TBI ER'!$J:$L,3,FALSE))</f>
        <v>3.7282163603466256E-2</v>
      </c>
      <c r="J78" s="45">
        <f>IF(Xinput_allocation_option=5,VLOOKUP($A78,'iBLD Claria ER'!$N:$P,3,FALSE),VLOOKUP($A78,'iBLD Claria ER'!$J:$L,3,FALSE))</f>
        <v>5.1541378975007268E-2</v>
      </c>
    </row>
    <row r="79" spans="1:10" ht="15.45" thickTop="1" thickBot="1">
      <c r="A79" s="17">
        <v>78</v>
      </c>
      <c r="B79" s="45">
        <f>IF(Xinput_allocation_option=5,VLOOKUP($A79,'S&amp;P 500'!$N:$P,3,FALSE),VLOOKUP($A79,'S&amp;P 500'!$J:$L,3,FALSE))</f>
        <v>2.8977926674070474E-2</v>
      </c>
      <c r="C79" s="45">
        <f>IF(Xinput_allocation_option=5,VLOOKUP($A79,'NAS 100'!$N:$P,3,FALSE),VLOOKUP($A79,'NAS 100'!$J:$L,3,FALSE))</f>
        <v>0.11574277608897852</v>
      </c>
      <c r="D79" s="45">
        <f>IF(Xinput_allocation_option=5,VLOOKUP($A79,'Russel 2000'!$N:$P,3,FALSE),VLOOKUP($A79,'Russel 2000'!$J:$L,3,FALSE))</f>
        <v>-1.5192191168490705E-2</v>
      </c>
      <c r="E79" s="45">
        <f>IF(Xinput_allocation_option=5,VLOOKUP($A79,'iBLD Claria'!$N:$P,3,FALSE),VLOOKUP($A79,'iBLD Claria'!$J:$L,3,FALSE))</f>
        <v>-8.0576146567829826E-2</v>
      </c>
      <c r="F79" s="45">
        <f>IF(Xinput_allocation_option=5,VLOOKUP($A79,'Bloomberg DBI'!$N:$P,3,FALSE),VLOOKUP($A79,'Bloomberg DBI'!$J:$L,3,FALSE))</f>
        <v>4.9631394375468034E-2</v>
      </c>
      <c r="G79" s="45">
        <f>IF(Xinput_allocation_option=5,VLOOKUP($A79,'PIMCO TBI'!$N:$P,3,FALSE),VLOOKUP($A79,'PIMCO TBI'!$J:$L,3,FALSE))</f>
        <v>-0.1444741392862757</v>
      </c>
      <c r="H79" s="45">
        <f>IF(Xinput_allocation_option=5,VLOOKUP($A79,'Bloomberg DBI ER'!$N:$P,3,FALSE),VLOOKUP($A79,'Bloomberg DBI ER'!$J:$L,3,FALSE))</f>
        <v>5.9633789624114593E-2</v>
      </c>
      <c r="I79" s="45">
        <f>IF(Xinput_allocation_option=5,VLOOKUP($A79,'PIMCO TBI ER'!$N:$P,3,FALSE),VLOOKUP($A79,'PIMCO TBI ER'!$J:$L,3,FALSE))</f>
        <v>-0.12806977277943543</v>
      </c>
      <c r="J79" s="45">
        <f>IF(Xinput_allocation_option=5,VLOOKUP($A79,'iBLD Claria ER'!$N:$P,3,FALSE),VLOOKUP($A79,'iBLD Claria ER'!$J:$L,3,FALSE))</f>
        <v>-7.4262461851475087E-2</v>
      </c>
    </row>
    <row r="80" spans="1:10" ht="15.45" thickTop="1" thickBot="1">
      <c r="A80" s="17">
        <v>79</v>
      </c>
      <c r="B80" s="45">
        <f>IF(Xinput_allocation_option=5,VLOOKUP($A80,'S&amp;P 500'!$N:$P,3,FALSE),VLOOKUP($A80,'S&amp;P 500'!$J:$L,3,FALSE))</f>
        <v>0.10910315308742147</v>
      </c>
      <c r="C80" s="45">
        <f>IF(Xinput_allocation_option=5,VLOOKUP($A80,'NAS 100'!$N:$P,3,FALSE),VLOOKUP($A80,'NAS 100'!$J:$L,3,FALSE))</f>
        <v>4.4024236851673539E-2</v>
      </c>
      <c r="D80" s="45">
        <f>IF(Xinput_allocation_option=5,VLOOKUP($A80,'Russel 2000'!$N:$P,3,FALSE),VLOOKUP($A80,'Russel 2000'!$J:$L,3,FALSE))</f>
        <v>0.12352329734993144</v>
      </c>
      <c r="E80" s="45">
        <f>IF(Xinput_allocation_option=5,VLOOKUP($A80,'iBLD Claria'!$N:$P,3,FALSE),VLOOKUP($A80,'iBLD Claria'!$J:$L,3,FALSE))</f>
        <v>-3.1659674882013718E-2</v>
      </c>
      <c r="F80" s="45">
        <f>IF(Xinput_allocation_option=5,VLOOKUP($A80,'Bloomberg DBI'!$N:$P,3,FALSE),VLOOKUP($A80,'Bloomberg DBI'!$J:$L,3,FALSE))</f>
        <v>6.5960116701655941E-2</v>
      </c>
      <c r="G80" s="45">
        <f>IF(Xinput_allocation_option=5,VLOOKUP($A80,'PIMCO TBI'!$N:$P,3,FALSE),VLOOKUP($A80,'PIMCO TBI'!$J:$L,3,FALSE))</f>
        <v>0.12325431826534354</v>
      </c>
      <c r="H80" s="45">
        <f>IF(Xinput_allocation_option=5,VLOOKUP($A80,'Bloomberg DBI ER'!$N:$P,3,FALSE),VLOOKUP($A80,'Bloomberg DBI ER'!$J:$L,3,FALSE))</f>
        <v>7.3492509994359967E-2</v>
      </c>
      <c r="I80" s="45">
        <f>IF(Xinput_allocation_option=5,VLOOKUP($A80,'PIMCO TBI ER'!$N:$P,3,FALSE),VLOOKUP($A80,'PIMCO TBI ER'!$J:$L,3,FALSE))</f>
        <v>0.10565938404843392</v>
      </c>
      <c r="J80" s="45">
        <f>IF(Xinput_allocation_option=5,VLOOKUP($A80,'iBLD Claria ER'!$N:$P,3,FALSE),VLOOKUP($A80,'iBLD Claria ER'!$J:$L,3,FALSE))</f>
        <v>2.7272727272727313E-2</v>
      </c>
    </row>
    <row r="81" spans="1:10" ht="15.45" thickTop="1" thickBot="1">
      <c r="A81" s="17">
        <v>80</v>
      </c>
      <c r="B81" s="45">
        <f>IF(Xinput_allocation_option=5,VLOOKUP($A81,'S&amp;P 500'!$N:$P,3,FALSE),VLOOKUP($A81,'S&amp;P 500'!$J:$L,3,FALSE))</f>
        <v>0.22761895892767869</v>
      </c>
      <c r="C81" s="45">
        <f>IF(Xinput_allocation_option=5,VLOOKUP($A81,'NAS 100'!$N:$P,3,FALSE),VLOOKUP($A81,'NAS 100'!$J:$L,3,FALSE))</f>
        <v>0.34964105219785357</v>
      </c>
      <c r="D81" s="45">
        <f>IF(Xinput_allocation_option=5,VLOOKUP($A81,'Russel 2000'!$N:$P,3,FALSE),VLOOKUP($A81,'Russel 2000'!$J:$L,3,FALSE))</f>
        <v>0.29844919765641681</v>
      </c>
      <c r="E81" s="45">
        <f>IF(Xinput_allocation_option=5,VLOOKUP($A81,'iBLD Claria'!$N:$P,3,FALSE),VLOOKUP($A81,'iBLD Claria'!$J:$L,3,FALSE))</f>
        <v>0.12319772558045095</v>
      </c>
      <c r="F81" s="45">
        <f>IF(Xinput_allocation_option=5,VLOOKUP($A81,'Bloomberg DBI'!$N:$P,3,FALSE),VLOOKUP($A81,'Bloomberg DBI'!$J:$L,3,FALSE))</f>
        <v>6.807198148919788E-2</v>
      </c>
      <c r="G81" s="45">
        <f>IF(Xinput_allocation_option=5,VLOOKUP($A81,'PIMCO TBI'!$N:$P,3,FALSE),VLOOKUP($A81,'PIMCO TBI'!$J:$L,3,FALSE))</f>
        <v>4.0611835916731454E-2</v>
      </c>
      <c r="H81" s="45">
        <f>IF(Xinput_allocation_option=5,VLOOKUP($A81,'Bloomberg DBI ER'!$N:$P,3,FALSE),VLOOKUP($A81,'Bloomberg DBI ER'!$J:$L,3,FALSE))</f>
        <v>6.8652784680292983E-2</v>
      </c>
      <c r="I81" s="45">
        <f>IF(Xinput_allocation_option=5,VLOOKUP($A81,'PIMCO TBI ER'!$N:$P,3,FALSE),VLOOKUP($A81,'PIMCO TBI ER'!$J:$L,3,FALSE))</f>
        <v>3.7282163603466256E-2</v>
      </c>
      <c r="J81" s="45">
        <f>IF(Xinput_allocation_option=5,VLOOKUP($A81,'iBLD Claria ER'!$N:$P,3,FALSE),VLOOKUP($A81,'iBLD Claria ER'!$J:$L,3,FALSE))</f>
        <v>5.1541378975007268E-2</v>
      </c>
    </row>
    <row r="82" spans="1:10" ht="15.45" thickTop="1" thickBot="1">
      <c r="A82" s="17">
        <v>81</v>
      </c>
      <c r="B82" s="45">
        <f>IF(Xinput_allocation_option=5,VLOOKUP($A82,'S&amp;P 500'!$N:$P,3,FALSE),VLOOKUP($A82,'S&amp;P 500'!$J:$L,3,FALSE))</f>
        <v>0.13178631071420535</v>
      </c>
      <c r="C82" s="45">
        <f>IF(Xinput_allocation_option=5,VLOOKUP($A82,'NAS 100'!$N:$P,3,FALSE),VLOOKUP($A82,'NAS 100'!$J:$L,3,FALSE))</f>
        <v>0.20144741870029306</v>
      </c>
      <c r="D82" s="45">
        <f>IF(Xinput_allocation_option=5,VLOOKUP($A82,'Russel 2000'!$N:$P,3,FALSE),VLOOKUP($A82,'Russel 2000'!$J:$L,3,FALSE))</f>
        <v>4.2551722919959796E-2</v>
      </c>
      <c r="E82" s="45">
        <f>IF(Xinput_allocation_option=5,VLOOKUP($A82,'iBLD Claria'!$N:$P,3,FALSE),VLOOKUP($A82,'iBLD Claria'!$J:$L,3,FALSE))</f>
        <v>-8.0576146567829826E-2</v>
      </c>
      <c r="F82" s="45">
        <f>IF(Xinput_allocation_option=5,VLOOKUP($A82,'Bloomberg DBI'!$N:$P,3,FALSE),VLOOKUP($A82,'Bloomberg DBI'!$J:$L,3,FALSE))</f>
        <v>6.3237178764079124E-2</v>
      </c>
      <c r="G82" s="45">
        <f>IF(Xinput_allocation_option=5,VLOOKUP($A82,'PIMCO TBI'!$N:$P,3,FALSE),VLOOKUP($A82,'PIMCO TBI'!$J:$L,3,FALSE))</f>
        <v>-0.1444741392862757</v>
      </c>
      <c r="H82" s="45">
        <f>IF(Xinput_allocation_option=5,VLOOKUP($A82,'Bloomberg DBI ER'!$N:$P,3,FALSE),VLOOKUP($A82,'Bloomberg DBI ER'!$J:$L,3,FALSE))</f>
        <v>7.1704873851048082E-2</v>
      </c>
      <c r="I82" s="45">
        <f>IF(Xinput_allocation_option=5,VLOOKUP($A82,'PIMCO TBI ER'!$N:$P,3,FALSE),VLOOKUP($A82,'PIMCO TBI ER'!$J:$L,3,FALSE))</f>
        <v>-0.12806977277943543</v>
      </c>
      <c r="J82" s="45">
        <f>IF(Xinput_allocation_option=5,VLOOKUP($A82,'iBLD Claria ER'!$N:$P,3,FALSE),VLOOKUP($A82,'iBLD Claria ER'!$J:$L,3,FALSE))</f>
        <v>-7.4262461851475087E-2</v>
      </c>
    </row>
    <row r="83" spans="1:10" ht="15.45" thickTop="1" thickBot="1">
      <c r="A83" s="17">
        <v>82</v>
      </c>
      <c r="B83" s="45">
        <f>IF(Xinput_allocation_option=5,VLOOKUP($A83,'S&amp;P 500'!$N:$P,3,FALSE),VLOOKUP($A83,'S&amp;P 500'!$J:$L,3,FALSE))</f>
        <v>-8.1857933000712729E-2</v>
      </c>
      <c r="C83" s="45">
        <f>IF(Xinput_allocation_option=5,VLOOKUP($A83,'NAS 100'!$N:$P,3,FALSE),VLOOKUP($A83,'NAS 100'!$J:$L,3,FALSE))</f>
        <v>-5.3944519454873288E-2</v>
      </c>
      <c r="D83" s="45">
        <f>IF(Xinput_allocation_option=5,VLOOKUP($A83,'Russel 2000'!$N:$P,3,FALSE),VLOOKUP($A83,'Russel 2000'!$J:$L,3,FALSE))</f>
        <v>-0.16172760145669021</v>
      </c>
      <c r="E83" s="45">
        <f>IF(Xinput_allocation_option=5,VLOOKUP($A83,'iBLD Claria'!$N:$P,3,FALSE),VLOOKUP($A83,'iBLD Claria'!$J:$L,3,FALSE))</f>
        <v>-3.1659674882013718E-2</v>
      </c>
      <c r="F83" s="45">
        <f>IF(Xinput_allocation_option=5,VLOOKUP($A83,'Bloomberg DBI'!$N:$P,3,FALSE),VLOOKUP($A83,'Bloomberg DBI'!$J:$L,3,FALSE))</f>
        <v>-3.046724551155407E-2</v>
      </c>
      <c r="G83" s="45">
        <f>IF(Xinput_allocation_option=5,VLOOKUP($A83,'PIMCO TBI'!$N:$P,3,FALSE),VLOOKUP($A83,'PIMCO TBI'!$J:$L,3,FALSE))</f>
        <v>0.12325431826534354</v>
      </c>
      <c r="H83" s="45">
        <f>IF(Xinput_allocation_option=5,VLOOKUP($A83,'Bloomberg DBI ER'!$N:$P,3,FALSE),VLOOKUP($A83,'Bloomberg DBI ER'!$J:$L,3,FALSE))</f>
        <v>-3.1721933218501211E-2</v>
      </c>
      <c r="I83" s="45">
        <f>IF(Xinput_allocation_option=5,VLOOKUP($A83,'PIMCO TBI ER'!$N:$P,3,FALSE),VLOOKUP($A83,'PIMCO TBI ER'!$J:$L,3,FALSE))</f>
        <v>0.10565938404843392</v>
      </c>
      <c r="J83" s="45">
        <f>IF(Xinput_allocation_option=5,VLOOKUP($A83,'iBLD Claria ER'!$N:$P,3,FALSE),VLOOKUP($A83,'iBLD Claria ER'!$J:$L,3,FALSE))</f>
        <v>2.7272727272727313E-2</v>
      </c>
    </row>
    <row r="84" spans="1:10" ht="15.45" thickTop="1" thickBot="1">
      <c r="A84" s="17">
        <v>83</v>
      </c>
      <c r="B84" s="45">
        <f>IF(Xinput_allocation_option=5,VLOOKUP($A84,'S&amp;P 500'!$N:$P,3,FALSE),VLOOKUP($A84,'S&amp;P 500'!$J:$L,3,FALSE))</f>
        <v>0.2232704789105901</v>
      </c>
      <c r="C84" s="45">
        <f>IF(Xinput_allocation_option=5,VLOOKUP($A84,'NAS 100'!$N:$P,3,FALSE),VLOOKUP($A84,'NAS 100'!$J:$L,3,FALSE))</f>
        <v>0.26878306512367683</v>
      </c>
      <c r="D84" s="45">
        <f>IF(Xinput_allocation_option=5,VLOOKUP($A84,'Russel 2000'!$N:$P,3,FALSE),VLOOKUP($A84,'Russel 2000'!$J:$L,3,FALSE))</f>
        <v>0.34121290435331286</v>
      </c>
      <c r="E84" s="45">
        <f>IF(Xinput_allocation_option=5,VLOOKUP($A84,'iBLD Claria'!$N:$P,3,FALSE),VLOOKUP($A84,'iBLD Claria'!$J:$L,3,FALSE))</f>
        <v>0.12319772558045095</v>
      </c>
      <c r="F84" s="45">
        <f>IF(Xinput_allocation_option=5,VLOOKUP($A84,'Bloomberg DBI'!$N:$P,3,FALSE),VLOOKUP($A84,'Bloomberg DBI'!$J:$L,3,FALSE))</f>
        <v>6.5569036319059262E-2</v>
      </c>
      <c r="G84" s="45">
        <f>IF(Xinput_allocation_option=5,VLOOKUP($A84,'PIMCO TBI'!$N:$P,3,FALSE),VLOOKUP($A84,'PIMCO TBI'!$J:$L,3,FALSE))</f>
        <v>4.0611835916731454E-2</v>
      </c>
      <c r="H84" s="45">
        <f>IF(Xinput_allocation_option=5,VLOOKUP($A84,'Bloomberg DBI ER'!$N:$P,3,FALSE),VLOOKUP($A84,'Bloomberg DBI ER'!$J:$L,3,FALSE))</f>
        <v>7.194968748361126E-2</v>
      </c>
      <c r="I84" s="45">
        <f>IF(Xinput_allocation_option=5,VLOOKUP($A84,'PIMCO TBI ER'!$N:$P,3,FALSE),VLOOKUP($A84,'PIMCO TBI ER'!$J:$L,3,FALSE))</f>
        <v>3.7282163603466256E-2</v>
      </c>
      <c r="J84" s="45">
        <f>IF(Xinput_allocation_option=5,VLOOKUP($A84,'iBLD Claria ER'!$N:$P,3,FALSE),VLOOKUP($A84,'iBLD Claria ER'!$J:$L,3,FALSE))</f>
        <v>5.1541378975007268E-2</v>
      </c>
    </row>
    <row r="85" spans="1:10" ht="15.45" thickTop="1" thickBot="1">
      <c r="A85" s="17">
        <v>84</v>
      </c>
      <c r="B85" s="45">
        <f>IF(Xinput_allocation_option=5,VLOOKUP($A85,'S&amp;P 500'!$N:$P,3,FALSE),VLOOKUP($A85,'S&amp;P 500'!$J:$L,3,FALSE))</f>
        <v>0.14815716473439972</v>
      </c>
      <c r="C85" s="45">
        <f>IF(Xinput_allocation_option=5,VLOOKUP($A85,'NAS 100'!$N:$P,3,FALSE),VLOOKUP($A85,'NAS 100'!$J:$L,3,FALSE))</f>
        <v>0.28593268423974799</v>
      </c>
      <c r="D85" s="45">
        <f>IF(Xinput_allocation_option=5,VLOOKUP($A85,'Russel 2000'!$N:$P,3,FALSE),VLOOKUP($A85,'Russel 2000'!$J:$L,3,FALSE))</f>
        <v>9.0698569318283517E-2</v>
      </c>
      <c r="E85" s="45">
        <f>IF(Xinput_allocation_option=5,VLOOKUP($A85,'iBLD Claria'!$N:$P,3,FALSE),VLOOKUP($A85,'iBLD Claria'!$J:$L,3,FALSE))</f>
        <v>-8.0576146567829826E-2</v>
      </c>
      <c r="F85" s="45">
        <f>IF(Xinput_allocation_option=5,VLOOKUP($A85,'Bloomberg DBI'!$N:$P,3,FALSE),VLOOKUP($A85,'Bloomberg DBI'!$J:$L,3,FALSE))</f>
        <v>0.17408240841116446</v>
      </c>
      <c r="G85" s="45">
        <f>IF(Xinput_allocation_option=5,VLOOKUP($A85,'PIMCO TBI'!$N:$P,3,FALSE),VLOOKUP($A85,'PIMCO TBI'!$J:$L,3,FALSE))</f>
        <v>-0.1444741392862757</v>
      </c>
      <c r="H85" s="45">
        <f>IF(Xinput_allocation_option=5,VLOOKUP($A85,'Bloomberg DBI ER'!$N:$P,3,FALSE),VLOOKUP($A85,'Bloomberg DBI ER'!$J:$L,3,FALSE))</f>
        <v>0.17857724619076987</v>
      </c>
      <c r="I85" s="45">
        <f>IF(Xinput_allocation_option=5,VLOOKUP($A85,'PIMCO TBI ER'!$N:$P,3,FALSE),VLOOKUP($A85,'PIMCO TBI ER'!$J:$L,3,FALSE))</f>
        <v>-0.12806977277943543</v>
      </c>
      <c r="J85" s="45">
        <f>IF(Xinput_allocation_option=5,VLOOKUP($A85,'iBLD Claria ER'!$N:$P,3,FALSE),VLOOKUP($A85,'iBLD Claria ER'!$J:$L,3,FALSE))</f>
        <v>-7.4262461851475087E-2</v>
      </c>
    </row>
    <row r="86" spans="1:10" ht="15.45" thickTop="1" thickBot="1">
      <c r="A86" s="17">
        <v>85</v>
      </c>
      <c r="B86" s="45">
        <f>IF(Xinput_allocation_option=5,VLOOKUP($A86,'S&amp;P 500'!$N:$P,3,FALSE),VLOOKUP($A86,'S&amp;P 500'!$J:$L,3,FALSE))</f>
        <v>2.603696987988062E-2</v>
      </c>
      <c r="C86" s="45">
        <f>IF(Xinput_allocation_option=5,VLOOKUP($A86,'NAS 100'!$N:$P,3,FALSE),VLOOKUP($A86,'NAS 100'!$J:$L,3,FALSE))</f>
        <v>3.5467605686035131E-2</v>
      </c>
      <c r="D86" s="45">
        <f>IF(Xinput_allocation_option=5,VLOOKUP($A86,'Russel 2000'!$N:$P,3,FALSE),VLOOKUP($A86,'Russel 2000'!$J:$L,3,FALSE))</f>
        <v>4.1720453598004636E-2</v>
      </c>
      <c r="E86" s="45">
        <f>IF(Xinput_allocation_option=5,VLOOKUP($A86,'iBLD Claria'!$N:$P,3,FALSE),VLOOKUP($A86,'iBLD Claria'!$J:$L,3,FALSE))</f>
        <v>-3.1659674882013718E-2</v>
      </c>
      <c r="F86" s="45">
        <f>IF(Xinput_allocation_option=5,VLOOKUP($A86,'Bloomberg DBI'!$N:$P,3,FALSE),VLOOKUP($A86,'Bloomberg DBI'!$J:$L,3,FALSE))</f>
        <v>-1.9671819185666482E-2</v>
      </c>
      <c r="G86" s="45">
        <f>IF(Xinput_allocation_option=5,VLOOKUP($A86,'PIMCO TBI'!$N:$P,3,FALSE),VLOOKUP($A86,'PIMCO TBI'!$J:$L,3,FALSE))</f>
        <v>0.12325431826534354</v>
      </c>
      <c r="H86" s="45">
        <f>IF(Xinput_allocation_option=5,VLOOKUP($A86,'Bloomberg DBI ER'!$N:$P,3,FALSE),VLOOKUP($A86,'Bloomberg DBI ER'!$J:$L,3,FALSE))</f>
        <v>-3.0647180525431517E-2</v>
      </c>
      <c r="I86" s="45">
        <f>IF(Xinput_allocation_option=5,VLOOKUP($A86,'PIMCO TBI ER'!$N:$P,3,FALSE),VLOOKUP($A86,'PIMCO TBI ER'!$J:$L,3,FALSE))</f>
        <v>0.10565938404843392</v>
      </c>
      <c r="J86" s="45">
        <f>IF(Xinput_allocation_option=5,VLOOKUP($A86,'iBLD Claria ER'!$N:$P,3,FALSE),VLOOKUP($A86,'iBLD Claria ER'!$J:$L,3,FALSE))</f>
        <v>2.7272727272727313E-2</v>
      </c>
    </row>
    <row r="87" spans="1:10" ht="15.45" thickTop="1" thickBot="1">
      <c r="A87" s="17">
        <v>86</v>
      </c>
      <c r="B87" s="45">
        <f>IF(Xinput_allocation_option=5,VLOOKUP($A87,'S&amp;P 500'!$N:$P,3,FALSE),VLOOKUP($A87,'S&amp;P 500'!$J:$L,3,FALSE))</f>
        <v>6.0955500508012225E-2</v>
      </c>
      <c r="C87" s="45">
        <f>IF(Xinput_allocation_option=5,VLOOKUP($A87,'NAS 100'!$N:$P,3,FALSE),VLOOKUP($A87,'NAS 100'!$J:$L,3,FALSE))</f>
        <v>0.1922218482102504</v>
      </c>
      <c r="D87" s="45">
        <f>IF(Xinput_allocation_option=5,VLOOKUP($A87,'Russel 2000'!$N:$P,3,FALSE),VLOOKUP($A87,'Russel 2000'!$J:$L,3,FALSE))</f>
        <v>-6.291135915543361E-2</v>
      </c>
      <c r="E87" s="45">
        <f>IF(Xinput_allocation_option=5,VLOOKUP($A87,'iBLD Claria'!$N:$P,3,FALSE),VLOOKUP($A87,'iBLD Claria'!$J:$L,3,FALSE))</f>
        <v>0.12319772558045095</v>
      </c>
      <c r="F87" s="45">
        <f>IF(Xinput_allocation_option=5,VLOOKUP($A87,'Bloomberg DBI'!$N:$P,3,FALSE),VLOOKUP($A87,'Bloomberg DBI'!$J:$L,3,FALSE))</f>
        <v>0.15506029544703762</v>
      </c>
      <c r="G87" s="45">
        <f>IF(Xinput_allocation_option=5,VLOOKUP($A87,'PIMCO TBI'!$N:$P,3,FALSE),VLOOKUP($A87,'PIMCO TBI'!$J:$L,3,FALSE))</f>
        <v>4.0611835916731454E-2</v>
      </c>
      <c r="H87" s="45">
        <f>IF(Xinput_allocation_option=5,VLOOKUP($A87,'Bloomberg DBI ER'!$N:$P,3,FALSE),VLOOKUP($A87,'Bloomberg DBI ER'!$J:$L,3,FALSE))</f>
        <v>0.1408233915533314</v>
      </c>
      <c r="I87" s="45">
        <f>IF(Xinput_allocation_option=5,VLOOKUP($A87,'PIMCO TBI ER'!$N:$P,3,FALSE),VLOOKUP($A87,'PIMCO TBI ER'!$J:$L,3,FALSE))</f>
        <v>3.7282163603466256E-2</v>
      </c>
      <c r="J87" s="45">
        <f>IF(Xinput_allocation_option=5,VLOOKUP($A87,'iBLD Claria ER'!$N:$P,3,FALSE),VLOOKUP($A87,'iBLD Claria ER'!$J:$L,3,FALSE))</f>
        <v>5.1541378975007268E-2</v>
      </c>
    </row>
    <row r="88" spans="1:10" ht="15.45" thickTop="1" thickBot="1">
      <c r="A88" s="17">
        <v>87</v>
      </c>
      <c r="B88" s="45">
        <f>IF(Xinput_allocation_option=5,VLOOKUP($A88,'S&amp;P 500'!$N:$P,3,FALSE),VLOOKUP($A88,'S&amp;P 500'!$J:$L,3,FALSE))</f>
        <v>0.30425970504008892</v>
      </c>
      <c r="C88" s="45">
        <f>IF(Xinput_allocation_option=5,VLOOKUP($A88,'NAS 100'!$N:$P,3,FALSE),VLOOKUP($A88,'NAS 100'!$J:$L,3,FALSE))</f>
        <v>0.58417106044846767</v>
      </c>
      <c r="D88" s="45">
        <f>IF(Xinput_allocation_option=5,VLOOKUP($A88,'Russel 2000'!$N:$P,3,FALSE),VLOOKUP($A88,'Russel 2000'!$J:$L,3,FALSE))</f>
        <v>0.45040457026621861</v>
      </c>
      <c r="E88" s="45">
        <f>IF(Xinput_allocation_option=5,VLOOKUP($A88,'iBLD Claria'!$N:$P,3,FALSE),VLOOKUP($A88,'iBLD Claria'!$J:$L,3,FALSE))</f>
        <v>-8.0576146567829826E-2</v>
      </c>
      <c r="F88" s="45">
        <f>IF(Xinput_allocation_option=5,VLOOKUP($A88,'Bloomberg DBI'!$N:$P,3,FALSE),VLOOKUP($A88,'Bloomberg DBI'!$J:$L,3,FALSE))</f>
        <v>4.3805461458172455E-2</v>
      </c>
      <c r="G88" s="45">
        <f>IF(Xinput_allocation_option=5,VLOOKUP($A88,'PIMCO TBI'!$N:$P,3,FALSE),VLOOKUP($A88,'PIMCO TBI'!$J:$L,3,FALSE))</f>
        <v>-0.1444741392862757</v>
      </c>
      <c r="H88" s="45">
        <f>IF(Xinput_allocation_option=5,VLOOKUP($A88,'Bloomberg DBI ER'!$N:$P,3,FALSE),VLOOKUP($A88,'Bloomberg DBI ER'!$J:$L,3,FALSE))</f>
        <v>2.7254877789204764E-2</v>
      </c>
      <c r="I88" s="45">
        <f>IF(Xinput_allocation_option=5,VLOOKUP($A88,'PIMCO TBI ER'!$N:$P,3,FALSE),VLOOKUP($A88,'PIMCO TBI ER'!$J:$L,3,FALSE))</f>
        <v>-0.12806977277943543</v>
      </c>
      <c r="J88" s="45">
        <f>IF(Xinput_allocation_option=5,VLOOKUP($A88,'iBLD Claria ER'!$N:$P,3,FALSE),VLOOKUP($A88,'iBLD Claria ER'!$J:$L,3,FALSE))</f>
        <v>-7.4262461851475087E-2</v>
      </c>
    </row>
    <row r="89" spans="1:10" ht="15.45" thickTop="1" thickBot="1">
      <c r="A89" s="17">
        <v>88</v>
      </c>
      <c r="B89" s="45">
        <f>IF(Xinput_allocation_option=5,VLOOKUP($A89,'S&amp;P 500'!$N:$P,3,FALSE),VLOOKUP($A89,'S&amp;P 500'!$J:$L,3,FALSE))</f>
        <v>-0.65554221761429954</v>
      </c>
      <c r="C89" s="45">
        <f>IF(Xinput_allocation_option=5,VLOOKUP($A89,'NAS 100'!$N:$P,3,FALSE),VLOOKUP($A89,'NAS 100'!$J:$L,3,FALSE))</f>
        <v>-0.82461824783145721</v>
      </c>
      <c r="D89" s="45">
        <f>IF(Xinput_allocation_option=5,VLOOKUP($A89,'Russel 2000'!$N:$P,3,FALSE),VLOOKUP($A89,'Russel 2000'!$J:$L,3,FALSE))</f>
        <v>-0.61546559447090998</v>
      </c>
      <c r="E89" s="45">
        <f>IF(Xinput_allocation_option=5,VLOOKUP($A89,'iBLD Claria'!$N:$P,3,FALSE),VLOOKUP($A89,'iBLD Claria'!$J:$L,3,FALSE))</f>
        <v>-3.1659674882013718E-2</v>
      </c>
      <c r="F89" s="45">
        <f>IF(Xinput_allocation_option=5,VLOOKUP($A89,'Bloomberg DBI'!$N:$P,3,FALSE),VLOOKUP($A89,'Bloomberg DBI'!$J:$L,3,FALSE))</f>
        <v>-0.45102421407850335</v>
      </c>
      <c r="G89" s="45">
        <f>IF(Xinput_allocation_option=5,VLOOKUP($A89,'PIMCO TBI'!$N:$P,3,FALSE),VLOOKUP($A89,'PIMCO TBI'!$J:$L,3,FALSE))</f>
        <v>0.12325431826534354</v>
      </c>
      <c r="H89" s="45">
        <f>IF(Xinput_allocation_option=5,VLOOKUP($A89,'Bloomberg DBI ER'!$N:$P,3,FALSE),VLOOKUP($A89,'Bloomberg DBI ER'!$J:$L,3,FALSE))</f>
        <v>-0.4476399005749413</v>
      </c>
      <c r="I89" s="45">
        <f>IF(Xinput_allocation_option=5,VLOOKUP($A89,'PIMCO TBI ER'!$N:$P,3,FALSE),VLOOKUP($A89,'PIMCO TBI ER'!$J:$L,3,FALSE))</f>
        <v>0.10565938404843392</v>
      </c>
      <c r="J89" s="45">
        <f>IF(Xinput_allocation_option=5,VLOOKUP($A89,'iBLD Claria ER'!$N:$P,3,FALSE),VLOOKUP($A89,'iBLD Claria ER'!$J:$L,3,FALSE))</f>
        <v>2.7272727272727313E-2</v>
      </c>
    </row>
    <row r="90" spans="1:10" ht="15.45" thickTop="1" thickBot="1">
      <c r="A90" s="17">
        <v>89</v>
      </c>
      <c r="B90" s="45">
        <f>IF(Xinput_allocation_option=5,VLOOKUP($A90,'S&amp;P 500'!$N:$P,3,FALSE),VLOOKUP($A90,'S&amp;P 500'!$J:$L,3,FALSE))</f>
        <v>2.8977926674070474E-2</v>
      </c>
      <c r="C90" s="45">
        <f>IF(Xinput_allocation_option=5,VLOOKUP($A90,'NAS 100'!$N:$P,3,FALSE),VLOOKUP($A90,'NAS 100'!$J:$L,3,FALSE))</f>
        <v>0.11574277608897852</v>
      </c>
      <c r="D90" s="45">
        <f>IF(Xinput_allocation_option=5,VLOOKUP($A90,'Russel 2000'!$N:$P,3,FALSE),VLOOKUP($A90,'Russel 2000'!$J:$L,3,FALSE))</f>
        <v>-1.5192191168490705E-2</v>
      </c>
      <c r="E90" s="45">
        <f>IF(Xinput_allocation_option=5,VLOOKUP($A90,'iBLD Claria'!$N:$P,3,FALSE),VLOOKUP($A90,'iBLD Claria'!$J:$L,3,FALSE))</f>
        <v>0.12319772558045095</v>
      </c>
      <c r="F90" s="45">
        <f>IF(Xinput_allocation_option=5,VLOOKUP($A90,'Bloomberg DBI'!$N:$P,3,FALSE),VLOOKUP($A90,'Bloomberg DBI'!$J:$L,3,FALSE))</f>
        <v>4.9631394375468034E-2</v>
      </c>
      <c r="G90" s="45">
        <f>IF(Xinput_allocation_option=5,VLOOKUP($A90,'PIMCO TBI'!$N:$P,3,FALSE),VLOOKUP($A90,'PIMCO TBI'!$J:$L,3,FALSE))</f>
        <v>4.0611835916731454E-2</v>
      </c>
      <c r="H90" s="45">
        <f>IF(Xinput_allocation_option=5,VLOOKUP($A90,'Bloomberg DBI ER'!$N:$P,3,FALSE),VLOOKUP($A90,'Bloomberg DBI ER'!$J:$L,3,FALSE))</f>
        <v>5.9633789624114593E-2</v>
      </c>
      <c r="I90" s="45">
        <f>IF(Xinput_allocation_option=5,VLOOKUP($A90,'PIMCO TBI ER'!$N:$P,3,FALSE),VLOOKUP($A90,'PIMCO TBI ER'!$J:$L,3,FALSE))</f>
        <v>3.7282163603466256E-2</v>
      </c>
      <c r="J90" s="45">
        <f>IF(Xinput_allocation_option=5,VLOOKUP($A90,'iBLD Claria ER'!$N:$P,3,FALSE),VLOOKUP($A90,'iBLD Claria ER'!$J:$L,3,FALSE))</f>
        <v>5.1541378975007268E-2</v>
      </c>
    </row>
    <row r="91" spans="1:10" ht="15.45" thickTop="1" thickBot="1">
      <c r="A91" s="17">
        <v>90</v>
      </c>
      <c r="B91" s="45">
        <f>IF(Xinput_allocation_option=5,VLOOKUP($A91,'S&amp;P 500'!$N:$P,3,FALSE),VLOOKUP($A91,'S&amp;P 500'!$J:$L,3,FALSE))</f>
        <v>0.10910315308742147</v>
      </c>
      <c r="C91" s="45">
        <f>IF(Xinput_allocation_option=5,VLOOKUP($A91,'NAS 100'!$N:$P,3,FALSE),VLOOKUP($A91,'NAS 100'!$J:$L,3,FALSE))</f>
        <v>4.4024236851673539E-2</v>
      </c>
      <c r="D91" s="45">
        <f>IF(Xinput_allocation_option=5,VLOOKUP($A91,'Russel 2000'!$N:$P,3,FALSE),VLOOKUP($A91,'Russel 2000'!$J:$L,3,FALSE))</f>
        <v>0.12352329734993144</v>
      </c>
      <c r="E91" s="45">
        <f>IF(Xinput_allocation_option=5,VLOOKUP($A91,'iBLD Claria'!$N:$P,3,FALSE),VLOOKUP($A91,'iBLD Claria'!$J:$L,3,FALSE))</f>
        <v>-8.0576146567829826E-2</v>
      </c>
      <c r="F91" s="45">
        <f>IF(Xinput_allocation_option=5,VLOOKUP($A91,'Bloomberg DBI'!$N:$P,3,FALSE),VLOOKUP($A91,'Bloomberg DBI'!$J:$L,3,FALSE))</f>
        <v>6.5960116701655941E-2</v>
      </c>
      <c r="G91" s="45">
        <f>IF(Xinput_allocation_option=5,VLOOKUP($A91,'PIMCO TBI'!$N:$P,3,FALSE),VLOOKUP($A91,'PIMCO TBI'!$J:$L,3,FALSE))</f>
        <v>-0.1444741392862757</v>
      </c>
      <c r="H91" s="45">
        <f>IF(Xinput_allocation_option=5,VLOOKUP($A91,'Bloomberg DBI ER'!$N:$P,3,FALSE),VLOOKUP($A91,'Bloomberg DBI ER'!$J:$L,3,FALSE))</f>
        <v>7.3492509994359967E-2</v>
      </c>
      <c r="I91" s="45">
        <f>IF(Xinput_allocation_option=5,VLOOKUP($A91,'PIMCO TBI ER'!$N:$P,3,FALSE),VLOOKUP($A91,'PIMCO TBI ER'!$J:$L,3,FALSE))</f>
        <v>-0.12806977277943543</v>
      </c>
      <c r="J91" s="45">
        <f>IF(Xinput_allocation_option=5,VLOOKUP($A91,'iBLD Claria ER'!$N:$P,3,FALSE),VLOOKUP($A91,'iBLD Claria ER'!$J:$L,3,FALSE))</f>
        <v>-7.4262461851475087E-2</v>
      </c>
    </row>
    <row r="92" spans="1:10" ht="15.45" thickTop="1" thickBot="1">
      <c r="A92" s="17">
        <v>91</v>
      </c>
      <c r="B92" s="45">
        <f>IF(Xinput_allocation_option=5,VLOOKUP($A92,'S&amp;P 500'!$N:$P,3,FALSE),VLOOKUP($A92,'S&amp;P 500'!$J:$L,3,FALSE))</f>
        <v>0.22761895892767869</v>
      </c>
      <c r="C92" s="45">
        <f>IF(Xinput_allocation_option=5,VLOOKUP($A92,'NAS 100'!$N:$P,3,FALSE),VLOOKUP($A92,'NAS 100'!$J:$L,3,FALSE))</f>
        <v>0.34964105219785357</v>
      </c>
      <c r="D92" s="45">
        <f>IF(Xinput_allocation_option=5,VLOOKUP($A92,'Russel 2000'!$N:$P,3,FALSE),VLOOKUP($A92,'Russel 2000'!$J:$L,3,FALSE))</f>
        <v>0.29844919765641681</v>
      </c>
      <c r="E92" s="45">
        <f>IF(Xinput_allocation_option=5,VLOOKUP($A92,'iBLD Claria'!$N:$P,3,FALSE),VLOOKUP($A92,'iBLD Claria'!$J:$L,3,FALSE))</f>
        <v>-3.1659674882013718E-2</v>
      </c>
      <c r="F92" s="45">
        <f>IF(Xinput_allocation_option=5,VLOOKUP($A92,'Bloomberg DBI'!$N:$P,3,FALSE),VLOOKUP($A92,'Bloomberg DBI'!$J:$L,3,FALSE))</f>
        <v>6.807198148919788E-2</v>
      </c>
      <c r="G92" s="45">
        <f>IF(Xinput_allocation_option=5,VLOOKUP($A92,'PIMCO TBI'!$N:$P,3,FALSE),VLOOKUP($A92,'PIMCO TBI'!$J:$L,3,FALSE))</f>
        <v>0.12325431826534354</v>
      </c>
      <c r="H92" s="45">
        <f>IF(Xinput_allocation_option=5,VLOOKUP($A92,'Bloomberg DBI ER'!$N:$P,3,FALSE),VLOOKUP($A92,'Bloomberg DBI ER'!$J:$L,3,FALSE))</f>
        <v>6.8652784680292983E-2</v>
      </c>
      <c r="I92" s="45">
        <f>IF(Xinput_allocation_option=5,VLOOKUP($A92,'PIMCO TBI ER'!$N:$P,3,FALSE),VLOOKUP($A92,'PIMCO TBI ER'!$J:$L,3,FALSE))</f>
        <v>0.10565938404843392</v>
      </c>
      <c r="J92" s="45">
        <f>IF(Xinput_allocation_option=5,VLOOKUP($A92,'iBLD Claria ER'!$N:$P,3,FALSE),VLOOKUP($A92,'iBLD Claria ER'!$J:$L,3,FALSE))</f>
        <v>2.7272727272727313E-2</v>
      </c>
    </row>
    <row r="93" spans="1:10" ht="15.45" thickTop="1" thickBot="1">
      <c r="A93" s="17">
        <v>92</v>
      </c>
      <c r="B93" s="45">
        <f>IF(Xinput_allocation_option=5,VLOOKUP($A93,'S&amp;P 500'!$N:$P,3,FALSE),VLOOKUP($A93,'S&amp;P 500'!$J:$L,3,FALSE))</f>
        <v>0.13178631071420535</v>
      </c>
      <c r="C93" s="45">
        <f>IF(Xinput_allocation_option=5,VLOOKUP($A93,'NAS 100'!$N:$P,3,FALSE),VLOOKUP($A93,'NAS 100'!$J:$L,3,FALSE))</f>
        <v>0.20144741870029306</v>
      </c>
      <c r="D93" s="45">
        <f>IF(Xinput_allocation_option=5,VLOOKUP($A93,'Russel 2000'!$N:$P,3,FALSE),VLOOKUP($A93,'Russel 2000'!$J:$L,3,FALSE))</f>
        <v>4.2551722919959796E-2</v>
      </c>
      <c r="E93" s="45">
        <f>IF(Xinput_allocation_option=5,VLOOKUP($A93,'iBLD Claria'!$N:$P,3,FALSE),VLOOKUP($A93,'iBLD Claria'!$J:$L,3,FALSE))</f>
        <v>0.12319772558045095</v>
      </c>
      <c r="F93" s="45">
        <f>IF(Xinput_allocation_option=5,VLOOKUP($A93,'Bloomberg DBI'!$N:$P,3,FALSE),VLOOKUP($A93,'Bloomberg DBI'!$J:$L,3,FALSE))</f>
        <v>6.3237178764079124E-2</v>
      </c>
      <c r="G93" s="45">
        <f>IF(Xinput_allocation_option=5,VLOOKUP($A93,'PIMCO TBI'!$N:$P,3,FALSE),VLOOKUP($A93,'PIMCO TBI'!$J:$L,3,FALSE))</f>
        <v>4.0611835916731454E-2</v>
      </c>
      <c r="H93" s="45">
        <f>IF(Xinput_allocation_option=5,VLOOKUP($A93,'Bloomberg DBI ER'!$N:$P,3,FALSE),VLOOKUP($A93,'Bloomberg DBI ER'!$J:$L,3,FALSE))</f>
        <v>7.1704873851048082E-2</v>
      </c>
      <c r="I93" s="45">
        <f>IF(Xinput_allocation_option=5,VLOOKUP($A93,'PIMCO TBI ER'!$N:$P,3,FALSE),VLOOKUP($A93,'PIMCO TBI ER'!$J:$L,3,FALSE))</f>
        <v>3.7282163603466256E-2</v>
      </c>
      <c r="J93" s="45">
        <f>IF(Xinput_allocation_option=5,VLOOKUP($A93,'iBLD Claria ER'!$N:$P,3,FALSE),VLOOKUP($A93,'iBLD Claria ER'!$J:$L,3,FALSE))</f>
        <v>5.1541378975007268E-2</v>
      </c>
    </row>
    <row r="94" spans="1:10" ht="15.45" thickTop="1" thickBot="1">
      <c r="A94" s="17">
        <v>93</v>
      </c>
      <c r="B94" s="45">
        <f>IF(Xinput_allocation_option=5,VLOOKUP($A94,'S&amp;P 500'!$N:$P,3,FALSE),VLOOKUP($A94,'S&amp;P 500'!$J:$L,3,FALSE))</f>
        <v>-8.1857933000712729E-2</v>
      </c>
      <c r="C94" s="45">
        <f>IF(Xinput_allocation_option=5,VLOOKUP($A94,'NAS 100'!$N:$P,3,FALSE),VLOOKUP($A94,'NAS 100'!$J:$L,3,FALSE))</f>
        <v>-5.3944519454873288E-2</v>
      </c>
      <c r="D94" s="45">
        <f>IF(Xinput_allocation_option=5,VLOOKUP($A94,'Russel 2000'!$N:$P,3,FALSE),VLOOKUP($A94,'Russel 2000'!$J:$L,3,FALSE))</f>
        <v>-0.16172760145669021</v>
      </c>
      <c r="E94" s="45">
        <f>IF(Xinput_allocation_option=5,VLOOKUP($A94,'iBLD Claria'!$N:$P,3,FALSE),VLOOKUP($A94,'iBLD Claria'!$J:$L,3,FALSE))</f>
        <v>-8.0576146567829826E-2</v>
      </c>
      <c r="F94" s="45">
        <f>IF(Xinput_allocation_option=5,VLOOKUP($A94,'Bloomberg DBI'!$N:$P,3,FALSE),VLOOKUP($A94,'Bloomberg DBI'!$J:$L,3,FALSE))</f>
        <v>-3.046724551155407E-2</v>
      </c>
      <c r="G94" s="45">
        <f>IF(Xinput_allocation_option=5,VLOOKUP($A94,'PIMCO TBI'!$N:$P,3,FALSE),VLOOKUP($A94,'PIMCO TBI'!$J:$L,3,FALSE))</f>
        <v>-0.1444741392862757</v>
      </c>
      <c r="H94" s="45">
        <f>IF(Xinput_allocation_option=5,VLOOKUP($A94,'Bloomberg DBI ER'!$N:$P,3,FALSE),VLOOKUP($A94,'Bloomberg DBI ER'!$J:$L,3,FALSE))</f>
        <v>-3.1721933218501211E-2</v>
      </c>
      <c r="I94" s="45">
        <f>IF(Xinput_allocation_option=5,VLOOKUP($A94,'PIMCO TBI ER'!$N:$P,3,FALSE),VLOOKUP($A94,'PIMCO TBI ER'!$J:$L,3,FALSE))</f>
        <v>-0.12806977277943543</v>
      </c>
      <c r="J94" s="45">
        <f>IF(Xinput_allocation_option=5,VLOOKUP($A94,'iBLD Claria ER'!$N:$P,3,FALSE),VLOOKUP($A94,'iBLD Claria ER'!$J:$L,3,FALSE))</f>
        <v>-7.4262461851475087E-2</v>
      </c>
    </row>
    <row r="95" spans="1:10" ht="15.45" thickTop="1" thickBot="1">
      <c r="A95" s="17">
        <v>94</v>
      </c>
      <c r="B95" s="45">
        <f>IF(Xinput_allocation_option=5,VLOOKUP($A95,'S&amp;P 500'!$N:$P,3,FALSE),VLOOKUP($A95,'S&amp;P 500'!$J:$L,3,FALSE))</f>
        <v>0.2232704789105901</v>
      </c>
      <c r="C95" s="45">
        <f>IF(Xinput_allocation_option=5,VLOOKUP($A95,'NAS 100'!$N:$P,3,FALSE),VLOOKUP($A95,'NAS 100'!$J:$L,3,FALSE))</f>
        <v>0.26878306512367683</v>
      </c>
      <c r="D95" s="45">
        <f>IF(Xinput_allocation_option=5,VLOOKUP($A95,'Russel 2000'!$N:$P,3,FALSE),VLOOKUP($A95,'Russel 2000'!$J:$L,3,FALSE))</f>
        <v>0.34121290435331286</v>
      </c>
      <c r="E95" s="45">
        <f>IF(Xinput_allocation_option=5,VLOOKUP($A95,'iBLD Claria'!$N:$P,3,FALSE),VLOOKUP($A95,'iBLD Claria'!$J:$L,3,FALSE))</f>
        <v>-3.1659674882013718E-2</v>
      </c>
      <c r="F95" s="45">
        <f>IF(Xinput_allocation_option=5,VLOOKUP($A95,'Bloomberg DBI'!$N:$P,3,FALSE),VLOOKUP($A95,'Bloomberg DBI'!$J:$L,3,FALSE))</f>
        <v>6.5569036319059262E-2</v>
      </c>
      <c r="G95" s="45">
        <f>IF(Xinput_allocation_option=5,VLOOKUP($A95,'PIMCO TBI'!$N:$P,3,FALSE),VLOOKUP($A95,'PIMCO TBI'!$J:$L,3,FALSE))</f>
        <v>0.12325431826534354</v>
      </c>
      <c r="H95" s="45">
        <f>IF(Xinput_allocation_option=5,VLOOKUP($A95,'Bloomberg DBI ER'!$N:$P,3,FALSE),VLOOKUP($A95,'Bloomberg DBI ER'!$J:$L,3,FALSE))</f>
        <v>7.194968748361126E-2</v>
      </c>
      <c r="I95" s="45">
        <f>IF(Xinput_allocation_option=5,VLOOKUP($A95,'PIMCO TBI ER'!$N:$P,3,FALSE),VLOOKUP($A95,'PIMCO TBI ER'!$J:$L,3,FALSE))</f>
        <v>0.10565938404843392</v>
      </c>
      <c r="J95" s="45">
        <f>IF(Xinput_allocation_option=5,VLOOKUP($A95,'iBLD Claria ER'!$N:$P,3,FALSE),VLOOKUP($A95,'iBLD Claria ER'!$J:$L,3,FALSE))</f>
        <v>2.7272727272727313E-2</v>
      </c>
    </row>
    <row r="96" spans="1:10" ht="15.45" thickTop="1" thickBot="1">
      <c r="A96" s="17">
        <v>95</v>
      </c>
      <c r="B96" s="45">
        <f>IF(Xinput_allocation_option=5,VLOOKUP($A96,'S&amp;P 500'!$N:$P,3,FALSE),VLOOKUP($A96,'S&amp;P 500'!$J:$L,3,FALSE))</f>
        <v>0.14815716473439972</v>
      </c>
      <c r="C96" s="45">
        <f>IF(Xinput_allocation_option=5,VLOOKUP($A96,'NAS 100'!$N:$P,3,FALSE),VLOOKUP($A96,'NAS 100'!$J:$L,3,FALSE))</f>
        <v>0.28593268423974799</v>
      </c>
      <c r="D96" s="45">
        <f>IF(Xinput_allocation_option=5,VLOOKUP($A96,'Russel 2000'!$N:$P,3,FALSE),VLOOKUP($A96,'Russel 2000'!$J:$L,3,FALSE))</f>
        <v>9.0698569318283517E-2</v>
      </c>
      <c r="E96" s="45">
        <f>IF(Xinput_allocation_option=5,VLOOKUP($A96,'iBLD Claria'!$N:$P,3,FALSE),VLOOKUP($A96,'iBLD Claria'!$J:$L,3,FALSE))</f>
        <v>0.12319772558045095</v>
      </c>
      <c r="F96" s="45">
        <f>IF(Xinput_allocation_option=5,VLOOKUP($A96,'Bloomberg DBI'!$N:$P,3,FALSE),VLOOKUP($A96,'Bloomberg DBI'!$J:$L,3,FALSE))</f>
        <v>0.17408240841116446</v>
      </c>
      <c r="G96" s="45">
        <f>IF(Xinput_allocation_option=5,VLOOKUP($A96,'PIMCO TBI'!$N:$P,3,FALSE),VLOOKUP($A96,'PIMCO TBI'!$J:$L,3,FALSE))</f>
        <v>4.0611835916731454E-2</v>
      </c>
      <c r="H96" s="45">
        <f>IF(Xinput_allocation_option=5,VLOOKUP($A96,'Bloomberg DBI ER'!$N:$P,3,FALSE),VLOOKUP($A96,'Bloomberg DBI ER'!$J:$L,3,FALSE))</f>
        <v>0.17857724619076987</v>
      </c>
      <c r="I96" s="45">
        <f>IF(Xinput_allocation_option=5,VLOOKUP($A96,'PIMCO TBI ER'!$N:$P,3,FALSE),VLOOKUP($A96,'PIMCO TBI ER'!$J:$L,3,FALSE))</f>
        <v>3.7282163603466256E-2</v>
      </c>
      <c r="J96" s="45">
        <f>IF(Xinput_allocation_option=5,VLOOKUP($A96,'iBLD Claria ER'!$N:$P,3,FALSE),VLOOKUP($A96,'iBLD Claria ER'!$J:$L,3,FALSE))</f>
        <v>5.1541378975007268E-2</v>
      </c>
    </row>
    <row r="97" spans="1:10" ht="15.45" thickTop="1" thickBot="1">
      <c r="A97" s="17">
        <v>96</v>
      </c>
      <c r="B97" s="45">
        <f>IF(Xinput_allocation_option=5,VLOOKUP($A97,'S&amp;P 500'!$N:$P,3,FALSE),VLOOKUP($A97,'S&amp;P 500'!$J:$L,3,FALSE))</f>
        <v>2.603696987988062E-2</v>
      </c>
      <c r="C97" s="45">
        <f>IF(Xinput_allocation_option=5,VLOOKUP($A97,'NAS 100'!$N:$P,3,FALSE),VLOOKUP($A97,'NAS 100'!$J:$L,3,FALSE))</f>
        <v>3.5467605686035131E-2</v>
      </c>
      <c r="D97" s="45">
        <f>IF(Xinput_allocation_option=5,VLOOKUP($A97,'Russel 2000'!$N:$P,3,FALSE),VLOOKUP($A97,'Russel 2000'!$J:$L,3,FALSE))</f>
        <v>4.1720453598004636E-2</v>
      </c>
      <c r="E97" s="45">
        <f>IF(Xinput_allocation_option=5,VLOOKUP($A97,'iBLD Claria'!$N:$P,3,FALSE),VLOOKUP($A97,'iBLD Claria'!$J:$L,3,FALSE))</f>
        <v>-8.0576146567829826E-2</v>
      </c>
      <c r="F97" s="45">
        <f>IF(Xinput_allocation_option=5,VLOOKUP($A97,'Bloomberg DBI'!$N:$P,3,FALSE),VLOOKUP($A97,'Bloomberg DBI'!$J:$L,3,FALSE))</f>
        <v>-1.9671819185666482E-2</v>
      </c>
      <c r="G97" s="45">
        <f>IF(Xinput_allocation_option=5,VLOOKUP($A97,'PIMCO TBI'!$N:$P,3,FALSE),VLOOKUP($A97,'PIMCO TBI'!$J:$L,3,FALSE))</f>
        <v>-0.1444741392862757</v>
      </c>
      <c r="H97" s="45">
        <f>IF(Xinput_allocation_option=5,VLOOKUP($A97,'Bloomberg DBI ER'!$N:$P,3,FALSE),VLOOKUP($A97,'Bloomberg DBI ER'!$J:$L,3,FALSE))</f>
        <v>-3.0647180525431517E-2</v>
      </c>
      <c r="I97" s="45">
        <f>IF(Xinput_allocation_option=5,VLOOKUP($A97,'PIMCO TBI ER'!$N:$P,3,FALSE),VLOOKUP($A97,'PIMCO TBI ER'!$J:$L,3,FALSE))</f>
        <v>-0.12806977277943543</v>
      </c>
      <c r="J97" s="45">
        <f>IF(Xinput_allocation_option=5,VLOOKUP($A97,'iBLD Claria ER'!$N:$P,3,FALSE),VLOOKUP($A97,'iBLD Claria ER'!$J:$L,3,FALSE))</f>
        <v>-7.4262461851475087E-2</v>
      </c>
    </row>
    <row r="98" spans="1:10" ht="15.45" thickTop="1" thickBot="1">
      <c r="A98" s="17">
        <v>97</v>
      </c>
      <c r="B98" s="45">
        <f>IF(Xinput_allocation_option=5,VLOOKUP($A98,'S&amp;P 500'!$N:$P,3,FALSE),VLOOKUP($A98,'S&amp;P 500'!$J:$L,3,FALSE))</f>
        <v>6.0955500508012225E-2</v>
      </c>
      <c r="C98" s="45">
        <f>IF(Xinput_allocation_option=5,VLOOKUP($A98,'NAS 100'!$N:$P,3,FALSE),VLOOKUP($A98,'NAS 100'!$J:$L,3,FALSE))</f>
        <v>0.1922218482102504</v>
      </c>
      <c r="D98" s="45">
        <f>IF(Xinput_allocation_option=5,VLOOKUP($A98,'Russel 2000'!$N:$P,3,FALSE),VLOOKUP($A98,'Russel 2000'!$J:$L,3,FALSE))</f>
        <v>-6.291135915543361E-2</v>
      </c>
      <c r="E98" s="45">
        <f>IF(Xinput_allocation_option=5,VLOOKUP($A98,'iBLD Claria'!$N:$P,3,FALSE),VLOOKUP($A98,'iBLD Claria'!$J:$L,3,FALSE))</f>
        <v>-3.1659674882013718E-2</v>
      </c>
      <c r="F98" s="45">
        <f>IF(Xinput_allocation_option=5,VLOOKUP($A98,'Bloomberg DBI'!$N:$P,3,FALSE),VLOOKUP($A98,'Bloomberg DBI'!$J:$L,3,FALSE))</f>
        <v>0.15506029544703762</v>
      </c>
      <c r="G98" s="45">
        <f>IF(Xinput_allocation_option=5,VLOOKUP($A98,'PIMCO TBI'!$N:$P,3,FALSE),VLOOKUP($A98,'PIMCO TBI'!$J:$L,3,FALSE))</f>
        <v>0.12325431826534354</v>
      </c>
      <c r="H98" s="45">
        <f>IF(Xinput_allocation_option=5,VLOOKUP($A98,'Bloomberg DBI ER'!$N:$P,3,FALSE),VLOOKUP($A98,'Bloomberg DBI ER'!$J:$L,3,FALSE))</f>
        <v>0.1408233915533314</v>
      </c>
      <c r="I98" s="45">
        <f>IF(Xinput_allocation_option=5,VLOOKUP($A98,'PIMCO TBI ER'!$N:$P,3,FALSE),VLOOKUP($A98,'PIMCO TBI ER'!$J:$L,3,FALSE))</f>
        <v>0.10565938404843392</v>
      </c>
      <c r="J98" s="45">
        <f>IF(Xinput_allocation_option=5,VLOOKUP($A98,'iBLD Claria ER'!$N:$P,3,FALSE),VLOOKUP($A98,'iBLD Claria ER'!$J:$L,3,FALSE))</f>
        <v>2.7272727272727313E-2</v>
      </c>
    </row>
    <row r="99" spans="1:10" ht="15.45" thickTop="1" thickBot="1">
      <c r="A99" s="17">
        <v>98</v>
      </c>
      <c r="B99" s="45">
        <f>IF(Xinput_allocation_option=5,VLOOKUP($A99,'S&amp;P 500'!$N:$P,3,FALSE),VLOOKUP($A99,'S&amp;P 500'!$J:$L,3,FALSE))</f>
        <v>0.30425970504008892</v>
      </c>
      <c r="C99" s="45">
        <f>IF(Xinput_allocation_option=5,VLOOKUP($A99,'NAS 100'!$N:$P,3,FALSE),VLOOKUP($A99,'NAS 100'!$J:$L,3,FALSE))</f>
        <v>0.58417106044846767</v>
      </c>
      <c r="D99" s="45">
        <f>IF(Xinput_allocation_option=5,VLOOKUP($A99,'Russel 2000'!$N:$P,3,FALSE),VLOOKUP($A99,'Russel 2000'!$J:$L,3,FALSE))</f>
        <v>0.45040457026621861</v>
      </c>
      <c r="E99" s="45">
        <f>IF(Xinput_allocation_option=5,VLOOKUP($A99,'iBLD Claria'!$N:$P,3,FALSE),VLOOKUP($A99,'iBLD Claria'!$J:$L,3,FALSE))</f>
        <v>0.12319772558045095</v>
      </c>
      <c r="F99" s="45">
        <f>IF(Xinput_allocation_option=5,VLOOKUP($A99,'Bloomberg DBI'!$N:$P,3,FALSE),VLOOKUP($A99,'Bloomberg DBI'!$J:$L,3,FALSE))</f>
        <v>4.3805461458172455E-2</v>
      </c>
      <c r="G99" s="45">
        <f>IF(Xinput_allocation_option=5,VLOOKUP($A99,'PIMCO TBI'!$N:$P,3,FALSE),VLOOKUP($A99,'PIMCO TBI'!$J:$L,3,FALSE))</f>
        <v>4.0611835916731454E-2</v>
      </c>
      <c r="H99" s="45">
        <f>IF(Xinput_allocation_option=5,VLOOKUP($A99,'Bloomberg DBI ER'!$N:$P,3,FALSE),VLOOKUP($A99,'Bloomberg DBI ER'!$J:$L,3,FALSE))</f>
        <v>2.7254877789204764E-2</v>
      </c>
      <c r="I99" s="45">
        <f>IF(Xinput_allocation_option=5,VLOOKUP($A99,'PIMCO TBI ER'!$N:$P,3,FALSE),VLOOKUP($A99,'PIMCO TBI ER'!$J:$L,3,FALSE))</f>
        <v>3.7282163603466256E-2</v>
      </c>
      <c r="J99" s="45">
        <f>IF(Xinput_allocation_option=5,VLOOKUP($A99,'iBLD Claria ER'!$N:$P,3,FALSE),VLOOKUP($A99,'iBLD Claria ER'!$J:$L,3,FALSE))</f>
        <v>5.1541378975007268E-2</v>
      </c>
    </row>
    <row r="100" spans="1:10" ht="15.45" thickTop="1" thickBot="1">
      <c r="A100" s="17">
        <v>99</v>
      </c>
      <c r="B100" s="45">
        <f>IF(Xinput_allocation_option=5,VLOOKUP($A100,'S&amp;P 500'!$N:$P,3,FALSE),VLOOKUP($A100,'S&amp;P 500'!$J:$L,3,FALSE))</f>
        <v>-0.65554221761429954</v>
      </c>
      <c r="C100" s="45">
        <f>IF(Xinput_allocation_option=5,VLOOKUP($A100,'NAS 100'!$N:$P,3,FALSE),VLOOKUP($A100,'NAS 100'!$J:$L,3,FALSE))</f>
        <v>-0.82461824783145721</v>
      </c>
      <c r="D100" s="45">
        <f>IF(Xinput_allocation_option=5,VLOOKUP($A100,'Russel 2000'!$N:$P,3,FALSE),VLOOKUP($A100,'Russel 2000'!$J:$L,3,FALSE))</f>
        <v>-0.61546559447090998</v>
      </c>
      <c r="E100" s="45">
        <f>IF(Xinput_allocation_option=5,VLOOKUP($A100,'iBLD Claria'!$N:$P,3,FALSE),VLOOKUP($A100,'iBLD Claria'!$J:$L,3,FALSE))</f>
        <v>-8.0576146567829826E-2</v>
      </c>
      <c r="F100" s="45">
        <f>IF(Xinput_allocation_option=5,VLOOKUP($A100,'Bloomberg DBI'!$N:$P,3,FALSE),VLOOKUP($A100,'Bloomberg DBI'!$J:$L,3,FALSE))</f>
        <v>-0.45102421407850335</v>
      </c>
      <c r="G100" s="45">
        <f>IF(Xinput_allocation_option=5,VLOOKUP($A100,'PIMCO TBI'!$N:$P,3,FALSE),VLOOKUP($A100,'PIMCO TBI'!$J:$L,3,FALSE))</f>
        <v>-0.1444741392862757</v>
      </c>
      <c r="H100" s="45">
        <f>IF(Xinput_allocation_option=5,VLOOKUP($A100,'Bloomberg DBI ER'!$N:$P,3,FALSE),VLOOKUP($A100,'Bloomberg DBI ER'!$J:$L,3,FALSE))</f>
        <v>-0.4476399005749413</v>
      </c>
      <c r="I100" s="45">
        <f>IF(Xinput_allocation_option=5,VLOOKUP($A100,'PIMCO TBI ER'!$N:$P,3,FALSE),VLOOKUP($A100,'PIMCO TBI ER'!$J:$L,3,FALSE))</f>
        <v>-0.12806977277943543</v>
      </c>
      <c r="J100" s="45">
        <f>IF(Xinput_allocation_option=5,VLOOKUP($A100,'iBLD Claria ER'!$N:$P,3,FALSE),VLOOKUP($A100,'iBLD Claria ER'!$J:$L,3,FALSE))</f>
        <v>-7.4262461851475087E-2</v>
      </c>
    </row>
    <row r="101" spans="1:10" ht="15.45" thickTop="1" thickBot="1">
      <c r="A101" s="17">
        <v>100</v>
      </c>
      <c r="B101" s="45">
        <f>IF(Xinput_allocation_option=5,VLOOKUP($A101,'S&amp;P 500'!$N:$P,3,FALSE),VLOOKUP($A101,'S&amp;P 500'!$J:$L,3,FALSE))</f>
        <v>2.8977926674070474E-2</v>
      </c>
      <c r="C101" s="45">
        <f>IF(Xinput_allocation_option=5,VLOOKUP($A101,'NAS 100'!$N:$P,3,FALSE),VLOOKUP($A101,'NAS 100'!$J:$L,3,FALSE))</f>
        <v>0.11574277608897852</v>
      </c>
      <c r="D101" s="45">
        <f>IF(Xinput_allocation_option=5,VLOOKUP($A101,'Russel 2000'!$N:$P,3,FALSE),VLOOKUP($A101,'Russel 2000'!$J:$L,3,FALSE))</f>
        <v>-1.5192191168490705E-2</v>
      </c>
      <c r="E101" s="45">
        <f>IF(Xinput_allocation_option=5,VLOOKUP($A101,'iBLD Claria'!$N:$P,3,FALSE),VLOOKUP($A101,'iBLD Claria'!$J:$L,3,FALSE))</f>
        <v>-3.1659674882013718E-2</v>
      </c>
      <c r="F101" s="45">
        <f>IF(Xinput_allocation_option=5,VLOOKUP($A101,'Bloomberg DBI'!$N:$P,3,FALSE),VLOOKUP($A101,'Bloomberg DBI'!$J:$L,3,FALSE))</f>
        <v>4.9631394375468034E-2</v>
      </c>
      <c r="G101" s="45">
        <f>IF(Xinput_allocation_option=5,VLOOKUP($A101,'PIMCO TBI'!$N:$P,3,FALSE),VLOOKUP($A101,'PIMCO TBI'!$J:$L,3,FALSE))</f>
        <v>0.12325431826534354</v>
      </c>
      <c r="H101" s="45">
        <f>IF(Xinput_allocation_option=5,VLOOKUP($A101,'Bloomberg DBI ER'!$N:$P,3,FALSE),VLOOKUP($A101,'Bloomberg DBI ER'!$J:$L,3,FALSE))</f>
        <v>5.9633789624114593E-2</v>
      </c>
      <c r="I101" s="45">
        <f>IF(Xinput_allocation_option=5,VLOOKUP($A101,'PIMCO TBI ER'!$N:$P,3,FALSE),VLOOKUP($A101,'PIMCO TBI ER'!$J:$L,3,FALSE))</f>
        <v>0.10565938404843392</v>
      </c>
      <c r="J101" s="45">
        <f>IF(Xinput_allocation_option=5,VLOOKUP($A101,'iBLD Claria ER'!$N:$P,3,FALSE),VLOOKUP($A101,'iBLD Claria ER'!$J:$L,3,FALSE))</f>
        <v>2.7272727272727313E-2</v>
      </c>
    </row>
    <row r="102" spans="1:10" ht="15.45" thickTop="1" thickBot="1">
      <c r="A102" s="17">
        <v>101</v>
      </c>
      <c r="B102" s="45">
        <f>IF(Xinput_allocation_option=5,VLOOKUP($A102,'S&amp;P 500'!$N:$P,3,FALSE),VLOOKUP($A102,'S&amp;P 500'!$J:$L,3,FALSE))</f>
        <v>0.10910315308742147</v>
      </c>
      <c r="C102" s="45">
        <f>IF(Xinput_allocation_option=5,VLOOKUP($A102,'NAS 100'!$N:$P,3,FALSE),VLOOKUP($A102,'NAS 100'!$J:$L,3,FALSE))</f>
        <v>4.4024236851673539E-2</v>
      </c>
      <c r="D102" s="45">
        <f>IF(Xinput_allocation_option=5,VLOOKUP($A102,'Russel 2000'!$N:$P,3,FALSE),VLOOKUP($A102,'Russel 2000'!$J:$L,3,FALSE))</f>
        <v>0.12352329734993144</v>
      </c>
      <c r="E102" s="45">
        <f>IF(Xinput_allocation_option=5,VLOOKUP($A102,'iBLD Claria'!$N:$P,3,FALSE),VLOOKUP($A102,'iBLD Claria'!$J:$L,3,FALSE))</f>
        <v>0.12319772558045095</v>
      </c>
      <c r="F102" s="45">
        <f>IF(Xinput_allocation_option=5,VLOOKUP($A102,'Bloomberg DBI'!$N:$P,3,FALSE),VLOOKUP($A102,'Bloomberg DBI'!$J:$L,3,FALSE))</f>
        <v>6.5960116701655941E-2</v>
      </c>
      <c r="G102" s="45">
        <f>IF(Xinput_allocation_option=5,VLOOKUP($A102,'PIMCO TBI'!$N:$P,3,FALSE),VLOOKUP($A102,'PIMCO TBI'!$J:$L,3,FALSE))</f>
        <v>4.0611835916731454E-2</v>
      </c>
      <c r="H102" s="45">
        <f>IF(Xinput_allocation_option=5,VLOOKUP($A102,'Bloomberg DBI ER'!$N:$P,3,FALSE),VLOOKUP($A102,'Bloomberg DBI ER'!$J:$L,3,FALSE))</f>
        <v>7.3492509994359967E-2</v>
      </c>
      <c r="I102" s="45">
        <f>IF(Xinput_allocation_option=5,VLOOKUP($A102,'PIMCO TBI ER'!$N:$P,3,FALSE),VLOOKUP($A102,'PIMCO TBI ER'!$J:$L,3,FALSE))</f>
        <v>3.7282163603466256E-2</v>
      </c>
      <c r="J102" s="45">
        <f>IF(Xinput_allocation_option=5,VLOOKUP($A102,'iBLD Claria ER'!$N:$P,3,FALSE),VLOOKUP($A102,'iBLD Claria ER'!$J:$L,3,FALSE))</f>
        <v>5.1541378975007268E-2</v>
      </c>
    </row>
    <row r="103" spans="1:10" ht="15.45" thickTop="1" thickBot="1">
      <c r="A103" s="17">
        <v>102</v>
      </c>
      <c r="B103" s="45">
        <f>IF(Xinput_allocation_option=5,VLOOKUP($A103,'S&amp;P 500'!$N:$P,3,FALSE),VLOOKUP($A103,'S&amp;P 500'!$J:$L,3,FALSE))</f>
        <v>0.22761895892767869</v>
      </c>
      <c r="C103" s="45">
        <f>IF(Xinput_allocation_option=5,VLOOKUP($A103,'NAS 100'!$N:$P,3,FALSE),VLOOKUP($A103,'NAS 100'!$J:$L,3,FALSE))</f>
        <v>0.34964105219785357</v>
      </c>
      <c r="D103" s="45">
        <f>IF(Xinput_allocation_option=5,VLOOKUP($A103,'Russel 2000'!$N:$P,3,FALSE),VLOOKUP($A103,'Russel 2000'!$J:$L,3,FALSE))</f>
        <v>0.29844919765641681</v>
      </c>
      <c r="E103" s="45">
        <f>IF(Xinput_allocation_option=5,VLOOKUP($A103,'iBLD Claria'!$N:$P,3,FALSE),VLOOKUP($A103,'iBLD Claria'!$J:$L,3,FALSE))</f>
        <v>-8.0576146567829826E-2</v>
      </c>
      <c r="F103" s="45">
        <f>IF(Xinput_allocation_option=5,VLOOKUP($A103,'Bloomberg DBI'!$N:$P,3,FALSE),VLOOKUP($A103,'Bloomberg DBI'!$J:$L,3,FALSE))</f>
        <v>6.807198148919788E-2</v>
      </c>
      <c r="G103" s="45">
        <f>IF(Xinput_allocation_option=5,VLOOKUP($A103,'PIMCO TBI'!$N:$P,3,FALSE),VLOOKUP($A103,'PIMCO TBI'!$J:$L,3,FALSE))</f>
        <v>-0.1444741392862757</v>
      </c>
      <c r="H103" s="45">
        <f>IF(Xinput_allocation_option=5,VLOOKUP($A103,'Bloomberg DBI ER'!$N:$P,3,FALSE),VLOOKUP($A103,'Bloomberg DBI ER'!$J:$L,3,FALSE))</f>
        <v>6.8652784680292983E-2</v>
      </c>
      <c r="I103" s="45">
        <f>IF(Xinput_allocation_option=5,VLOOKUP($A103,'PIMCO TBI ER'!$N:$P,3,FALSE),VLOOKUP($A103,'PIMCO TBI ER'!$J:$L,3,FALSE))</f>
        <v>-0.12806977277943543</v>
      </c>
      <c r="J103" s="45">
        <f>IF(Xinput_allocation_option=5,VLOOKUP($A103,'iBLD Claria ER'!$N:$P,3,FALSE),VLOOKUP($A103,'iBLD Claria ER'!$J:$L,3,FALSE))</f>
        <v>-7.4262461851475087E-2</v>
      </c>
    </row>
    <row r="104" spans="1:10" ht="15" thickTop="1"/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13D03-7C70-48F6-9C1A-372672693AC1}">
  <sheetPr codeName="Sheet19"/>
  <dimension ref="A1:P1120"/>
  <sheetViews>
    <sheetView zoomScale="130" zoomScaleNormal="130" workbookViewId="0">
      <selection activeCell="L2" sqref="L2"/>
    </sheetView>
  </sheetViews>
  <sheetFormatPr defaultColWidth="8.69140625" defaultRowHeight="14.6"/>
  <cols>
    <col min="2" max="2" width="10.3046875" bestFit="1" customWidth="1"/>
    <col min="5" max="5" width="11.3828125" bestFit="1" customWidth="1"/>
    <col min="6" max="6" width="9.69140625" bestFit="1" customWidth="1"/>
    <col min="7" max="7" width="10.3046875" bestFit="1" customWidth="1"/>
    <col min="9" max="9" width="12.3046875" bestFit="1" customWidth="1"/>
    <col min="10" max="10" width="10.3046875" bestFit="1" customWidth="1"/>
  </cols>
  <sheetData>
    <row r="1" spans="1:16">
      <c r="A1" t="s">
        <v>102</v>
      </c>
      <c r="B1" t="s">
        <v>103</v>
      </c>
      <c r="C1" t="s">
        <v>104</v>
      </c>
      <c r="E1" t="s">
        <v>105</v>
      </c>
      <c r="F1" t="s">
        <v>102</v>
      </c>
      <c r="G1" t="s">
        <v>103</v>
      </c>
      <c r="H1" t="s">
        <v>104</v>
      </c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1:16">
      <c r="A2">
        <v>1</v>
      </c>
      <c r="B2" s="30">
        <v>10197</v>
      </c>
      <c r="C2">
        <v>17.66</v>
      </c>
      <c r="E2">
        <v>10</v>
      </c>
      <c r="F2" s="43">
        <f t="shared" ref="F2:F11" si="0">F3-12</f>
        <v>999</v>
      </c>
      <c r="G2" s="30">
        <f t="shared" ref="G2:G12" si="1">VLOOKUP(F2,A:C,2,FALSE)</f>
        <v>40575</v>
      </c>
      <c r="H2">
        <f t="shared" ref="H2:H12" si="2">VLOOKUP(F2,A:C,3,FALSE)</f>
        <v>1327.219971</v>
      </c>
      <c r="I2" s="30"/>
      <c r="J2">
        <v>1</v>
      </c>
      <c r="K2">
        <f>H2</f>
        <v>1327.219971</v>
      </c>
      <c r="L2" s="59">
        <f>(K3-K2)/K2</f>
        <v>2.8977926674070474E-2</v>
      </c>
      <c r="N2">
        <v>1</v>
      </c>
      <c r="O2">
        <f>K2</f>
        <v>1327.219971</v>
      </c>
      <c r="P2">
        <f>0</f>
        <v>0</v>
      </c>
    </row>
    <row r="3" spans="1:16">
      <c r="A3">
        <f t="shared" ref="A3:A34" si="3">A2+1</f>
        <v>2</v>
      </c>
      <c r="B3" s="30">
        <v>10228</v>
      </c>
      <c r="C3">
        <v>17.57</v>
      </c>
      <c r="E3">
        <v>9</v>
      </c>
      <c r="F3" s="43">
        <f t="shared" si="0"/>
        <v>1011</v>
      </c>
      <c r="G3" s="30">
        <f t="shared" si="1"/>
        <v>40940</v>
      </c>
      <c r="H3">
        <f t="shared" si="2"/>
        <v>1365.6800539999999</v>
      </c>
      <c r="I3" s="30"/>
      <c r="J3">
        <v>2</v>
      </c>
      <c r="K3">
        <f>H3</f>
        <v>1365.6800539999999</v>
      </c>
      <c r="L3" s="59">
        <f>(K4-K3)/K3</f>
        <v>0.10910315308742147</v>
      </c>
      <c r="N3">
        <v>2</v>
      </c>
      <c r="O3">
        <f t="shared" ref="O3:O66" si="4">K3</f>
        <v>1365.6800539999999</v>
      </c>
      <c r="P3">
        <f>(O4-O2)/O2</f>
        <v>0.14124266293156912</v>
      </c>
    </row>
    <row r="4" spans="1:16">
      <c r="A4">
        <f t="shared" si="3"/>
        <v>3</v>
      </c>
      <c r="B4" s="30">
        <v>10259</v>
      </c>
      <c r="C4">
        <v>17.260000000000002</v>
      </c>
      <c r="E4">
        <v>8</v>
      </c>
      <c r="F4" s="43">
        <f t="shared" si="0"/>
        <v>1023</v>
      </c>
      <c r="G4" s="30">
        <f t="shared" si="1"/>
        <v>41306</v>
      </c>
      <c r="H4">
        <f t="shared" si="2"/>
        <v>1514.6800539999999</v>
      </c>
      <c r="I4" s="30"/>
      <c r="J4">
        <v>3</v>
      </c>
      <c r="K4">
        <f t="shared" ref="K4:K12" si="5">H4</f>
        <v>1514.6800539999999</v>
      </c>
      <c r="L4" s="59">
        <f t="shared" ref="L4:L7" si="6">(K5-K4)/K4</f>
        <v>0.22761895892767869</v>
      </c>
      <c r="N4">
        <v>3</v>
      </c>
      <c r="O4">
        <f t="shared" si="4"/>
        <v>1514.6800539999999</v>
      </c>
      <c r="P4">
        <f>0</f>
        <v>0</v>
      </c>
    </row>
    <row r="5" spans="1:16">
      <c r="A5">
        <f t="shared" si="3"/>
        <v>4</v>
      </c>
      <c r="B5" s="30">
        <v>10288</v>
      </c>
      <c r="C5">
        <v>19.280000999999999</v>
      </c>
      <c r="E5">
        <v>7</v>
      </c>
      <c r="F5" s="43">
        <f t="shared" si="0"/>
        <v>1035</v>
      </c>
      <c r="G5" s="30">
        <f t="shared" si="1"/>
        <v>41671</v>
      </c>
      <c r="H5">
        <f t="shared" si="2"/>
        <v>1859.4499510000001</v>
      </c>
      <c r="I5" s="30"/>
      <c r="J5">
        <v>4</v>
      </c>
      <c r="K5">
        <f t="shared" si="5"/>
        <v>1859.4499510000001</v>
      </c>
      <c r="L5" s="59">
        <f t="shared" si="6"/>
        <v>0.13178631071420535</v>
      </c>
      <c r="N5">
        <v>4</v>
      </c>
      <c r="O5">
        <f t="shared" si="4"/>
        <v>1859.4499510000001</v>
      </c>
      <c r="P5">
        <f>(O6-O4)/O4</f>
        <v>0.38940233248757106</v>
      </c>
    </row>
    <row r="6" spans="1:16">
      <c r="A6">
        <f t="shared" si="3"/>
        <v>5</v>
      </c>
      <c r="B6" s="30">
        <v>10319</v>
      </c>
      <c r="C6">
        <v>19.75</v>
      </c>
      <c r="E6">
        <v>6</v>
      </c>
      <c r="F6" s="43">
        <f t="shared" si="0"/>
        <v>1047</v>
      </c>
      <c r="G6" s="30">
        <f t="shared" si="1"/>
        <v>42036</v>
      </c>
      <c r="H6">
        <f t="shared" si="2"/>
        <v>2104.5</v>
      </c>
      <c r="I6" s="30"/>
      <c r="J6">
        <v>5</v>
      </c>
      <c r="K6">
        <f t="shared" si="5"/>
        <v>2104.5</v>
      </c>
      <c r="L6" s="59">
        <f t="shared" si="6"/>
        <v>-8.1857933000712729E-2</v>
      </c>
      <c r="N6">
        <v>5</v>
      </c>
      <c r="O6">
        <f t="shared" si="4"/>
        <v>2104.5</v>
      </c>
      <c r="P6">
        <f>0</f>
        <v>0</v>
      </c>
    </row>
    <row r="7" spans="1:16">
      <c r="A7">
        <f t="shared" si="3"/>
        <v>6</v>
      </c>
      <c r="B7" s="30">
        <v>10349</v>
      </c>
      <c r="C7">
        <v>20</v>
      </c>
      <c r="E7">
        <v>5</v>
      </c>
      <c r="F7" s="43">
        <f t="shared" si="0"/>
        <v>1059</v>
      </c>
      <c r="G7" s="30">
        <f t="shared" si="1"/>
        <v>42401</v>
      </c>
      <c r="H7">
        <f t="shared" si="2"/>
        <v>1932.2299800000001</v>
      </c>
      <c r="I7" s="30"/>
      <c r="J7">
        <v>6</v>
      </c>
      <c r="K7">
        <f t="shared" si="5"/>
        <v>1932.2299800000001</v>
      </c>
      <c r="L7" s="59">
        <f t="shared" si="6"/>
        <v>0.2232704789105901</v>
      </c>
      <c r="N7">
        <v>6</v>
      </c>
      <c r="O7">
        <f t="shared" si="4"/>
        <v>1932.2299800000001</v>
      </c>
      <c r="P7">
        <f t="shared" ref="P7" si="7">(O8-O6)/O6</f>
        <v>0.12313608600617726</v>
      </c>
    </row>
    <row r="8" spans="1:16">
      <c r="A8">
        <f t="shared" si="3"/>
        <v>7</v>
      </c>
      <c r="B8" s="30">
        <v>10380</v>
      </c>
      <c r="C8">
        <v>19.139999</v>
      </c>
      <c r="E8">
        <v>4</v>
      </c>
      <c r="F8" s="43">
        <f t="shared" si="0"/>
        <v>1071</v>
      </c>
      <c r="G8" s="30">
        <f t="shared" si="1"/>
        <v>42767</v>
      </c>
      <c r="H8">
        <f t="shared" si="2"/>
        <v>2363.639893</v>
      </c>
      <c r="I8" s="30"/>
      <c r="J8">
        <v>7</v>
      </c>
      <c r="K8">
        <f t="shared" si="5"/>
        <v>2363.639893</v>
      </c>
      <c r="L8" s="59">
        <f t="shared" ref="L8:L66" si="8">(K9-K8)/K8</f>
        <v>0.14815716473439972</v>
      </c>
      <c r="N8">
        <v>7</v>
      </c>
      <c r="O8">
        <f t="shared" si="4"/>
        <v>2363.639893</v>
      </c>
      <c r="P8">
        <f>0</f>
        <v>0</v>
      </c>
    </row>
    <row r="9" spans="1:16">
      <c r="A9">
        <f t="shared" si="3"/>
        <v>8</v>
      </c>
      <c r="B9" s="30">
        <v>10410</v>
      </c>
      <c r="C9">
        <v>19.43</v>
      </c>
      <c r="E9">
        <v>3</v>
      </c>
      <c r="F9" s="43">
        <f t="shared" si="0"/>
        <v>1083</v>
      </c>
      <c r="G9" s="30">
        <f t="shared" si="1"/>
        <v>43132</v>
      </c>
      <c r="H9">
        <f t="shared" si="2"/>
        <v>2713.830078</v>
      </c>
      <c r="I9" s="30"/>
      <c r="J9">
        <v>8</v>
      </c>
      <c r="K9">
        <f t="shared" si="5"/>
        <v>2713.830078</v>
      </c>
      <c r="L9" s="59">
        <f t="shared" si="8"/>
        <v>2.603696987988062E-2</v>
      </c>
      <c r="N9">
        <v>8</v>
      </c>
      <c r="O9">
        <f t="shared" si="4"/>
        <v>2713.830078</v>
      </c>
      <c r="P9">
        <f t="shared" ref="P9" si="9">(O10-O8)/O8</f>
        <v>0.17805169824995842</v>
      </c>
    </row>
    <row r="10" spans="1:16">
      <c r="A10">
        <f t="shared" si="3"/>
        <v>9</v>
      </c>
      <c r="B10" s="30">
        <v>10441</v>
      </c>
      <c r="C10">
        <v>20.870000999999998</v>
      </c>
      <c r="E10">
        <v>2</v>
      </c>
      <c r="F10" s="43">
        <f t="shared" si="0"/>
        <v>1095</v>
      </c>
      <c r="G10" s="30">
        <f t="shared" si="1"/>
        <v>43497</v>
      </c>
      <c r="H10">
        <f t="shared" si="2"/>
        <v>2784.48999</v>
      </c>
      <c r="I10" s="30"/>
      <c r="J10">
        <v>9</v>
      </c>
      <c r="K10">
        <f t="shared" si="5"/>
        <v>2784.48999</v>
      </c>
      <c r="L10" s="59">
        <f t="shared" si="8"/>
        <v>6.0955500508012225E-2</v>
      </c>
      <c r="N10">
        <v>9</v>
      </c>
      <c r="O10">
        <f t="shared" si="4"/>
        <v>2784.48999</v>
      </c>
      <c r="P10">
        <f>0</f>
        <v>0</v>
      </c>
    </row>
    <row r="11" spans="1:16">
      <c r="A11">
        <f t="shared" si="3"/>
        <v>10</v>
      </c>
      <c r="B11" s="30">
        <v>10472</v>
      </c>
      <c r="C11">
        <v>21.139999</v>
      </c>
      <c r="E11">
        <v>1</v>
      </c>
      <c r="F11" s="43">
        <f t="shared" si="0"/>
        <v>1107</v>
      </c>
      <c r="G11" s="30">
        <f t="shared" si="1"/>
        <v>43862</v>
      </c>
      <c r="H11">
        <f t="shared" si="2"/>
        <v>2954.219971</v>
      </c>
      <c r="I11" s="30"/>
      <c r="J11">
        <v>10</v>
      </c>
      <c r="K11">
        <f t="shared" si="5"/>
        <v>2954.219971</v>
      </c>
      <c r="L11" s="59">
        <f t="shared" si="8"/>
        <v>0.30425970504008892</v>
      </c>
      <c r="N11">
        <v>10</v>
      </c>
      <c r="O11">
        <f t="shared" si="4"/>
        <v>2954.219971</v>
      </c>
      <c r="P11">
        <f t="shared" ref="P11" si="10">(O12-O10)/O10</f>
        <v>0.38376150815323989</v>
      </c>
    </row>
    <row r="12" spans="1:16">
      <c r="A12">
        <f t="shared" si="3"/>
        <v>11</v>
      </c>
      <c r="B12" s="30">
        <v>10502</v>
      </c>
      <c r="C12">
        <v>21.68</v>
      </c>
      <c r="E12">
        <v>0</v>
      </c>
      <c r="F12" s="43">
        <f>MAX(A:A)</f>
        <v>1119</v>
      </c>
      <c r="G12" s="30">
        <f t="shared" si="1"/>
        <v>44217</v>
      </c>
      <c r="H12">
        <f t="shared" si="2"/>
        <v>3853.070068</v>
      </c>
      <c r="I12" s="30"/>
      <c r="J12">
        <v>11</v>
      </c>
      <c r="K12">
        <f t="shared" si="5"/>
        <v>3853.070068</v>
      </c>
      <c r="L12" s="59">
        <f t="shared" si="8"/>
        <v>-0.65554221761429954</v>
      </c>
      <c r="N12">
        <v>11</v>
      </c>
      <c r="O12">
        <f t="shared" si="4"/>
        <v>3853.070068</v>
      </c>
      <c r="P12">
        <f>0</f>
        <v>0</v>
      </c>
    </row>
    <row r="13" spans="1:16">
      <c r="A13">
        <f t="shared" si="3"/>
        <v>12</v>
      </c>
      <c r="B13" s="30">
        <v>10533</v>
      </c>
      <c r="C13">
        <v>24.280000999999999</v>
      </c>
      <c r="I13" s="30"/>
      <c r="J13">
        <v>12</v>
      </c>
      <c r="K13">
        <f>K2</f>
        <v>1327.219971</v>
      </c>
      <c r="L13" s="59">
        <f t="shared" si="8"/>
        <v>2.8977926674070474E-2</v>
      </c>
      <c r="N13">
        <v>12</v>
      </c>
      <c r="O13">
        <f t="shared" si="4"/>
        <v>1327.219971</v>
      </c>
      <c r="P13">
        <f t="shared" ref="P13" si="11">(O14-O12)/O12</f>
        <v>-0.64556054525401385</v>
      </c>
    </row>
    <row r="14" spans="1:16">
      <c r="A14">
        <f t="shared" si="3"/>
        <v>13</v>
      </c>
      <c r="B14" s="30">
        <v>10563</v>
      </c>
      <c r="C14">
        <v>24.35</v>
      </c>
      <c r="I14" s="30"/>
      <c r="J14">
        <v>13</v>
      </c>
      <c r="K14">
        <f t="shared" ref="K14:K77" si="12">K3</f>
        <v>1365.6800539999999</v>
      </c>
      <c r="L14" s="59">
        <f t="shared" si="8"/>
        <v>0.10910315308742147</v>
      </c>
      <c r="N14">
        <v>13</v>
      </c>
      <c r="O14">
        <f t="shared" si="4"/>
        <v>1365.6800539999999</v>
      </c>
      <c r="P14">
        <f>0</f>
        <v>0</v>
      </c>
    </row>
    <row r="15" spans="1:16">
      <c r="A15">
        <f t="shared" si="3"/>
        <v>14</v>
      </c>
      <c r="B15" s="30">
        <v>10594</v>
      </c>
      <c r="C15">
        <v>25.74</v>
      </c>
      <c r="I15" s="30"/>
      <c r="J15">
        <v>14</v>
      </c>
      <c r="K15">
        <f t="shared" si="12"/>
        <v>1514.6800539999999</v>
      </c>
      <c r="L15" s="59">
        <f t="shared" si="8"/>
        <v>0.22761895892767869</v>
      </c>
      <c r="N15">
        <v>14</v>
      </c>
      <c r="O15">
        <f t="shared" si="4"/>
        <v>1514.6800539999999</v>
      </c>
      <c r="P15">
        <f t="shared" ref="P15" si="13">(O16-O14)/O14</f>
        <v>0.3615560581365862</v>
      </c>
    </row>
    <row r="16" spans="1:16">
      <c r="A16">
        <f t="shared" si="3"/>
        <v>15</v>
      </c>
      <c r="B16" s="30">
        <v>10625</v>
      </c>
      <c r="C16">
        <v>25.59</v>
      </c>
      <c r="F16" s="43">
        <f t="shared" ref="F16:F19" si="14">F17-12</f>
        <v>843</v>
      </c>
      <c r="G16" s="30">
        <f t="shared" ref="G16:G20" si="15">VLOOKUP(F16,A:C,2,FALSE)</f>
        <v>35827</v>
      </c>
      <c r="H16">
        <f t="shared" ref="H16:H20" si="16">VLOOKUP(F16,A:C,3,FALSE)</f>
        <v>1049.339966</v>
      </c>
      <c r="I16" s="59"/>
      <c r="J16">
        <v>15</v>
      </c>
      <c r="K16">
        <f t="shared" si="12"/>
        <v>1859.4499510000001</v>
      </c>
      <c r="L16" s="59">
        <f t="shared" si="8"/>
        <v>0.13178631071420535</v>
      </c>
      <c r="N16">
        <v>15</v>
      </c>
      <c r="O16">
        <f t="shared" si="4"/>
        <v>1859.4499510000001</v>
      </c>
      <c r="P16">
        <f>0</f>
        <v>0</v>
      </c>
    </row>
    <row r="17" spans="1:16">
      <c r="A17">
        <f t="shared" si="3"/>
        <v>16</v>
      </c>
      <c r="B17" s="30">
        <v>10653</v>
      </c>
      <c r="C17">
        <v>25.530000999999999</v>
      </c>
      <c r="F17" s="43">
        <f t="shared" si="14"/>
        <v>855</v>
      </c>
      <c r="G17" s="30">
        <f t="shared" si="15"/>
        <v>36192</v>
      </c>
      <c r="H17">
        <f t="shared" si="16"/>
        <v>1238.329956</v>
      </c>
      <c r="I17" s="59">
        <f t="shared" ref="I17:I38" si="17">(H17-H16)/H16</f>
        <v>0.18010368052635484</v>
      </c>
      <c r="J17">
        <v>16</v>
      </c>
      <c r="K17">
        <f t="shared" si="12"/>
        <v>2104.5</v>
      </c>
      <c r="L17" s="59">
        <f t="shared" si="8"/>
        <v>-8.1857933000712729E-2</v>
      </c>
      <c r="N17">
        <v>16</v>
      </c>
      <c r="O17">
        <f t="shared" si="4"/>
        <v>2104.5</v>
      </c>
      <c r="P17">
        <f t="shared" ref="P17" si="18">(O18-O16)/O16</f>
        <v>3.9140622720638105E-2</v>
      </c>
    </row>
    <row r="18" spans="1:16">
      <c r="A18">
        <f t="shared" si="3"/>
        <v>17</v>
      </c>
      <c r="B18" s="30">
        <v>10684</v>
      </c>
      <c r="C18">
        <v>25.940000999999999</v>
      </c>
      <c r="F18" s="43">
        <f t="shared" si="14"/>
        <v>867</v>
      </c>
      <c r="G18" s="30">
        <f t="shared" si="15"/>
        <v>36557</v>
      </c>
      <c r="H18">
        <f t="shared" si="16"/>
        <v>1366.420044</v>
      </c>
      <c r="I18" s="59">
        <f t="shared" si="17"/>
        <v>0.10343776905288717</v>
      </c>
      <c r="J18">
        <v>17</v>
      </c>
      <c r="K18">
        <f t="shared" si="12"/>
        <v>1932.2299800000001</v>
      </c>
      <c r="L18" s="59">
        <f t="shared" si="8"/>
        <v>0.2232704789105901</v>
      </c>
      <c r="N18">
        <v>17</v>
      </c>
      <c r="O18">
        <f t="shared" si="4"/>
        <v>1932.2299800000001</v>
      </c>
      <c r="P18">
        <f>0</f>
        <v>0</v>
      </c>
    </row>
    <row r="19" spans="1:16">
      <c r="A19">
        <f t="shared" si="3"/>
        <v>18</v>
      </c>
      <c r="B19" s="30">
        <v>10714</v>
      </c>
      <c r="C19">
        <v>24.83</v>
      </c>
      <c r="F19" s="43">
        <f t="shared" si="14"/>
        <v>879</v>
      </c>
      <c r="G19" s="30">
        <f t="shared" si="15"/>
        <v>36923</v>
      </c>
      <c r="H19">
        <f t="shared" si="16"/>
        <v>1239.9399410000001</v>
      </c>
      <c r="I19" s="59">
        <f t="shared" si="17"/>
        <v>-9.2563120363594348E-2</v>
      </c>
      <c r="J19">
        <v>18</v>
      </c>
      <c r="K19">
        <f t="shared" si="12"/>
        <v>2363.639893</v>
      </c>
      <c r="L19" s="59">
        <f t="shared" si="8"/>
        <v>0.14815716473439972</v>
      </c>
      <c r="N19">
        <v>18</v>
      </c>
      <c r="O19">
        <f t="shared" si="4"/>
        <v>2363.639893</v>
      </c>
      <c r="P19">
        <f t="shared" ref="P19" si="19">(O20-O18)/O18</f>
        <v>0.40450676476927444</v>
      </c>
    </row>
    <row r="20" spans="1:16">
      <c r="A20">
        <f t="shared" si="3"/>
        <v>19</v>
      </c>
      <c r="B20" s="30">
        <v>10745</v>
      </c>
      <c r="C20">
        <v>27.41</v>
      </c>
      <c r="F20" s="43">
        <f t="shared" ref="F20:F38" si="20">F21-12</f>
        <v>891</v>
      </c>
      <c r="G20" s="30">
        <f t="shared" si="15"/>
        <v>37288</v>
      </c>
      <c r="H20">
        <f t="shared" si="16"/>
        <v>1106.7299800000001</v>
      </c>
      <c r="I20" s="59">
        <f t="shared" si="17"/>
        <v>-0.10743259136613297</v>
      </c>
      <c r="J20">
        <v>19</v>
      </c>
      <c r="K20">
        <f t="shared" si="12"/>
        <v>2713.830078</v>
      </c>
      <c r="L20" s="59">
        <f t="shared" si="8"/>
        <v>2.603696987988062E-2</v>
      </c>
      <c r="N20">
        <v>19</v>
      </c>
      <c r="O20">
        <f t="shared" si="4"/>
        <v>2713.830078</v>
      </c>
      <c r="P20">
        <f>0</f>
        <v>0</v>
      </c>
    </row>
    <row r="21" spans="1:16">
      <c r="A21">
        <f t="shared" si="3"/>
        <v>20</v>
      </c>
      <c r="B21" s="30">
        <v>10775</v>
      </c>
      <c r="C21">
        <v>28.879999000000002</v>
      </c>
      <c r="F21" s="43">
        <f t="shared" si="20"/>
        <v>903</v>
      </c>
      <c r="G21" s="30">
        <f t="shared" ref="G21:G39" si="21">VLOOKUP(F21,A:C,2,FALSE)</f>
        <v>37653</v>
      </c>
      <c r="H21">
        <f t="shared" ref="H21:H39" si="22">VLOOKUP(F21,A:C,3,FALSE)</f>
        <v>841.15002400000003</v>
      </c>
      <c r="I21" s="59">
        <f t="shared" si="17"/>
        <v>-0.23996815917103828</v>
      </c>
      <c r="J21">
        <v>20</v>
      </c>
      <c r="K21">
        <f t="shared" si="12"/>
        <v>2784.48999</v>
      </c>
      <c r="L21" s="59">
        <f t="shared" si="8"/>
        <v>6.0955500508012225E-2</v>
      </c>
      <c r="N21">
        <v>20</v>
      </c>
      <c r="O21">
        <f t="shared" si="4"/>
        <v>2784.48999</v>
      </c>
      <c r="P21">
        <f t="shared" ref="P21" si="23">(O22-O20)/O20</f>
        <v>8.8579566918633001E-2</v>
      </c>
    </row>
    <row r="22" spans="1:16">
      <c r="A22">
        <f t="shared" si="3"/>
        <v>21</v>
      </c>
      <c r="B22" s="30">
        <v>10806</v>
      </c>
      <c r="C22">
        <v>31.709999</v>
      </c>
      <c r="F22" s="43">
        <f t="shared" si="20"/>
        <v>915</v>
      </c>
      <c r="G22" s="30">
        <f t="shared" si="21"/>
        <v>38018</v>
      </c>
      <c r="H22">
        <f t="shared" si="22"/>
        <v>1144.9399410000001</v>
      </c>
      <c r="I22" s="59">
        <f t="shared" si="17"/>
        <v>0.36116020725453851</v>
      </c>
      <c r="J22">
        <v>21</v>
      </c>
      <c r="K22">
        <f t="shared" si="12"/>
        <v>2954.219971</v>
      </c>
      <c r="L22" s="59">
        <f t="shared" si="8"/>
        <v>0.30425970504008892</v>
      </c>
      <c r="N22">
        <v>21</v>
      </c>
      <c r="O22">
        <f t="shared" si="4"/>
        <v>2954.219971</v>
      </c>
      <c r="P22">
        <f>0</f>
        <v>0</v>
      </c>
    </row>
    <row r="23" spans="1:16">
      <c r="A23">
        <f t="shared" si="3"/>
        <v>22</v>
      </c>
      <c r="B23" s="30">
        <v>10837</v>
      </c>
      <c r="C23">
        <v>30.16</v>
      </c>
      <c r="F23" s="43">
        <f t="shared" si="20"/>
        <v>927</v>
      </c>
      <c r="G23" s="30">
        <f t="shared" si="21"/>
        <v>38384</v>
      </c>
      <c r="H23">
        <f t="shared" si="22"/>
        <v>1203.599976</v>
      </c>
      <c r="I23" s="59">
        <f t="shared" si="17"/>
        <v>5.1234159015158223E-2</v>
      </c>
      <c r="J23">
        <v>22</v>
      </c>
      <c r="K23">
        <f t="shared" si="12"/>
        <v>3853.070068</v>
      </c>
      <c r="L23" s="59">
        <f t="shared" si="8"/>
        <v>-0.65554221761429954</v>
      </c>
      <c r="N23">
        <v>22</v>
      </c>
      <c r="O23">
        <f t="shared" si="4"/>
        <v>3853.070068</v>
      </c>
      <c r="P23">
        <f t="shared" ref="P23" si="24">(O24-O22)/O22</f>
        <v>-0.5507375943468632</v>
      </c>
    </row>
    <row r="24" spans="1:16">
      <c r="A24">
        <f t="shared" si="3"/>
        <v>23</v>
      </c>
      <c r="B24" s="30">
        <v>10867</v>
      </c>
      <c r="C24">
        <v>24.15</v>
      </c>
      <c r="F24" s="43">
        <f t="shared" si="20"/>
        <v>939</v>
      </c>
      <c r="G24" s="30">
        <f t="shared" si="21"/>
        <v>38749</v>
      </c>
      <c r="H24">
        <f t="shared" si="22"/>
        <v>1280.660034</v>
      </c>
      <c r="I24" s="59">
        <f t="shared" si="17"/>
        <v>6.4024642353432568E-2</v>
      </c>
      <c r="J24">
        <v>23</v>
      </c>
      <c r="K24">
        <f t="shared" si="12"/>
        <v>1327.219971</v>
      </c>
      <c r="L24" s="59">
        <f t="shared" si="8"/>
        <v>2.8977926674070474E-2</v>
      </c>
      <c r="N24">
        <v>23</v>
      </c>
      <c r="O24">
        <f t="shared" si="4"/>
        <v>1327.219971</v>
      </c>
      <c r="P24">
        <f>0</f>
        <v>0</v>
      </c>
    </row>
    <row r="25" spans="1:16">
      <c r="A25">
        <f t="shared" si="3"/>
        <v>24</v>
      </c>
      <c r="B25" s="30">
        <v>10898</v>
      </c>
      <c r="C25">
        <v>20.92</v>
      </c>
      <c r="F25" s="43">
        <f t="shared" si="20"/>
        <v>951</v>
      </c>
      <c r="G25" s="30">
        <f t="shared" si="21"/>
        <v>39114</v>
      </c>
      <c r="H25">
        <f t="shared" si="22"/>
        <v>1406.8199460000001</v>
      </c>
      <c r="I25" s="59">
        <f t="shared" si="17"/>
        <v>9.8511633572224117E-2</v>
      </c>
      <c r="J25">
        <v>24</v>
      </c>
      <c r="K25">
        <f t="shared" si="12"/>
        <v>1365.6800539999999</v>
      </c>
      <c r="L25" s="59">
        <f t="shared" si="8"/>
        <v>0.10910315308742147</v>
      </c>
      <c r="N25">
        <v>24</v>
      </c>
      <c r="O25">
        <f t="shared" si="4"/>
        <v>1365.6800539999999</v>
      </c>
      <c r="P25">
        <f t="shared" ref="P25" si="25">(O26-O24)/O24</f>
        <v>0.14124266293156912</v>
      </c>
    </row>
    <row r="26" spans="1:16">
      <c r="A26">
        <f t="shared" si="3"/>
        <v>25</v>
      </c>
      <c r="B26" s="30">
        <v>10928</v>
      </c>
      <c r="C26">
        <v>21.450001</v>
      </c>
      <c r="F26" s="43">
        <f t="shared" si="20"/>
        <v>963</v>
      </c>
      <c r="G26" s="30">
        <f t="shared" si="21"/>
        <v>39479</v>
      </c>
      <c r="H26">
        <f t="shared" si="22"/>
        <v>1330.630005</v>
      </c>
      <c r="I26" s="59">
        <f t="shared" si="17"/>
        <v>-5.4157563813784657E-2</v>
      </c>
      <c r="J26">
        <v>25</v>
      </c>
      <c r="K26">
        <f t="shared" si="12"/>
        <v>1514.6800539999999</v>
      </c>
      <c r="L26" s="59">
        <f t="shared" si="8"/>
        <v>0.22761895892767869</v>
      </c>
      <c r="N26">
        <v>25</v>
      </c>
      <c r="O26">
        <f t="shared" si="4"/>
        <v>1514.6800539999999</v>
      </c>
      <c r="P26">
        <f>0</f>
        <v>0</v>
      </c>
    </row>
    <row r="27" spans="1:16">
      <c r="A27">
        <f t="shared" si="3"/>
        <v>26</v>
      </c>
      <c r="B27" s="30">
        <v>10959</v>
      </c>
      <c r="C27">
        <v>22.790001</v>
      </c>
      <c r="F27" s="43">
        <f t="shared" si="20"/>
        <v>975</v>
      </c>
      <c r="G27" s="30">
        <f t="shared" si="21"/>
        <v>39845</v>
      </c>
      <c r="H27">
        <f t="shared" si="22"/>
        <v>735.09002699999996</v>
      </c>
      <c r="I27" s="59">
        <f t="shared" si="17"/>
        <v>-0.44756241461727747</v>
      </c>
      <c r="J27">
        <v>26</v>
      </c>
      <c r="K27">
        <f t="shared" si="12"/>
        <v>1859.4499510000001</v>
      </c>
      <c r="L27" s="59">
        <f t="shared" si="8"/>
        <v>0.13178631071420535</v>
      </c>
      <c r="N27">
        <v>26</v>
      </c>
      <c r="O27">
        <f t="shared" si="4"/>
        <v>1859.4499510000001</v>
      </c>
      <c r="P27">
        <f t="shared" ref="P27" si="26">(O28-O26)/O26</f>
        <v>0.38940233248757106</v>
      </c>
    </row>
    <row r="28" spans="1:16">
      <c r="A28">
        <f t="shared" si="3"/>
        <v>27</v>
      </c>
      <c r="B28" s="30">
        <v>10990</v>
      </c>
      <c r="C28">
        <v>23.280000999999999</v>
      </c>
      <c r="F28" s="43">
        <f t="shared" si="20"/>
        <v>987</v>
      </c>
      <c r="G28" s="30">
        <f t="shared" si="21"/>
        <v>40210</v>
      </c>
      <c r="H28">
        <f t="shared" si="22"/>
        <v>1104.48999</v>
      </c>
      <c r="I28" s="59">
        <f t="shared" si="17"/>
        <v>0.50252343173198855</v>
      </c>
      <c r="J28">
        <v>27</v>
      </c>
      <c r="K28">
        <f t="shared" si="12"/>
        <v>2104.5</v>
      </c>
      <c r="L28" s="59">
        <f t="shared" si="8"/>
        <v>-8.1857933000712729E-2</v>
      </c>
      <c r="N28">
        <v>27</v>
      </c>
      <c r="O28">
        <f t="shared" si="4"/>
        <v>2104.5</v>
      </c>
      <c r="P28">
        <f>0</f>
        <v>0</v>
      </c>
    </row>
    <row r="29" spans="1:16">
      <c r="A29">
        <f t="shared" si="3"/>
        <v>28</v>
      </c>
      <c r="B29" s="30">
        <v>11018</v>
      </c>
      <c r="C29">
        <v>24.15</v>
      </c>
      <c r="F29" s="43">
        <f t="shared" si="20"/>
        <v>999</v>
      </c>
      <c r="G29" s="30">
        <f t="shared" si="21"/>
        <v>40575</v>
      </c>
      <c r="H29">
        <f t="shared" si="22"/>
        <v>1327.219971</v>
      </c>
      <c r="I29" s="59">
        <f t="shared" si="17"/>
        <v>0.20165866872184143</v>
      </c>
      <c r="J29">
        <v>28</v>
      </c>
      <c r="K29">
        <f t="shared" si="12"/>
        <v>1932.2299800000001</v>
      </c>
      <c r="L29" s="59">
        <f t="shared" si="8"/>
        <v>0.2232704789105901</v>
      </c>
      <c r="N29">
        <v>28</v>
      </c>
      <c r="O29">
        <f t="shared" si="4"/>
        <v>1932.2299800000001</v>
      </c>
      <c r="P29">
        <f t="shared" ref="P29" si="27">(O30-O28)/O28</f>
        <v>0.12313608600617726</v>
      </c>
    </row>
    <row r="30" spans="1:16">
      <c r="A30">
        <f t="shared" si="3"/>
        <v>29</v>
      </c>
      <c r="B30" s="30">
        <v>11049</v>
      </c>
      <c r="C30">
        <v>24.9</v>
      </c>
      <c r="F30" s="43">
        <f t="shared" si="20"/>
        <v>1011</v>
      </c>
      <c r="G30" s="30">
        <f t="shared" si="21"/>
        <v>40940</v>
      </c>
      <c r="H30">
        <f t="shared" si="22"/>
        <v>1365.6800539999999</v>
      </c>
      <c r="I30" s="59">
        <f t="shared" si="17"/>
        <v>2.8977926674070474E-2</v>
      </c>
      <c r="J30">
        <v>29</v>
      </c>
      <c r="K30">
        <f t="shared" si="12"/>
        <v>2363.639893</v>
      </c>
      <c r="L30" s="59">
        <f t="shared" si="8"/>
        <v>0.14815716473439972</v>
      </c>
      <c r="N30">
        <v>29</v>
      </c>
      <c r="O30">
        <f t="shared" si="4"/>
        <v>2363.639893</v>
      </c>
      <c r="P30">
        <f>0</f>
        <v>0</v>
      </c>
    </row>
    <row r="31" spans="1:16">
      <c r="A31">
        <f t="shared" si="3"/>
        <v>30</v>
      </c>
      <c r="B31" s="30">
        <v>11079</v>
      </c>
      <c r="C31">
        <v>24.49</v>
      </c>
      <c r="F31" s="43">
        <f t="shared" si="20"/>
        <v>1023</v>
      </c>
      <c r="G31" s="30">
        <f t="shared" si="21"/>
        <v>41306</v>
      </c>
      <c r="H31">
        <f t="shared" si="22"/>
        <v>1514.6800539999999</v>
      </c>
      <c r="I31" s="59">
        <f t="shared" si="17"/>
        <v>0.10910315308742147</v>
      </c>
      <c r="J31">
        <v>30</v>
      </c>
      <c r="K31">
        <f t="shared" si="12"/>
        <v>2713.830078</v>
      </c>
      <c r="L31" s="59">
        <f t="shared" si="8"/>
        <v>2.603696987988062E-2</v>
      </c>
      <c r="N31">
        <v>30</v>
      </c>
      <c r="O31">
        <f t="shared" si="4"/>
        <v>2713.830078</v>
      </c>
      <c r="P31">
        <f t="shared" ref="P31" si="28">(O32-O30)/O30</f>
        <v>0.17805169824995842</v>
      </c>
    </row>
    <row r="32" spans="1:16">
      <c r="A32">
        <f t="shared" si="3"/>
        <v>31</v>
      </c>
      <c r="B32" s="30">
        <v>11110</v>
      </c>
      <c r="C32">
        <v>20.459999</v>
      </c>
      <c r="F32" s="43">
        <f t="shared" si="20"/>
        <v>1035</v>
      </c>
      <c r="G32" s="30">
        <f t="shared" si="21"/>
        <v>41671</v>
      </c>
      <c r="H32">
        <f t="shared" si="22"/>
        <v>1859.4499510000001</v>
      </c>
      <c r="I32" s="59">
        <f t="shared" si="17"/>
        <v>0.22761895892767869</v>
      </c>
      <c r="J32">
        <v>31</v>
      </c>
      <c r="K32">
        <f t="shared" si="12"/>
        <v>2784.48999</v>
      </c>
      <c r="L32" s="59">
        <f t="shared" si="8"/>
        <v>6.0955500508012225E-2</v>
      </c>
      <c r="N32">
        <v>31</v>
      </c>
      <c r="O32">
        <f t="shared" si="4"/>
        <v>2784.48999</v>
      </c>
      <c r="P32">
        <f>0</f>
        <v>0</v>
      </c>
    </row>
    <row r="33" spans="1:16">
      <c r="A33">
        <f t="shared" si="3"/>
        <v>32</v>
      </c>
      <c r="B33" s="30">
        <v>11140</v>
      </c>
      <c r="C33">
        <v>21.209999</v>
      </c>
      <c r="F33" s="43">
        <f t="shared" si="20"/>
        <v>1047</v>
      </c>
      <c r="G33" s="30">
        <f t="shared" si="21"/>
        <v>42036</v>
      </c>
      <c r="H33">
        <f t="shared" si="22"/>
        <v>2104.5</v>
      </c>
      <c r="I33" s="59">
        <f t="shared" si="17"/>
        <v>0.13178631071420535</v>
      </c>
      <c r="J33">
        <v>32</v>
      </c>
      <c r="K33">
        <f t="shared" si="12"/>
        <v>2954.219971</v>
      </c>
      <c r="L33" s="59">
        <f t="shared" si="8"/>
        <v>0.30425970504008892</v>
      </c>
      <c r="N33">
        <v>32</v>
      </c>
      <c r="O33">
        <f t="shared" si="4"/>
        <v>2954.219971</v>
      </c>
      <c r="P33">
        <f t="shared" ref="P33" si="29">(O34-O32)/O32</f>
        <v>0.38376150815323989</v>
      </c>
    </row>
    <row r="34" spans="1:16">
      <c r="A34">
        <f t="shared" si="3"/>
        <v>33</v>
      </c>
      <c r="B34" s="30">
        <v>11171</v>
      </c>
      <c r="C34">
        <v>21.370000999999998</v>
      </c>
      <c r="F34" s="43">
        <f t="shared" si="20"/>
        <v>1059</v>
      </c>
      <c r="G34" s="30">
        <f t="shared" si="21"/>
        <v>42401</v>
      </c>
      <c r="H34">
        <f t="shared" si="22"/>
        <v>1932.2299800000001</v>
      </c>
      <c r="I34" s="59">
        <f t="shared" si="17"/>
        <v>-8.1857933000712729E-2</v>
      </c>
      <c r="J34">
        <v>33</v>
      </c>
      <c r="K34">
        <f t="shared" si="12"/>
        <v>3853.070068</v>
      </c>
      <c r="L34" s="59">
        <f t="shared" si="8"/>
        <v>-0.65554221761429954</v>
      </c>
      <c r="N34">
        <v>33</v>
      </c>
      <c r="O34">
        <f t="shared" si="4"/>
        <v>3853.070068</v>
      </c>
      <c r="P34">
        <f>0</f>
        <v>0</v>
      </c>
    </row>
    <row r="35" spans="1:16">
      <c r="A35">
        <f t="shared" ref="A35:A67" si="30">A34+1</f>
        <v>34</v>
      </c>
      <c r="B35" s="30">
        <v>11202</v>
      </c>
      <c r="C35">
        <v>18.59</v>
      </c>
      <c r="F35" s="43">
        <f t="shared" si="20"/>
        <v>1071</v>
      </c>
      <c r="G35" s="30">
        <f t="shared" si="21"/>
        <v>42767</v>
      </c>
      <c r="H35">
        <f t="shared" si="22"/>
        <v>2363.639893</v>
      </c>
      <c r="I35" s="59">
        <f t="shared" si="17"/>
        <v>0.2232704789105901</v>
      </c>
      <c r="J35">
        <v>34</v>
      </c>
      <c r="K35">
        <f t="shared" si="12"/>
        <v>1327.219971</v>
      </c>
      <c r="L35" s="59">
        <f t="shared" si="8"/>
        <v>2.8977926674070474E-2</v>
      </c>
      <c r="N35">
        <v>34</v>
      </c>
      <c r="O35">
        <f t="shared" si="4"/>
        <v>1327.219971</v>
      </c>
      <c r="P35">
        <f t="shared" ref="P35" si="31">(O36-O34)/O34</f>
        <v>-0.64556054525401385</v>
      </c>
    </row>
    <row r="36" spans="1:16">
      <c r="A36">
        <f t="shared" si="30"/>
        <v>35</v>
      </c>
      <c r="B36" s="30">
        <v>11232</v>
      </c>
      <c r="C36">
        <v>16.940000999999999</v>
      </c>
      <c r="F36" s="43">
        <f t="shared" si="20"/>
        <v>1083</v>
      </c>
      <c r="G36" s="30">
        <f t="shared" si="21"/>
        <v>43132</v>
      </c>
      <c r="H36">
        <f t="shared" si="22"/>
        <v>2713.830078</v>
      </c>
      <c r="I36" s="59">
        <f t="shared" si="17"/>
        <v>0.14815716473439972</v>
      </c>
      <c r="J36">
        <v>35</v>
      </c>
      <c r="K36">
        <f t="shared" si="12"/>
        <v>1365.6800539999999</v>
      </c>
      <c r="L36" s="59">
        <f t="shared" si="8"/>
        <v>0.10910315308742147</v>
      </c>
      <c r="N36">
        <v>35</v>
      </c>
      <c r="O36">
        <f t="shared" si="4"/>
        <v>1365.6800539999999</v>
      </c>
      <c r="P36">
        <f>0</f>
        <v>0</v>
      </c>
    </row>
    <row r="37" spans="1:16">
      <c r="A37">
        <f t="shared" si="30"/>
        <v>36</v>
      </c>
      <c r="B37" s="30">
        <v>11263</v>
      </c>
      <c r="C37">
        <v>16.379999000000002</v>
      </c>
      <c r="F37" s="43">
        <f t="shared" si="20"/>
        <v>1095</v>
      </c>
      <c r="G37" s="30">
        <f t="shared" si="21"/>
        <v>43497</v>
      </c>
      <c r="H37">
        <f t="shared" si="22"/>
        <v>2784.48999</v>
      </c>
      <c r="I37" s="59">
        <f t="shared" si="17"/>
        <v>2.603696987988062E-2</v>
      </c>
      <c r="J37">
        <v>36</v>
      </c>
      <c r="K37">
        <f t="shared" si="12"/>
        <v>1514.6800539999999</v>
      </c>
      <c r="L37" s="59">
        <f t="shared" si="8"/>
        <v>0.22761895892767869</v>
      </c>
      <c r="N37">
        <v>36</v>
      </c>
      <c r="O37">
        <f t="shared" si="4"/>
        <v>1514.6800539999999</v>
      </c>
      <c r="P37">
        <f t="shared" ref="P37" si="32">(O38-O36)/O36</f>
        <v>0.3615560581365862</v>
      </c>
    </row>
    <row r="38" spans="1:16">
      <c r="A38">
        <f t="shared" si="30"/>
        <v>37</v>
      </c>
      <c r="B38" s="30">
        <v>11293</v>
      </c>
      <c r="C38">
        <v>15.34</v>
      </c>
      <c r="F38" s="43">
        <f t="shared" si="20"/>
        <v>1107</v>
      </c>
      <c r="G38" s="30">
        <f t="shared" si="21"/>
        <v>43862</v>
      </c>
      <c r="H38">
        <f t="shared" si="22"/>
        <v>2954.219971</v>
      </c>
      <c r="I38" s="59">
        <f t="shared" si="17"/>
        <v>6.0955500508012225E-2</v>
      </c>
      <c r="J38">
        <v>37</v>
      </c>
      <c r="K38">
        <f t="shared" si="12"/>
        <v>1859.4499510000001</v>
      </c>
      <c r="L38" s="59">
        <f t="shared" si="8"/>
        <v>0.13178631071420535</v>
      </c>
      <c r="N38">
        <v>37</v>
      </c>
      <c r="O38">
        <f t="shared" si="4"/>
        <v>1859.4499510000001</v>
      </c>
      <c r="P38">
        <f>0</f>
        <v>0</v>
      </c>
    </row>
    <row r="39" spans="1:16">
      <c r="A39">
        <f t="shared" si="30"/>
        <v>38</v>
      </c>
      <c r="B39" s="30">
        <v>11324</v>
      </c>
      <c r="C39">
        <v>16.190000999999999</v>
      </c>
      <c r="F39" s="43">
        <f>MAX(A:A)</f>
        <v>1119</v>
      </c>
      <c r="G39" s="30">
        <f t="shared" si="21"/>
        <v>44217</v>
      </c>
      <c r="H39">
        <f t="shared" si="22"/>
        <v>3853.070068</v>
      </c>
      <c r="I39" s="59">
        <f>(H39-H38)/H38</f>
        <v>0.30425970504008892</v>
      </c>
      <c r="J39">
        <v>38</v>
      </c>
      <c r="K39">
        <f t="shared" si="12"/>
        <v>2104.5</v>
      </c>
      <c r="L39" s="59">
        <f t="shared" si="8"/>
        <v>-8.1857933000712729E-2</v>
      </c>
      <c r="N39">
        <v>38</v>
      </c>
      <c r="O39">
        <f t="shared" si="4"/>
        <v>2104.5</v>
      </c>
      <c r="P39">
        <f t="shared" ref="P39" si="33">(O40-O38)/O38</f>
        <v>3.9140622720638105E-2</v>
      </c>
    </row>
    <row r="40" spans="1:16">
      <c r="A40">
        <f t="shared" si="30"/>
        <v>39</v>
      </c>
      <c r="B40" s="30">
        <v>11355</v>
      </c>
      <c r="C40">
        <v>18.030000999999999</v>
      </c>
      <c r="I40" s="30"/>
      <c r="J40">
        <v>39</v>
      </c>
      <c r="K40">
        <f t="shared" si="12"/>
        <v>1932.2299800000001</v>
      </c>
      <c r="L40" s="59">
        <f t="shared" si="8"/>
        <v>0.2232704789105901</v>
      </c>
      <c r="N40">
        <v>39</v>
      </c>
      <c r="O40">
        <f t="shared" si="4"/>
        <v>1932.2299800000001</v>
      </c>
      <c r="P40">
        <f>0</f>
        <v>0</v>
      </c>
    </row>
    <row r="41" spans="1:16">
      <c r="A41">
        <f t="shared" si="30"/>
        <v>40</v>
      </c>
      <c r="B41" s="30">
        <v>11383</v>
      </c>
      <c r="C41">
        <v>16.690000999999999</v>
      </c>
      <c r="I41" s="30"/>
      <c r="J41">
        <v>40</v>
      </c>
      <c r="K41">
        <f t="shared" si="12"/>
        <v>2363.639893</v>
      </c>
      <c r="L41" s="59">
        <f t="shared" si="8"/>
        <v>0.14815716473439972</v>
      </c>
      <c r="N41">
        <v>40</v>
      </c>
      <c r="O41">
        <f t="shared" si="4"/>
        <v>2363.639893</v>
      </c>
      <c r="P41">
        <f t="shared" ref="P41" si="34">(O42-O40)/O40</f>
        <v>0.40450676476927444</v>
      </c>
    </row>
    <row r="42" spans="1:16">
      <c r="A42">
        <f t="shared" si="30"/>
        <v>41</v>
      </c>
      <c r="B42" s="30">
        <v>11414</v>
      </c>
      <c r="C42">
        <v>15.09</v>
      </c>
      <c r="I42" s="30"/>
      <c r="J42">
        <v>41</v>
      </c>
      <c r="K42">
        <f t="shared" si="12"/>
        <v>2713.830078</v>
      </c>
      <c r="L42" s="59">
        <f t="shared" si="8"/>
        <v>2.603696987988062E-2</v>
      </c>
      <c r="N42">
        <v>41</v>
      </c>
      <c r="O42">
        <f t="shared" si="4"/>
        <v>2713.830078</v>
      </c>
      <c r="P42">
        <f>0</f>
        <v>0</v>
      </c>
    </row>
    <row r="43" spans="1:16">
      <c r="A43">
        <f t="shared" si="30"/>
        <v>42</v>
      </c>
      <c r="B43" s="30">
        <v>11444</v>
      </c>
      <c r="C43">
        <v>13.02</v>
      </c>
      <c r="I43" s="30"/>
      <c r="J43">
        <v>42</v>
      </c>
      <c r="K43">
        <f t="shared" si="12"/>
        <v>2784.48999</v>
      </c>
      <c r="L43" s="59">
        <f t="shared" si="8"/>
        <v>6.0955500508012225E-2</v>
      </c>
      <c r="N43">
        <v>42</v>
      </c>
      <c r="O43">
        <f t="shared" si="4"/>
        <v>2784.48999</v>
      </c>
      <c r="P43">
        <f t="shared" ref="P43" si="35">(O44-O42)/O42</f>
        <v>8.8579566918633001E-2</v>
      </c>
    </row>
    <row r="44" spans="1:16">
      <c r="A44">
        <f t="shared" si="30"/>
        <v>43</v>
      </c>
      <c r="B44" s="30">
        <v>11475</v>
      </c>
      <c r="C44">
        <v>14.83</v>
      </c>
      <c r="I44" s="30"/>
      <c r="J44">
        <v>43</v>
      </c>
      <c r="K44">
        <f t="shared" si="12"/>
        <v>2954.219971</v>
      </c>
      <c r="L44" s="59">
        <f t="shared" si="8"/>
        <v>0.30425970504008892</v>
      </c>
      <c r="N44">
        <v>43</v>
      </c>
      <c r="O44">
        <f t="shared" si="4"/>
        <v>2954.219971</v>
      </c>
      <c r="P44">
        <f>0</f>
        <v>0</v>
      </c>
    </row>
    <row r="45" spans="1:16">
      <c r="A45">
        <f t="shared" si="30"/>
        <v>44</v>
      </c>
      <c r="B45" s="30">
        <v>11505</v>
      </c>
      <c r="C45">
        <v>13.73</v>
      </c>
      <c r="I45" s="30"/>
      <c r="J45">
        <v>44</v>
      </c>
      <c r="K45">
        <f t="shared" si="12"/>
        <v>3853.070068</v>
      </c>
      <c r="L45" s="59">
        <f t="shared" si="8"/>
        <v>-0.65554221761429954</v>
      </c>
      <c r="N45">
        <v>44</v>
      </c>
      <c r="O45">
        <f t="shared" si="4"/>
        <v>3853.070068</v>
      </c>
      <c r="P45">
        <f t="shared" ref="P45" si="36">(O46-O44)/O44</f>
        <v>-0.5507375943468632</v>
      </c>
    </row>
    <row r="46" spans="1:16">
      <c r="A46">
        <f t="shared" si="30"/>
        <v>45</v>
      </c>
      <c r="B46" s="30">
        <v>11536</v>
      </c>
      <c r="C46">
        <v>13.86</v>
      </c>
      <c r="I46" s="30"/>
      <c r="J46">
        <v>45</v>
      </c>
      <c r="K46">
        <f t="shared" si="12"/>
        <v>1327.219971</v>
      </c>
      <c r="L46" s="59">
        <f t="shared" si="8"/>
        <v>2.8977926674070474E-2</v>
      </c>
      <c r="N46">
        <v>45</v>
      </c>
      <c r="O46">
        <f t="shared" si="4"/>
        <v>1327.219971</v>
      </c>
      <c r="P46">
        <f>0</f>
        <v>0</v>
      </c>
    </row>
    <row r="47" spans="1:16">
      <c r="A47">
        <f t="shared" si="30"/>
        <v>46</v>
      </c>
      <c r="B47" s="30">
        <v>11567</v>
      </c>
      <c r="C47">
        <v>9.7100000000000009</v>
      </c>
      <c r="I47" s="30"/>
      <c r="J47">
        <v>46</v>
      </c>
      <c r="K47">
        <f t="shared" si="12"/>
        <v>1365.6800539999999</v>
      </c>
      <c r="L47" s="59">
        <f t="shared" si="8"/>
        <v>0.10910315308742147</v>
      </c>
      <c r="N47">
        <v>46</v>
      </c>
      <c r="O47">
        <f t="shared" si="4"/>
        <v>1365.6800539999999</v>
      </c>
      <c r="P47">
        <f t="shared" ref="P47" si="37">(O48-O46)/O46</f>
        <v>0.14124266293156912</v>
      </c>
    </row>
    <row r="48" spans="1:16">
      <c r="A48">
        <f t="shared" si="30"/>
        <v>47</v>
      </c>
      <c r="B48" s="30">
        <v>11597</v>
      </c>
      <c r="C48">
        <v>10.43</v>
      </c>
      <c r="I48" s="30"/>
      <c r="J48">
        <v>47</v>
      </c>
      <c r="K48">
        <f t="shared" si="12"/>
        <v>1514.6800539999999</v>
      </c>
      <c r="L48" s="59">
        <f t="shared" si="8"/>
        <v>0.22761895892767869</v>
      </c>
      <c r="N48">
        <v>47</v>
      </c>
      <c r="O48">
        <f t="shared" si="4"/>
        <v>1514.6800539999999</v>
      </c>
      <c r="P48">
        <f>0</f>
        <v>0</v>
      </c>
    </row>
    <row r="49" spans="1:16">
      <c r="A49">
        <f t="shared" si="30"/>
        <v>48</v>
      </c>
      <c r="B49" s="30">
        <v>11628</v>
      </c>
      <c r="C49">
        <v>9.5</v>
      </c>
      <c r="I49" s="30"/>
      <c r="J49">
        <v>48</v>
      </c>
      <c r="K49">
        <f t="shared" si="12"/>
        <v>1859.4499510000001</v>
      </c>
      <c r="L49" s="59">
        <f t="shared" si="8"/>
        <v>0.13178631071420535</v>
      </c>
      <c r="N49">
        <v>48</v>
      </c>
      <c r="O49">
        <f t="shared" si="4"/>
        <v>1859.4499510000001</v>
      </c>
      <c r="P49">
        <f t="shared" ref="P49" si="38">(O50-O48)/O48</f>
        <v>0.38940233248757106</v>
      </c>
    </row>
    <row r="50" spans="1:16">
      <c r="A50">
        <f t="shared" si="30"/>
        <v>49</v>
      </c>
      <c r="B50" s="30">
        <v>11658</v>
      </c>
      <c r="C50">
        <v>8.1199999999999992</v>
      </c>
      <c r="I50" s="30"/>
      <c r="J50">
        <v>49</v>
      </c>
      <c r="K50">
        <f t="shared" si="12"/>
        <v>2104.5</v>
      </c>
      <c r="L50" s="59">
        <f t="shared" si="8"/>
        <v>-8.1857933000712729E-2</v>
      </c>
      <c r="N50">
        <v>49</v>
      </c>
      <c r="O50">
        <f t="shared" si="4"/>
        <v>2104.5</v>
      </c>
      <c r="P50">
        <f>0</f>
        <v>0</v>
      </c>
    </row>
    <row r="51" spans="1:16">
      <c r="A51">
        <f t="shared" si="30"/>
        <v>50</v>
      </c>
      <c r="B51" s="30">
        <v>11689</v>
      </c>
      <c r="C51">
        <v>7.94</v>
      </c>
      <c r="I51" s="30"/>
      <c r="J51">
        <v>50</v>
      </c>
      <c r="K51">
        <f t="shared" si="12"/>
        <v>1932.2299800000001</v>
      </c>
      <c r="L51" s="59">
        <f t="shared" si="8"/>
        <v>0.2232704789105901</v>
      </c>
      <c r="N51">
        <v>50</v>
      </c>
      <c r="O51">
        <f t="shared" si="4"/>
        <v>1932.2299800000001</v>
      </c>
      <c r="P51">
        <f t="shared" ref="P51" si="39">(O52-O50)/O50</f>
        <v>0.12313608600617726</v>
      </c>
    </row>
    <row r="52" spans="1:16">
      <c r="A52">
        <f t="shared" si="30"/>
        <v>51</v>
      </c>
      <c r="B52" s="30">
        <v>11720</v>
      </c>
      <c r="C52">
        <v>8.2899999999999991</v>
      </c>
      <c r="I52" s="30"/>
      <c r="J52">
        <v>51</v>
      </c>
      <c r="K52">
        <f t="shared" si="12"/>
        <v>2363.639893</v>
      </c>
      <c r="L52" s="59">
        <f t="shared" si="8"/>
        <v>0.14815716473439972</v>
      </c>
      <c r="N52">
        <v>51</v>
      </c>
      <c r="O52">
        <f t="shared" si="4"/>
        <v>2363.639893</v>
      </c>
      <c r="P52">
        <f>0</f>
        <v>0</v>
      </c>
    </row>
    <row r="53" spans="1:16">
      <c r="A53">
        <f t="shared" si="30"/>
        <v>52</v>
      </c>
      <c r="B53" s="30">
        <v>11749</v>
      </c>
      <c r="C53">
        <v>7.31</v>
      </c>
      <c r="I53" s="30"/>
      <c r="J53">
        <v>52</v>
      </c>
      <c r="K53">
        <f t="shared" si="12"/>
        <v>2713.830078</v>
      </c>
      <c r="L53" s="59">
        <f t="shared" si="8"/>
        <v>2.603696987988062E-2</v>
      </c>
      <c r="N53">
        <v>52</v>
      </c>
      <c r="O53">
        <f t="shared" si="4"/>
        <v>2713.830078</v>
      </c>
      <c r="P53">
        <f t="shared" ref="P53" si="40">(O54-O52)/O52</f>
        <v>0.17805169824995842</v>
      </c>
    </row>
    <row r="54" spans="1:16">
      <c r="A54">
        <f t="shared" si="30"/>
        <v>53</v>
      </c>
      <c r="B54" s="30">
        <v>11780</v>
      </c>
      <c r="C54">
        <v>5.83</v>
      </c>
      <c r="I54" s="30"/>
      <c r="J54">
        <v>53</v>
      </c>
      <c r="K54">
        <f t="shared" si="12"/>
        <v>2784.48999</v>
      </c>
      <c r="L54" s="59">
        <f t="shared" si="8"/>
        <v>6.0955500508012225E-2</v>
      </c>
      <c r="N54">
        <v>53</v>
      </c>
      <c r="O54">
        <f t="shared" si="4"/>
        <v>2784.48999</v>
      </c>
      <c r="P54">
        <f>0</f>
        <v>0</v>
      </c>
    </row>
    <row r="55" spans="1:16">
      <c r="A55">
        <f t="shared" si="30"/>
        <v>54</v>
      </c>
      <c r="B55" s="30">
        <v>11810</v>
      </c>
      <c r="C55">
        <v>4.47</v>
      </c>
      <c r="I55" s="30"/>
      <c r="J55">
        <v>54</v>
      </c>
      <c r="K55">
        <f t="shared" si="12"/>
        <v>2954.219971</v>
      </c>
      <c r="L55" s="59">
        <f t="shared" si="8"/>
        <v>0.30425970504008892</v>
      </c>
      <c r="N55">
        <v>54</v>
      </c>
      <c r="O55">
        <f t="shared" si="4"/>
        <v>2954.219971</v>
      </c>
      <c r="P55">
        <f t="shared" ref="P55" si="41">(O56-O54)/O54</f>
        <v>0.38376150815323989</v>
      </c>
    </row>
    <row r="56" spans="1:16">
      <c r="A56">
        <f t="shared" si="30"/>
        <v>55</v>
      </c>
      <c r="B56" s="30">
        <v>11841</v>
      </c>
      <c r="C56">
        <v>4.43</v>
      </c>
      <c r="I56" s="30"/>
      <c r="J56">
        <v>55</v>
      </c>
      <c r="K56">
        <f t="shared" si="12"/>
        <v>3853.070068</v>
      </c>
      <c r="L56" s="59">
        <f>(K57-K56)/K56</f>
        <v>-0.65554221761429954</v>
      </c>
      <c r="N56">
        <v>55</v>
      </c>
      <c r="O56">
        <f t="shared" si="4"/>
        <v>3853.070068</v>
      </c>
      <c r="P56">
        <f>0</f>
        <v>0</v>
      </c>
    </row>
    <row r="57" spans="1:16">
      <c r="A57">
        <f t="shared" si="30"/>
        <v>56</v>
      </c>
      <c r="B57" s="30">
        <v>11871</v>
      </c>
      <c r="C57">
        <v>6.03</v>
      </c>
      <c r="I57" s="30"/>
      <c r="J57">
        <v>56</v>
      </c>
      <c r="K57">
        <f t="shared" si="12"/>
        <v>1327.219971</v>
      </c>
      <c r="L57" s="59">
        <f>(K58-K57)/K57</f>
        <v>2.8977926674070474E-2</v>
      </c>
      <c r="N57">
        <v>56</v>
      </c>
      <c r="O57">
        <f t="shared" si="4"/>
        <v>1327.219971</v>
      </c>
      <c r="P57">
        <f t="shared" ref="P57" si="42">(O58-O56)/O56</f>
        <v>-0.64556054525401385</v>
      </c>
    </row>
    <row r="58" spans="1:16">
      <c r="A58">
        <f t="shared" si="30"/>
        <v>57</v>
      </c>
      <c r="B58" s="30">
        <v>11902</v>
      </c>
      <c r="C58">
        <v>8.39</v>
      </c>
      <c r="I58" s="30"/>
      <c r="J58">
        <v>57</v>
      </c>
      <c r="K58">
        <f t="shared" si="12"/>
        <v>1365.6800539999999</v>
      </c>
      <c r="L58" s="59">
        <f>(K59-K58)/K58</f>
        <v>0.10910315308742147</v>
      </c>
      <c r="N58">
        <v>57</v>
      </c>
      <c r="O58">
        <f t="shared" si="4"/>
        <v>1365.6800539999999</v>
      </c>
      <c r="P58">
        <f>0</f>
        <v>0</v>
      </c>
    </row>
    <row r="59" spans="1:16">
      <c r="A59">
        <f t="shared" si="30"/>
        <v>58</v>
      </c>
      <c r="B59" s="30">
        <v>11933</v>
      </c>
      <c r="C59">
        <v>8.08</v>
      </c>
      <c r="I59" s="30"/>
      <c r="J59">
        <v>58</v>
      </c>
      <c r="K59">
        <f t="shared" si="12"/>
        <v>1514.6800539999999</v>
      </c>
      <c r="L59" s="59">
        <f>(K60-K59)/K59</f>
        <v>0.22761895892767869</v>
      </c>
      <c r="N59">
        <v>58</v>
      </c>
      <c r="O59">
        <f t="shared" si="4"/>
        <v>1514.6800539999999</v>
      </c>
      <c r="P59">
        <f t="shared" ref="P59" si="43">(O60-O58)/O58</f>
        <v>0.3615560581365862</v>
      </c>
    </row>
    <row r="60" spans="1:16">
      <c r="A60">
        <f t="shared" si="30"/>
        <v>59</v>
      </c>
      <c r="B60" s="30">
        <v>11963</v>
      </c>
      <c r="C60">
        <v>6.96</v>
      </c>
      <c r="I60" s="30"/>
      <c r="J60">
        <v>59</v>
      </c>
      <c r="K60">
        <f t="shared" si="12"/>
        <v>1859.4499510000001</v>
      </c>
      <c r="L60" s="59">
        <f>(K61-K60)/K60</f>
        <v>0.13178631071420535</v>
      </c>
      <c r="N60">
        <v>59</v>
      </c>
      <c r="O60">
        <f t="shared" si="4"/>
        <v>1859.4499510000001</v>
      </c>
      <c r="P60">
        <f>0</f>
        <v>0</v>
      </c>
    </row>
    <row r="61" spans="1:16">
      <c r="A61">
        <f t="shared" si="30"/>
        <v>60</v>
      </c>
      <c r="B61" s="30">
        <v>11994</v>
      </c>
      <c r="C61">
        <v>6.55</v>
      </c>
      <c r="I61" s="30"/>
      <c r="J61">
        <v>60</v>
      </c>
      <c r="K61">
        <f t="shared" si="12"/>
        <v>2104.5</v>
      </c>
      <c r="L61" s="59">
        <f t="shared" si="8"/>
        <v>-8.1857933000712729E-2</v>
      </c>
      <c r="N61">
        <v>60</v>
      </c>
      <c r="O61">
        <f t="shared" si="4"/>
        <v>2104.5</v>
      </c>
      <c r="P61">
        <f t="shared" ref="P61" si="44">(O62-O60)/O60</f>
        <v>3.9140622720638105E-2</v>
      </c>
    </row>
    <row r="62" spans="1:16">
      <c r="A62">
        <f t="shared" si="30"/>
        <v>61</v>
      </c>
      <c r="B62" s="30">
        <v>12024</v>
      </c>
      <c r="C62">
        <v>6.92</v>
      </c>
      <c r="I62" s="30"/>
      <c r="J62">
        <v>61</v>
      </c>
      <c r="K62">
        <f t="shared" si="12"/>
        <v>1932.2299800000001</v>
      </c>
      <c r="L62" s="59">
        <f t="shared" si="8"/>
        <v>0.2232704789105901</v>
      </c>
      <c r="N62">
        <v>61</v>
      </c>
      <c r="O62">
        <f t="shared" si="4"/>
        <v>1932.2299800000001</v>
      </c>
      <c r="P62">
        <f>0</f>
        <v>0</v>
      </c>
    </row>
    <row r="63" spans="1:16">
      <c r="A63">
        <f t="shared" si="30"/>
        <v>62</v>
      </c>
      <c r="B63" s="30">
        <v>12055</v>
      </c>
      <c r="C63">
        <v>6.94</v>
      </c>
      <c r="I63" s="30"/>
      <c r="J63">
        <v>62</v>
      </c>
      <c r="K63">
        <f t="shared" si="12"/>
        <v>2363.639893</v>
      </c>
      <c r="L63" s="59">
        <f t="shared" si="8"/>
        <v>0.14815716473439972</v>
      </c>
      <c r="N63">
        <v>62</v>
      </c>
      <c r="O63">
        <f t="shared" si="4"/>
        <v>2363.639893</v>
      </c>
      <c r="P63">
        <f t="shared" ref="P63" si="45">(O64-O62)/O62</f>
        <v>0.40450676476927444</v>
      </c>
    </row>
    <row r="64" spans="1:16">
      <c r="A64">
        <f t="shared" si="30"/>
        <v>63</v>
      </c>
      <c r="B64" s="30">
        <v>12086</v>
      </c>
      <c r="C64">
        <v>5.66</v>
      </c>
      <c r="I64" s="30"/>
      <c r="J64">
        <v>63</v>
      </c>
      <c r="K64">
        <f t="shared" si="12"/>
        <v>2713.830078</v>
      </c>
      <c r="L64" s="59">
        <f t="shared" si="8"/>
        <v>2.603696987988062E-2</v>
      </c>
      <c r="N64">
        <v>63</v>
      </c>
      <c r="O64">
        <f t="shared" si="4"/>
        <v>2713.830078</v>
      </c>
      <c r="P64">
        <f>0</f>
        <v>0</v>
      </c>
    </row>
    <row r="65" spans="1:16">
      <c r="A65">
        <f t="shared" si="30"/>
        <v>64</v>
      </c>
      <c r="B65" s="30">
        <v>12114</v>
      </c>
      <c r="C65">
        <v>5.85</v>
      </c>
      <c r="I65" s="30"/>
      <c r="J65">
        <v>64</v>
      </c>
      <c r="K65">
        <f t="shared" si="12"/>
        <v>2784.48999</v>
      </c>
      <c r="L65" s="59">
        <f t="shared" si="8"/>
        <v>6.0955500508012225E-2</v>
      </c>
      <c r="N65">
        <v>64</v>
      </c>
      <c r="O65">
        <f t="shared" si="4"/>
        <v>2784.48999</v>
      </c>
      <c r="P65">
        <f t="shared" ref="P65" si="46">(O66-O64)/O64</f>
        <v>8.8579566918633001E-2</v>
      </c>
    </row>
    <row r="66" spans="1:16">
      <c r="A66">
        <f t="shared" si="30"/>
        <v>65</v>
      </c>
      <c r="B66" s="30">
        <v>12145</v>
      </c>
      <c r="C66">
        <v>7.83</v>
      </c>
      <c r="I66" s="30"/>
      <c r="J66">
        <v>65</v>
      </c>
      <c r="K66">
        <f t="shared" si="12"/>
        <v>2954.219971</v>
      </c>
      <c r="L66" s="59">
        <f t="shared" si="8"/>
        <v>0.30425970504008892</v>
      </c>
      <c r="N66">
        <v>65</v>
      </c>
      <c r="O66">
        <f t="shared" si="4"/>
        <v>2954.219971</v>
      </c>
      <c r="P66">
        <f>0</f>
        <v>0</v>
      </c>
    </row>
    <row r="67" spans="1:16">
      <c r="A67">
        <f t="shared" si="30"/>
        <v>66</v>
      </c>
      <c r="B67" s="30">
        <v>12175</v>
      </c>
      <c r="C67">
        <v>9.64</v>
      </c>
      <c r="I67" s="30"/>
      <c r="J67">
        <v>66</v>
      </c>
      <c r="K67">
        <f t="shared" si="12"/>
        <v>3853.070068</v>
      </c>
      <c r="L67" s="59">
        <f t="shared" ref="L67:L103" si="47">(K68-K67)/K67</f>
        <v>-0.65554221761429954</v>
      </c>
      <c r="N67">
        <v>66</v>
      </c>
      <c r="O67">
        <f t="shared" ref="O67:O104" si="48">K67</f>
        <v>3853.070068</v>
      </c>
      <c r="P67">
        <f t="shared" ref="P67" si="49">(O68-O66)/O66</f>
        <v>-0.5507375943468632</v>
      </c>
    </row>
    <row r="68" spans="1:16">
      <c r="A68">
        <f t="shared" ref="A68:A131" si="50">A67+1</f>
        <v>67</v>
      </c>
      <c r="B68" s="30">
        <v>12206</v>
      </c>
      <c r="C68">
        <v>10.91</v>
      </c>
      <c r="I68" s="30"/>
      <c r="J68">
        <v>67</v>
      </c>
      <c r="K68">
        <f t="shared" si="12"/>
        <v>1327.219971</v>
      </c>
      <c r="L68" s="59">
        <f t="shared" si="47"/>
        <v>2.8977926674070474E-2</v>
      </c>
      <c r="N68">
        <v>67</v>
      </c>
      <c r="O68">
        <f t="shared" si="48"/>
        <v>1327.219971</v>
      </c>
      <c r="P68">
        <f>0</f>
        <v>0</v>
      </c>
    </row>
    <row r="69" spans="1:16">
      <c r="A69">
        <f t="shared" si="50"/>
        <v>68</v>
      </c>
      <c r="B69" s="30">
        <v>12236</v>
      </c>
      <c r="C69">
        <v>9.9499999999999993</v>
      </c>
      <c r="I69" s="30"/>
      <c r="J69">
        <v>68</v>
      </c>
      <c r="K69">
        <f t="shared" si="12"/>
        <v>1365.6800539999999</v>
      </c>
      <c r="L69" s="59">
        <f t="shared" si="47"/>
        <v>0.10910315308742147</v>
      </c>
      <c r="N69">
        <v>68</v>
      </c>
      <c r="O69">
        <f t="shared" si="48"/>
        <v>1365.6800539999999</v>
      </c>
      <c r="P69">
        <f t="shared" ref="P69" si="51">(O70-O68)/O68</f>
        <v>0.14124266293156912</v>
      </c>
    </row>
    <row r="70" spans="1:16">
      <c r="A70">
        <f t="shared" si="50"/>
        <v>69</v>
      </c>
      <c r="B70" s="30">
        <v>12267</v>
      </c>
      <c r="C70">
        <v>11.09</v>
      </c>
      <c r="I70" s="30"/>
      <c r="J70">
        <v>69</v>
      </c>
      <c r="K70">
        <f t="shared" si="12"/>
        <v>1514.6800539999999</v>
      </c>
      <c r="L70" s="59">
        <f t="shared" si="47"/>
        <v>0.22761895892767869</v>
      </c>
      <c r="N70">
        <v>69</v>
      </c>
      <c r="O70">
        <f t="shared" si="48"/>
        <v>1514.6800539999999</v>
      </c>
      <c r="P70">
        <f>0</f>
        <v>0</v>
      </c>
    </row>
    <row r="71" spans="1:16">
      <c r="A71">
        <f t="shared" si="50"/>
        <v>70</v>
      </c>
      <c r="B71" s="30">
        <v>12298</v>
      </c>
      <c r="C71">
        <v>9.7200000000000006</v>
      </c>
      <c r="I71" s="30"/>
      <c r="J71">
        <v>70</v>
      </c>
      <c r="K71">
        <f t="shared" si="12"/>
        <v>1859.4499510000001</v>
      </c>
      <c r="L71" s="59">
        <f t="shared" si="47"/>
        <v>0.13178631071420535</v>
      </c>
      <c r="N71">
        <v>70</v>
      </c>
      <c r="O71">
        <f t="shared" si="48"/>
        <v>1859.4499510000001</v>
      </c>
      <c r="P71">
        <f t="shared" ref="P71" si="52">(O72-O70)/O70</f>
        <v>0.38940233248757106</v>
      </c>
    </row>
    <row r="72" spans="1:16">
      <c r="A72">
        <f t="shared" si="50"/>
        <v>71</v>
      </c>
      <c r="B72" s="30">
        <v>12328</v>
      </c>
      <c r="C72">
        <v>8.9600000000000009</v>
      </c>
      <c r="I72" s="30"/>
      <c r="J72">
        <v>71</v>
      </c>
      <c r="K72">
        <f t="shared" si="12"/>
        <v>2104.5</v>
      </c>
      <c r="L72" s="59">
        <f t="shared" si="47"/>
        <v>-8.1857933000712729E-2</v>
      </c>
      <c r="N72">
        <v>71</v>
      </c>
      <c r="O72">
        <f t="shared" si="48"/>
        <v>2104.5</v>
      </c>
      <c r="P72">
        <f>0</f>
        <v>0</v>
      </c>
    </row>
    <row r="73" spans="1:16">
      <c r="A73">
        <f t="shared" si="50"/>
        <v>72</v>
      </c>
      <c r="B73" s="30">
        <v>12359</v>
      </c>
      <c r="C73">
        <v>9.8800000000000008</v>
      </c>
      <c r="I73" s="30"/>
      <c r="J73">
        <v>72</v>
      </c>
      <c r="K73">
        <f t="shared" si="12"/>
        <v>1932.2299800000001</v>
      </c>
      <c r="L73" s="59">
        <f t="shared" si="47"/>
        <v>0.2232704789105901</v>
      </c>
      <c r="N73">
        <v>72</v>
      </c>
      <c r="O73">
        <f t="shared" si="48"/>
        <v>1932.2299800000001</v>
      </c>
      <c r="P73">
        <f t="shared" ref="P73" si="53">(O74-O72)/O72</f>
        <v>0.12313608600617726</v>
      </c>
    </row>
    <row r="74" spans="1:16">
      <c r="A74">
        <f t="shared" si="50"/>
        <v>73</v>
      </c>
      <c r="B74" s="30">
        <v>12389</v>
      </c>
      <c r="C74">
        <v>9.9700000000000006</v>
      </c>
      <c r="I74" s="30"/>
      <c r="J74">
        <v>73</v>
      </c>
      <c r="K74">
        <f t="shared" si="12"/>
        <v>2363.639893</v>
      </c>
      <c r="L74" s="59">
        <f t="shared" si="47"/>
        <v>0.14815716473439972</v>
      </c>
      <c r="N74">
        <v>73</v>
      </c>
      <c r="O74">
        <f t="shared" si="48"/>
        <v>2363.639893</v>
      </c>
      <c r="P74">
        <f>0</f>
        <v>0</v>
      </c>
    </row>
    <row r="75" spans="1:16">
      <c r="A75">
        <f t="shared" si="50"/>
        <v>74</v>
      </c>
      <c r="B75" s="30">
        <v>12420</v>
      </c>
      <c r="C75">
        <v>11.17</v>
      </c>
      <c r="I75" s="30"/>
      <c r="J75">
        <v>74</v>
      </c>
      <c r="K75">
        <f t="shared" si="12"/>
        <v>2713.830078</v>
      </c>
      <c r="L75" s="59">
        <f t="shared" si="47"/>
        <v>2.603696987988062E-2</v>
      </c>
      <c r="N75">
        <v>74</v>
      </c>
      <c r="O75">
        <f t="shared" si="48"/>
        <v>2713.830078</v>
      </c>
      <c r="P75">
        <f t="shared" ref="P75" si="54">(O76-O74)/O74</f>
        <v>0.17805169824995842</v>
      </c>
    </row>
    <row r="76" spans="1:16">
      <c r="A76">
        <f t="shared" si="50"/>
        <v>75</v>
      </c>
      <c r="B76" s="30">
        <v>12451</v>
      </c>
      <c r="C76">
        <v>10.76</v>
      </c>
      <c r="I76" s="30"/>
      <c r="J76">
        <v>75</v>
      </c>
      <c r="K76">
        <f t="shared" si="12"/>
        <v>2784.48999</v>
      </c>
      <c r="L76" s="59">
        <f t="shared" si="47"/>
        <v>6.0955500508012225E-2</v>
      </c>
      <c r="N76">
        <v>75</v>
      </c>
      <c r="O76">
        <f t="shared" si="48"/>
        <v>2784.48999</v>
      </c>
      <c r="P76">
        <f>0</f>
        <v>0</v>
      </c>
    </row>
    <row r="77" spans="1:16">
      <c r="A77">
        <f t="shared" si="50"/>
        <v>76</v>
      </c>
      <c r="B77" s="30">
        <v>12479</v>
      </c>
      <c r="C77">
        <v>10.62</v>
      </c>
      <c r="I77" s="30"/>
      <c r="J77">
        <v>76</v>
      </c>
      <c r="K77">
        <f t="shared" si="12"/>
        <v>2954.219971</v>
      </c>
      <c r="L77" s="59">
        <f t="shared" si="47"/>
        <v>0.30425970504008892</v>
      </c>
      <c r="N77">
        <v>76</v>
      </c>
      <c r="O77">
        <f t="shared" si="48"/>
        <v>2954.219971</v>
      </c>
      <c r="P77">
        <f t="shared" ref="P77" si="55">(O78-O76)/O76</f>
        <v>0.38376150815323989</v>
      </c>
    </row>
    <row r="78" spans="1:16">
      <c r="A78">
        <f t="shared" si="50"/>
        <v>77</v>
      </c>
      <c r="B78" s="30">
        <v>12510</v>
      </c>
      <c r="C78">
        <v>10.46</v>
      </c>
      <c r="I78" s="30"/>
      <c r="J78">
        <v>77</v>
      </c>
      <c r="K78">
        <f t="shared" ref="K78:K102" si="56">K67</f>
        <v>3853.070068</v>
      </c>
      <c r="L78" s="59">
        <f t="shared" si="47"/>
        <v>-0.65554221761429954</v>
      </c>
      <c r="N78">
        <v>77</v>
      </c>
      <c r="O78">
        <f t="shared" si="48"/>
        <v>3853.070068</v>
      </c>
      <c r="P78">
        <f>0</f>
        <v>0</v>
      </c>
    </row>
    <row r="79" spans="1:16">
      <c r="A79">
        <f t="shared" si="50"/>
        <v>78</v>
      </c>
      <c r="B79" s="30">
        <v>12540</v>
      </c>
      <c r="C79">
        <v>9.61</v>
      </c>
      <c r="I79" s="30"/>
      <c r="J79">
        <v>78</v>
      </c>
      <c r="K79">
        <f t="shared" si="56"/>
        <v>1327.219971</v>
      </c>
      <c r="L79" s="59">
        <f t="shared" si="47"/>
        <v>2.8977926674070474E-2</v>
      </c>
      <c r="N79">
        <v>78</v>
      </c>
      <c r="O79">
        <f t="shared" si="48"/>
        <v>1327.219971</v>
      </c>
      <c r="P79">
        <f t="shared" ref="P79" si="57">(O80-O78)/O78</f>
        <v>-0.64556054525401385</v>
      </c>
    </row>
    <row r="80" spans="1:16">
      <c r="A80">
        <f t="shared" si="50"/>
        <v>79</v>
      </c>
      <c r="B80" s="30">
        <v>12571</v>
      </c>
      <c r="C80">
        <v>9.81</v>
      </c>
      <c r="I80" s="30"/>
      <c r="J80">
        <v>79</v>
      </c>
      <c r="K80">
        <f t="shared" si="56"/>
        <v>1365.6800539999999</v>
      </c>
      <c r="L80" s="59">
        <f t="shared" si="47"/>
        <v>0.10910315308742147</v>
      </c>
      <c r="N80">
        <v>79</v>
      </c>
      <c r="O80">
        <f t="shared" si="48"/>
        <v>1365.6800539999999</v>
      </c>
      <c r="P80">
        <f>0</f>
        <v>0</v>
      </c>
    </row>
    <row r="81" spans="1:16">
      <c r="A81">
        <f t="shared" si="50"/>
        <v>80</v>
      </c>
      <c r="B81" s="30">
        <v>12601</v>
      </c>
      <c r="C81">
        <v>8.68</v>
      </c>
      <c r="I81" s="30"/>
      <c r="J81">
        <v>80</v>
      </c>
      <c r="K81">
        <f t="shared" si="56"/>
        <v>1514.6800539999999</v>
      </c>
      <c r="L81" s="59">
        <f t="shared" si="47"/>
        <v>0.22761895892767869</v>
      </c>
      <c r="N81">
        <v>80</v>
      </c>
      <c r="O81">
        <f t="shared" si="48"/>
        <v>1514.6800539999999</v>
      </c>
      <c r="P81">
        <f t="shared" ref="P81" si="58">(O82-O80)/O80</f>
        <v>0.3615560581365862</v>
      </c>
    </row>
    <row r="82" spans="1:16">
      <c r="A82">
        <f t="shared" si="50"/>
        <v>81</v>
      </c>
      <c r="B82" s="30">
        <v>12632</v>
      </c>
      <c r="C82">
        <v>9.15</v>
      </c>
      <c r="I82" s="30"/>
      <c r="J82">
        <v>81</v>
      </c>
      <c r="K82">
        <f t="shared" si="56"/>
        <v>1859.4499510000001</v>
      </c>
      <c r="L82" s="59">
        <f t="shared" si="47"/>
        <v>0.13178631071420535</v>
      </c>
      <c r="N82">
        <v>81</v>
      </c>
      <c r="O82">
        <f t="shared" si="48"/>
        <v>1859.4499510000001</v>
      </c>
      <c r="P82">
        <f>0</f>
        <v>0</v>
      </c>
    </row>
    <row r="83" spans="1:16">
      <c r="A83">
        <f t="shared" si="50"/>
        <v>82</v>
      </c>
      <c r="B83" s="30">
        <v>12663</v>
      </c>
      <c r="C83">
        <v>9.08</v>
      </c>
      <c r="I83" s="30"/>
      <c r="J83">
        <v>82</v>
      </c>
      <c r="K83">
        <f t="shared" si="56"/>
        <v>2104.5</v>
      </c>
      <c r="L83" s="59">
        <f t="shared" si="47"/>
        <v>-8.1857933000712729E-2</v>
      </c>
      <c r="N83">
        <v>82</v>
      </c>
      <c r="O83">
        <f t="shared" si="48"/>
        <v>2104.5</v>
      </c>
      <c r="P83">
        <f t="shared" ref="P83" si="59">(O84-O82)/O82</f>
        <v>3.9140622720638105E-2</v>
      </c>
    </row>
    <row r="84" spans="1:16">
      <c r="A84">
        <f t="shared" si="50"/>
        <v>83</v>
      </c>
      <c r="B84" s="30">
        <v>12693</v>
      </c>
      <c r="C84">
        <v>8.81</v>
      </c>
      <c r="I84" s="30"/>
      <c r="J84">
        <v>83</v>
      </c>
      <c r="K84">
        <f t="shared" si="56"/>
        <v>1932.2299800000001</v>
      </c>
      <c r="L84" s="59">
        <f t="shared" si="47"/>
        <v>0.2232704789105901</v>
      </c>
      <c r="N84">
        <v>83</v>
      </c>
      <c r="O84">
        <f t="shared" si="48"/>
        <v>1932.2299800000001</v>
      </c>
      <c r="P84">
        <f>0</f>
        <v>0</v>
      </c>
    </row>
    <row r="85" spans="1:16">
      <c r="A85">
        <f t="shared" si="50"/>
        <v>84</v>
      </c>
      <c r="B85" s="30">
        <v>12724</v>
      </c>
      <c r="C85">
        <v>9.5399999999999991</v>
      </c>
      <c r="I85" s="30"/>
      <c r="J85">
        <v>84</v>
      </c>
      <c r="K85">
        <f t="shared" si="56"/>
        <v>2363.639893</v>
      </c>
      <c r="L85" s="59">
        <f t="shared" si="47"/>
        <v>0.14815716473439972</v>
      </c>
      <c r="N85">
        <v>84</v>
      </c>
      <c r="O85">
        <f t="shared" si="48"/>
        <v>2363.639893</v>
      </c>
      <c r="P85">
        <f t="shared" ref="P85" si="60">(O86-O84)/O84</f>
        <v>0.40450676476927444</v>
      </c>
    </row>
    <row r="86" spans="1:16">
      <c r="A86">
        <f t="shared" si="50"/>
        <v>85</v>
      </c>
      <c r="B86" s="30">
        <v>12754</v>
      </c>
      <c r="C86">
        <v>9.5</v>
      </c>
      <c r="I86" s="30"/>
      <c r="J86">
        <v>85</v>
      </c>
      <c r="K86">
        <f t="shared" si="56"/>
        <v>2713.830078</v>
      </c>
      <c r="L86" s="59">
        <f t="shared" si="47"/>
        <v>2.603696987988062E-2</v>
      </c>
      <c r="N86">
        <v>85</v>
      </c>
      <c r="O86">
        <f t="shared" si="48"/>
        <v>2713.830078</v>
      </c>
      <c r="P86">
        <f>0</f>
        <v>0</v>
      </c>
    </row>
    <row r="87" spans="1:16">
      <c r="A87">
        <f t="shared" si="50"/>
        <v>86</v>
      </c>
      <c r="B87" s="30">
        <v>12785</v>
      </c>
      <c r="C87">
        <v>9.1</v>
      </c>
      <c r="I87" s="30"/>
      <c r="J87">
        <v>86</v>
      </c>
      <c r="K87">
        <f t="shared" si="56"/>
        <v>2784.48999</v>
      </c>
      <c r="L87" s="59">
        <f t="shared" si="47"/>
        <v>6.0955500508012225E-2</v>
      </c>
      <c r="N87">
        <v>86</v>
      </c>
      <c r="O87">
        <f t="shared" si="48"/>
        <v>2784.48999</v>
      </c>
      <c r="P87">
        <f t="shared" ref="P87" si="61">(O88-O86)/O86</f>
        <v>8.8579566918633001E-2</v>
      </c>
    </row>
    <row r="88" spans="1:16">
      <c r="A88">
        <f t="shared" si="50"/>
        <v>87</v>
      </c>
      <c r="B88" s="30">
        <v>12816</v>
      </c>
      <c r="C88">
        <v>8.74</v>
      </c>
      <c r="I88" s="30"/>
      <c r="J88">
        <v>87</v>
      </c>
      <c r="K88">
        <f t="shared" si="56"/>
        <v>2954.219971</v>
      </c>
      <c r="L88" s="59">
        <f t="shared" si="47"/>
        <v>0.30425970504008892</v>
      </c>
      <c r="N88">
        <v>87</v>
      </c>
      <c r="O88">
        <f t="shared" si="48"/>
        <v>2954.219971</v>
      </c>
      <c r="P88">
        <f>0</f>
        <v>0</v>
      </c>
    </row>
    <row r="89" spans="1:16">
      <c r="A89">
        <f t="shared" si="50"/>
        <v>88</v>
      </c>
      <c r="B89" s="30">
        <v>12844</v>
      </c>
      <c r="C89">
        <v>8.4499999999999993</v>
      </c>
      <c r="I89" s="30"/>
      <c r="J89">
        <v>88</v>
      </c>
      <c r="K89">
        <f t="shared" si="56"/>
        <v>3853.070068</v>
      </c>
      <c r="L89" s="59">
        <f t="shared" si="47"/>
        <v>-0.65554221761429954</v>
      </c>
      <c r="N89">
        <v>88</v>
      </c>
      <c r="O89">
        <f t="shared" si="48"/>
        <v>3853.070068</v>
      </c>
      <c r="P89">
        <f t="shared" ref="P89" si="62">(O90-O88)/O88</f>
        <v>-0.5507375943468632</v>
      </c>
    </row>
    <row r="90" spans="1:16">
      <c r="A90">
        <f t="shared" si="50"/>
        <v>89</v>
      </c>
      <c r="B90" s="30">
        <v>12875</v>
      </c>
      <c r="C90">
        <v>9.2799999999999994</v>
      </c>
      <c r="I90" s="30"/>
      <c r="J90">
        <v>89</v>
      </c>
      <c r="K90">
        <f t="shared" si="56"/>
        <v>1327.219971</v>
      </c>
      <c r="L90" s="59">
        <f t="shared" si="47"/>
        <v>2.8977926674070474E-2</v>
      </c>
      <c r="N90">
        <v>89</v>
      </c>
      <c r="O90">
        <f t="shared" si="48"/>
        <v>1327.219971</v>
      </c>
      <c r="P90">
        <f>0</f>
        <v>0</v>
      </c>
    </row>
    <row r="91" spans="1:16">
      <c r="A91">
        <f t="shared" si="50"/>
        <v>90</v>
      </c>
      <c r="B91" s="30">
        <v>12905</v>
      </c>
      <c r="C91">
        <v>9.58</v>
      </c>
      <c r="I91" s="30"/>
      <c r="J91">
        <v>90</v>
      </c>
      <c r="K91">
        <f t="shared" si="56"/>
        <v>1365.6800539999999</v>
      </c>
      <c r="L91" s="59">
        <f t="shared" si="47"/>
        <v>0.10910315308742147</v>
      </c>
      <c r="N91">
        <v>90</v>
      </c>
      <c r="O91">
        <f t="shared" si="48"/>
        <v>1365.6800539999999</v>
      </c>
      <c r="P91">
        <f t="shared" ref="P91" si="63">(O92-O90)/O90</f>
        <v>0.14124266293156912</v>
      </c>
    </row>
    <row r="92" spans="1:16">
      <c r="A92">
        <f t="shared" si="50"/>
        <v>91</v>
      </c>
      <c r="B92" s="30">
        <v>12936</v>
      </c>
      <c r="C92">
        <v>10.24</v>
      </c>
      <c r="I92" s="30"/>
      <c r="J92">
        <v>91</v>
      </c>
      <c r="K92">
        <f t="shared" si="56"/>
        <v>1514.6800539999999</v>
      </c>
      <c r="L92" s="59">
        <f t="shared" si="47"/>
        <v>0.22761895892767869</v>
      </c>
      <c r="N92">
        <v>91</v>
      </c>
      <c r="O92">
        <f t="shared" si="48"/>
        <v>1514.6800539999999</v>
      </c>
      <c r="P92">
        <f>0</f>
        <v>0</v>
      </c>
    </row>
    <row r="93" spans="1:16">
      <c r="A93">
        <f t="shared" si="50"/>
        <v>92</v>
      </c>
      <c r="B93" s="30">
        <v>12966</v>
      </c>
      <c r="C93">
        <v>11.08</v>
      </c>
      <c r="I93" s="30"/>
      <c r="J93">
        <v>92</v>
      </c>
      <c r="K93">
        <f t="shared" si="56"/>
        <v>1859.4499510000001</v>
      </c>
      <c r="L93" s="59">
        <f t="shared" si="47"/>
        <v>0.13178631071420535</v>
      </c>
      <c r="N93">
        <v>92</v>
      </c>
      <c r="O93">
        <f t="shared" si="48"/>
        <v>1859.4499510000001</v>
      </c>
      <c r="P93">
        <f t="shared" ref="P93" si="64">(O94-O92)/O92</f>
        <v>0.38940233248757106</v>
      </c>
    </row>
    <row r="94" spans="1:16">
      <c r="A94">
        <f t="shared" si="50"/>
        <v>93</v>
      </c>
      <c r="B94" s="30">
        <v>12997</v>
      </c>
      <c r="C94">
        <v>11.24</v>
      </c>
      <c r="I94" s="30"/>
      <c r="J94">
        <v>93</v>
      </c>
      <c r="K94">
        <f t="shared" si="56"/>
        <v>2104.5</v>
      </c>
      <c r="L94" s="59">
        <f t="shared" si="47"/>
        <v>-8.1857933000712729E-2</v>
      </c>
      <c r="N94">
        <v>93</v>
      </c>
      <c r="O94">
        <f t="shared" si="48"/>
        <v>2104.5</v>
      </c>
      <c r="P94">
        <f>0</f>
        <v>0</v>
      </c>
    </row>
    <row r="95" spans="1:16">
      <c r="A95">
        <f t="shared" si="50"/>
        <v>94</v>
      </c>
      <c r="B95" s="30">
        <v>13028</v>
      </c>
      <c r="C95">
        <v>11.59</v>
      </c>
      <c r="I95" s="30"/>
      <c r="J95">
        <v>94</v>
      </c>
      <c r="K95">
        <f t="shared" si="56"/>
        <v>1932.2299800000001</v>
      </c>
      <c r="L95" s="59">
        <f t="shared" si="47"/>
        <v>0.2232704789105901</v>
      </c>
      <c r="N95">
        <v>94</v>
      </c>
      <c r="O95">
        <f t="shared" si="48"/>
        <v>1932.2299800000001</v>
      </c>
      <c r="P95">
        <f t="shared" ref="P95" si="65">(O96-O94)/O94</f>
        <v>0.12313608600617726</v>
      </c>
    </row>
    <row r="96" spans="1:16">
      <c r="A96">
        <f t="shared" si="50"/>
        <v>95</v>
      </c>
      <c r="B96" s="30">
        <v>13058</v>
      </c>
      <c r="C96">
        <v>12.46</v>
      </c>
      <c r="I96" s="30"/>
      <c r="J96">
        <v>95</v>
      </c>
      <c r="K96">
        <f t="shared" si="56"/>
        <v>2363.639893</v>
      </c>
      <c r="L96" s="59">
        <f t="shared" si="47"/>
        <v>0.14815716473439972</v>
      </c>
      <c r="N96">
        <v>95</v>
      </c>
      <c r="O96">
        <f t="shared" si="48"/>
        <v>2363.639893</v>
      </c>
      <c r="P96">
        <f>0</f>
        <v>0</v>
      </c>
    </row>
    <row r="97" spans="1:16">
      <c r="A97">
        <f t="shared" si="50"/>
        <v>96</v>
      </c>
      <c r="B97" s="30">
        <v>13089</v>
      </c>
      <c r="C97">
        <v>12.94</v>
      </c>
      <c r="I97" s="30"/>
      <c r="J97">
        <v>96</v>
      </c>
      <c r="K97">
        <f t="shared" si="56"/>
        <v>2713.830078</v>
      </c>
      <c r="L97" s="59">
        <f t="shared" si="47"/>
        <v>2.603696987988062E-2</v>
      </c>
      <c r="N97">
        <v>96</v>
      </c>
      <c r="O97">
        <f t="shared" si="48"/>
        <v>2713.830078</v>
      </c>
      <c r="P97">
        <f t="shared" ref="P97" si="66">(O98-O96)/O96</f>
        <v>0.17805169824995842</v>
      </c>
    </row>
    <row r="98" spans="1:16">
      <c r="A98">
        <f t="shared" si="50"/>
        <v>97</v>
      </c>
      <c r="B98" s="30">
        <v>13119</v>
      </c>
      <c r="C98">
        <v>13.43</v>
      </c>
      <c r="I98" s="30"/>
      <c r="J98">
        <v>97</v>
      </c>
      <c r="K98">
        <f t="shared" si="56"/>
        <v>2784.48999</v>
      </c>
      <c r="L98" s="59">
        <f t="shared" si="47"/>
        <v>6.0955500508012225E-2</v>
      </c>
      <c r="N98">
        <v>97</v>
      </c>
      <c r="O98">
        <f t="shared" si="48"/>
        <v>2784.48999</v>
      </c>
      <c r="P98">
        <f>0</f>
        <v>0</v>
      </c>
    </row>
    <row r="99" spans="1:16">
      <c r="A99">
        <f t="shared" si="50"/>
        <v>98</v>
      </c>
      <c r="B99" s="30">
        <v>13150</v>
      </c>
      <c r="C99">
        <v>14.31</v>
      </c>
      <c r="I99" s="30"/>
      <c r="J99">
        <v>98</v>
      </c>
      <c r="K99">
        <f t="shared" si="56"/>
        <v>2954.219971</v>
      </c>
      <c r="L99" s="59">
        <f t="shared" si="47"/>
        <v>0.30425970504008892</v>
      </c>
      <c r="N99">
        <v>98</v>
      </c>
      <c r="O99">
        <f t="shared" si="48"/>
        <v>2954.219971</v>
      </c>
      <c r="P99">
        <f t="shared" ref="P99" si="67">(O100-O98)/O98</f>
        <v>0.38376150815323989</v>
      </c>
    </row>
    <row r="100" spans="1:16">
      <c r="A100">
        <f t="shared" si="50"/>
        <v>99</v>
      </c>
      <c r="B100" s="30">
        <v>13181</v>
      </c>
      <c r="C100">
        <v>14.6</v>
      </c>
      <c r="I100" s="30"/>
      <c r="J100">
        <v>99</v>
      </c>
      <c r="K100">
        <f t="shared" si="56"/>
        <v>3853.070068</v>
      </c>
      <c r="L100" s="59">
        <f t="shared" si="47"/>
        <v>-0.65554221761429954</v>
      </c>
      <c r="N100">
        <v>99</v>
      </c>
      <c r="O100">
        <f t="shared" si="48"/>
        <v>3853.070068</v>
      </c>
      <c r="P100">
        <f>0</f>
        <v>0</v>
      </c>
    </row>
    <row r="101" spans="1:16">
      <c r="A101">
        <f t="shared" si="50"/>
        <v>100</v>
      </c>
      <c r="B101" s="30">
        <v>13210</v>
      </c>
      <c r="C101">
        <v>14.92</v>
      </c>
      <c r="I101" s="30"/>
      <c r="J101">
        <v>100</v>
      </c>
      <c r="K101">
        <f t="shared" si="56"/>
        <v>1327.219971</v>
      </c>
      <c r="L101" s="59">
        <f t="shared" si="47"/>
        <v>2.8977926674070474E-2</v>
      </c>
      <c r="N101">
        <v>100</v>
      </c>
      <c r="O101">
        <f t="shared" si="48"/>
        <v>1327.219971</v>
      </c>
      <c r="P101">
        <f t="shared" ref="P101" si="68">(O102-O100)/O100</f>
        <v>-0.64556054525401385</v>
      </c>
    </row>
    <row r="102" spans="1:16">
      <c r="A102">
        <f t="shared" si="50"/>
        <v>101</v>
      </c>
      <c r="B102" s="30">
        <v>13241</v>
      </c>
      <c r="C102">
        <v>13.77</v>
      </c>
      <c r="I102" s="30"/>
      <c r="J102">
        <v>101</v>
      </c>
      <c r="K102">
        <f t="shared" si="56"/>
        <v>1365.6800539999999</v>
      </c>
      <c r="L102" s="59">
        <f t="shared" si="47"/>
        <v>0.10910315308742147</v>
      </c>
      <c r="N102">
        <v>101</v>
      </c>
      <c r="O102">
        <f t="shared" si="48"/>
        <v>1365.6800539999999</v>
      </c>
      <c r="P102">
        <f>0</f>
        <v>0</v>
      </c>
    </row>
    <row r="103" spans="1:16">
      <c r="A103">
        <f t="shared" si="50"/>
        <v>102</v>
      </c>
      <c r="B103" s="30">
        <v>13271</v>
      </c>
      <c r="C103">
        <v>14.4</v>
      </c>
      <c r="I103" s="30"/>
      <c r="J103">
        <v>102</v>
      </c>
      <c r="K103">
        <f>K92</f>
        <v>1514.6800539999999</v>
      </c>
      <c r="L103" s="59">
        <f t="shared" si="47"/>
        <v>0.22761895892767869</v>
      </c>
      <c r="N103">
        <v>102</v>
      </c>
      <c r="O103">
        <f t="shared" si="48"/>
        <v>1514.6800539999999</v>
      </c>
      <c r="P103">
        <f t="shared" ref="P103" si="69">(O104-O102)/O102</f>
        <v>0.3615560581365862</v>
      </c>
    </row>
    <row r="104" spans="1:16">
      <c r="A104">
        <f t="shared" si="50"/>
        <v>103</v>
      </c>
      <c r="B104" s="30">
        <v>13302</v>
      </c>
      <c r="C104">
        <v>14.84</v>
      </c>
      <c r="I104" s="30"/>
      <c r="J104">
        <v>103</v>
      </c>
      <c r="K104">
        <f>K93</f>
        <v>1859.4499510000001</v>
      </c>
      <c r="L104" s="59">
        <f>(K105-K104)/K104</f>
        <v>-1</v>
      </c>
      <c r="N104">
        <v>103</v>
      </c>
      <c r="O104">
        <f t="shared" si="48"/>
        <v>1859.4499510000001</v>
      </c>
      <c r="P104">
        <f>0</f>
        <v>0</v>
      </c>
    </row>
    <row r="105" spans="1:16">
      <c r="A105">
        <f t="shared" si="50"/>
        <v>104</v>
      </c>
      <c r="B105" s="30">
        <v>13332</v>
      </c>
      <c r="C105">
        <v>15.85</v>
      </c>
      <c r="I105" s="30"/>
    </row>
    <row r="106" spans="1:16">
      <c r="A106">
        <f t="shared" si="50"/>
        <v>105</v>
      </c>
      <c r="B106" s="30">
        <v>13363</v>
      </c>
      <c r="C106">
        <v>15.99</v>
      </c>
      <c r="I106" s="30"/>
    </row>
    <row r="107" spans="1:16">
      <c r="A107">
        <f t="shared" si="50"/>
        <v>106</v>
      </c>
      <c r="B107" s="30">
        <v>13394</v>
      </c>
      <c r="C107">
        <v>16.010000000000002</v>
      </c>
      <c r="I107" s="30"/>
    </row>
    <row r="108" spans="1:16">
      <c r="A108">
        <f t="shared" si="50"/>
        <v>107</v>
      </c>
      <c r="B108" s="30">
        <v>13424</v>
      </c>
      <c r="C108">
        <v>17.23</v>
      </c>
      <c r="I108" s="30"/>
    </row>
    <row r="109" spans="1:16">
      <c r="A109">
        <f t="shared" si="50"/>
        <v>108</v>
      </c>
      <c r="B109" s="30">
        <v>13455</v>
      </c>
      <c r="C109">
        <v>17.280000999999999</v>
      </c>
      <c r="I109" s="30"/>
    </row>
    <row r="110" spans="1:16">
      <c r="A110">
        <f t="shared" si="50"/>
        <v>109</v>
      </c>
      <c r="B110" s="30">
        <v>13485</v>
      </c>
      <c r="C110">
        <v>17.18</v>
      </c>
      <c r="I110" s="30"/>
    </row>
    <row r="111" spans="1:16">
      <c r="A111">
        <f t="shared" si="50"/>
        <v>110</v>
      </c>
      <c r="B111" s="30">
        <v>13516</v>
      </c>
      <c r="C111">
        <v>17.77</v>
      </c>
      <c r="I111" s="30"/>
    </row>
    <row r="112" spans="1:16">
      <c r="A112">
        <f t="shared" si="50"/>
        <v>111</v>
      </c>
      <c r="B112" s="30">
        <v>13547</v>
      </c>
      <c r="C112">
        <v>18.059999000000001</v>
      </c>
      <c r="I112" s="30"/>
    </row>
    <row r="113" spans="1:9">
      <c r="A113">
        <f t="shared" si="50"/>
        <v>112</v>
      </c>
      <c r="B113" s="30">
        <v>13575</v>
      </c>
      <c r="C113">
        <v>17.920000000000002</v>
      </c>
      <c r="I113" s="30"/>
    </row>
    <row r="114" spans="1:9">
      <c r="A114">
        <f t="shared" si="50"/>
        <v>113</v>
      </c>
      <c r="B114" s="30">
        <v>13606</v>
      </c>
      <c r="C114">
        <v>16.43</v>
      </c>
      <c r="I114" s="30"/>
    </row>
    <row r="115" spans="1:9">
      <c r="A115">
        <f t="shared" si="50"/>
        <v>114</v>
      </c>
      <c r="B115" s="30">
        <v>13636</v>
      </c>
      <c r="C115">
        <v>16.260000000000002</v>
      </c>
      <c r="I115" s="30"/>
    </row>
    <row r="116" spans="1:9">
      <c r="A116">
        <f t="shared" si="50"/>
        <v>115</v>
      </c>
      <c r="B116" s="30">
        <v>13667</v>
      </c>
      <c r="C116">
        <v>15.4</v>
      </c>
      <c r="I116" s="30"/>
    </row>
    <row r="117" spans="1:9">
      <c r="A117">
        <f t="shared" si="50"/>
        <v>116</v>
      </c>
      <c r="B117" s="30">
        <v>13697</v>
      </c>
      <c r="C117">
        <v>16.77</v>
      </c>
      <c r="I117" s="30"/>
    </row>
    <row r="118" spans="1:9">
      <c r="A118">
        <f t="shared" si="50"/>
        <v>117</v>
      </c>
      <c r="B118" s="30">
        <v>13728</v>
      </c>
      <c r="C118">
        <v>16.040001</v>
      </c>
      <c r="I118" s="30"/>
    </row>
    <row r="119" spans="1:9">
      <c r="A119">
        <f t="shared" si="50"/>
        <v>118</v>
      </c>
      <c r="B119" s="30">
        <v>13759</v>
      </c>
      <c r="C119">
        <v>13.76</v>
      </c>
      <c r="I119" s="30"/>
    </row>
    <row r="120" spans="1:9">
      <c r="A120">
        <f t="shared" si="50"/>
        <v>119</v>
      </c>
      <c r="B120" s="30">
        <v>13789</v>
      </c>
      <c r="C120">
        <v>12.35</v>
      </c>
      <c r="I120" s="30"/>
    </row>
    <row r="121" spans="1:9">
      <c r="A121">
        <f t="shared" si="50"/>
        <v>120</v>
      </c>
      <c r="B121" s="30">
        <v>13820</v>
      </c>
      <c r="C121">
        <v>11.11</v>
      </c>
      <c r="I121" s="30"/>
    </row>
    <row r="122" spans="1:9">
      <c r="A122">
        <f t="shared" si="50"/>
        <v>121</v>
      </c>
      <c r="B122" s="30">
        <v>13850</v>
      </c>
      <c r="C122">
        <v>10.55</v>
      </c>
      <c r="I122" s="30"/>
    </row>
    <row r="123" spans="1:9">
      <c r="A123">
        <f t="shared" si="50"/>
        <v>122</v>
      </c>
      <c r="B123" s="30">
        <v>13881</v>
      </c>
      <c r="C123">
        <v>10.69</v>
      </c>
      <c r="I123" s="30"/>
    </row>
    <row r="124" spans="1:9">
      <c r="A124">
        <f t="shared" si="50"/>
        <v>123</v>
      </c>
      <c r="B124" s="30">
        <v>13912</v>
      </c>
      <c r="C124">
        <v>11.34</v>
      </c>
      <c r="I124" s="30"/>
    </row>
    <row r="125" spans="1:9">
      <c r="A125">
        <f t="shared" si="50"/>
        <v>124</v>
      </c>
      <c r="B125" s="30">
        <v>13940</v>
      </c>
      <c r="C125">
        <v>8.5</v>
      </c>
      <c r="I125" s="30"/>
    </row>
    <row r="126" spans="1:9">
      <c r="A126">
        <f t="shared" si="50"/>
        <v>125</v>
      </c>
      <c r="B126" s="30">
        <v>13971</v>
      </c>
      <c r="C126">
        <v>9.7799999999999994</v>
      </c>
      <c r="I126" s="30"/>
    </row>
    <row r="127" spans="1:9">
      <c r="A127">
        <f t="shared" si="50"/>
        <v>126</v>
      </c>
      <c r="B127" s="30">
        <v>14001</v>
      </c>
      <c r="C127">
        <v>9.27</v>
      </c>
      <c r="I127" s="30"/>
    </row>
    <row r="128" spans="1:9">
      <c r="A128">
        <f t="shared" si="50"/>
        <v>127</v>
      </c>
      <c r="B128" s="30">
        <v>14032</v>
      </c>
      <c r="C128">
        <v>11.56</v>
      </c>
      <c r="I128" s="30"/>
    </row>
    <row r="129" spans="1:9">
      <c r="A129">
        <f t="shared" si="50"/>
        <v>128</v>
      </c>
      <c r="B129" s="30">
        <v>14062</v>
      </c>
      <c r="C129">
        <v>12.33</v>
      </c>
      <c r="I129" s="30"/>
    </row>
    <row r="130" spans="1:9">
      <c r="A130">
        <f t="shared" si="50"/>
        <v>129</v>
      </c>
      <c r="B130" s="30">
        <v>14093</v>
      </c>
      <c r="C130">
        <v>12.06</v>
      </c>
      <c r="I130" s="30"/>
    </row>
    <row r="131" spans="1:9">
      <c r="A131">
        <f t="shared" si="50"/>
        <v>130</v>
      </c>
      <c r="B131" s="30">
        <v>14124</v>
      </c>
      <c r="C131">
        <v>12.24</v>
      </c>
      <c r="I131" s="30"/>
    </row>
    <row r="132" spans="1:9">
      <c r="A132">
        <f t="shared" ref="A132:A195" si="70">A131+1</f>
        <v>131</v>
      </c>
      <c r="B132" s="30">
        <v>14154</v>
      </c>
      <c r="C132">
        <v>13.17</v>
      </c>
      <c r="I132" s="30"/>
    </row>
    <row r="133" spans="1:9">
      <c r="A133">
        <f t="shared" si="70"/>
        <v>132</v>
      </c>
      <c r="B133" s="30">
        <v>14185</v>
      </c>
      <c r="C133">
        <v>12.73</v>
      </c>
      <c r="I133" s="30"/>
    </row>
    <row r="134" spans="1:9">
      <c r="A134">
        <f t="shared" si="70"/>
        <v>133</v>
      </c>
      <c r="B134" s="30">
        <v>14215</v>
      </c>
      <c r="C134">
        <v>13.14</v>
      </c>
      <c r="I134" s="30"/>
    </row>
    <row r="135" spans="1:9">
      <c r="A135">
        <f t="shared" si="70"/>
        <v>134</v>
      </c>
      <c r="B135" s="30">
        <v>14246</v>
      </c>
      <c r="C135">
        <v>12.3</v>
      </c>
      <c r="I135" s="30"/>
    </row>
    <row r="136" spans="1:9">
      <c r="A136">
        <f t="shared" si="70"/>
        <v>135</v>
      </c>
      <c r="B136" s="30">
        <v>14277</v>
      </c>
      <c r="C136">
        <v>12.7</v>
      </c>
      <c r="I136" s="30"/>
    </row>
    <row r="137" spans="1:9">
      <c r="A137">
        <f t="shared" si="70"/>
        <v>136</v>
      </c>
      <c r="B137" s="30">
        <v>14305</v>
      </c>
      <c r="C137">
        <v>10.98</v>
      </c>
      <c r="I137" s="30"/>
    </row>
    <row r="138" spans="1:9">
      <c r="A138">
        <f t="shared" si="70"/>
        <v>137</v>
      </c>
      <c r="B138" s="30">
        <v>14336</v>
      </c>
      <c r="C138">
        <v>10.93</v>
      </c>
      <c r="I138" s="30"/>
    </row>
    <row r="139" spans="1:9">
      <c r="A139">
        <f t="shared" si="70"/>
        <v>138</v>
      </c>
      <c r="B139" s="30">
        <v>14366</v>
      </c>
      <c r="C139">
        <v>11.6</v>
      </c>
      <c r="I139" s="30"/>
    </row>
    <row r="140" spans="1:9">
      <c r="A140">
        <f t="shared" si="70"/>
        <v>139</v>
      </c>
      <c r="B140" s="30">
        <v>14397</v>
      </c>
      <c r="C140">
        <v>10.86</v>
      </c>
      <c r="I140" s="30"/>
    </row>
    <row r="141" spans="1:9">
      <c r="A141">
        <f t="shared" si="70"/>
        <v>140</v>
      </c>
      <c r="B141" s="30">
        <v>14427</v>
      </c>
      <c r="C141">
        <v>12.04</v>
      </c>
      <c r="I141" s="30"/>
    </row>
    <row r="142" spans="1:9">
      <c r="A142">
        <f t="shared" si="70"/>
        <v>141</v>
      </c>
      <c r="B142" s="30">
        <v>14458</v>
      </c>
      <c r="C142">
        <v>11.18</v>
      </c>
      <c r="I142" s="30"/>
    </row>
    <row r="143" spans="1:9">
      <c r="A143">
        <f t="shared" si="70"/>
        <v>142</v>
      </c>
      <c r="B143" s="30">
        <v>14489</v>
      </c>
      <c r="C143">
        <v>12.79</v>
      </c>
      <c r="I143" s="30"/>
    </row>
    <row r="144" spans="1:9">
      <c r="A144">
        <f t="shared" si="70"/>
        <v>143</v>
      </c>
      <c r="B144" s="30">
        <v>14519</v>
      </c>
      <c r="C144">
        <v>12.83</v>
      </c>
      <c r="I144" s="30"/>
    </row>
    <row r="145" spans="1:9">
      <c r="A145">
        <f t="shared" si="70"/>
        <v>144</v>
      </c>
      <c r="B145" s="30">
        <v>14550</v>
      </c>
      <c r="C145">
        <v>12.2</v>
      </c>
      <c r="I145" s="30"/>
    </row>
    <row r="146" spans="1:9">
      <c r="A146">
        <f t="shared" si="70"/>
        <v>145</v>
      </c>
      <c r="B146" s="30">
        <v>14580</v>
      </c>
      <c r="C146">
        <v>12.46</v>
      </c>
      <c r="I146" s="30"/>
    </row>
    <row r="147" spans="1:9">
      <c r="A147">
        <f t="shared" si="70"/>
        <v>146</v>
      </c>
      <c r="B147" s="30">
        <v>14611</v>
      </c>
      <c r="C147">
        <v>12.05</v>
      </c>
      <c r="I147" s="30"/>
    </row>
    <row r="148" spans="1:9">
      <c r="A148">
        <f t="shared" si="70"/>
        <v>147</v>
      </c>
      <c r="B148" s="30">
        <v>14642</v>
      </c>
      <c r="C148">
        <v>12.13</v>
      </c>
      <c r="I148" s="30"/>
    </row>
    <row r="149" spans="1:9">
      <c r="A149">
        <f t="shared" si="70"/>
        <v>148</v>
      </c>
      <c r="B149" s="30">
        <v>14671</v>
      </c>
      <c r="C149">
        <v>12.18</v>
      </c>
      <c r="I149" s="30"/>
    </row>
    <row r="150" spans="1:9">
      <c r="A150">
        <f t="shared" si="70"/>
        <v>149</v>
      </c>
      <c r="B150" s="30">
        <v>14702</v>
      </c>
      <c r="C150">
        <v>12.19</v>
      </c>
      <c r="I150" s="30"/>
    </row>
    <row r="151" spans="1:9">
      <c r="A151">
        <f t="shared" si="70"/>
        <v>150</v>
      </c>
      <c r="B151" s="30">
        <v>14732</v>
      </c>
      <c r="C151">
        <v>9.27</v>
      </c>
      <c r="I151" s="30"/>
    </row>
    <row r="152" spans="1:9">
      <c r="A152">
        <f t="shared" si="70"/>
        <v>151</v>
      </c>
      <c r="B152" s="30">
        <v>14763</v>
      </c>
      <c r="C152">
        <v>9.98</v>
      </c>
      <c r="I152" s="30"/>
    </row>
    <row r="153" spans="1:9">
      <c r="A153">
        <f t="shared" si="70"/>
        <v>152</v>
      </c>
      <c r="B153" s="30">
        <v>14793</v>
      </c>
      <c r="C153">
        <v>10.29</v>
      </c>
      <c r="I153" s="30"/>
    </row>
    <row r="154" spans="1:9">
      <c r="A154">
        <f t="shared" si="70"/>
        <v>153</v>
      </c>
      <c r="B154" s="30">
        <v>14824</v>
      </c>
      <c r="C154">
        <v>10.5</v>
      </c>
      <c r="I154" s="30"/>
    </row>
    <row r="155" spans="1:9">
      <c r="A155">
        <f t="shared" si="70"/>
        <v>154</v>
      </c>
      <c r="B155" s="30">
        <v>14855</v>
      </c>
      <c r="C155">
        <v>10.66</v>
      </c>
      <c r="I155" s="30"/>
    </row>
    <row r="156" spans="1:9">
      <c r="A156">
        <f t="shared" si="70"/>
        <v>155</v>
      </c>
      <c r="B156" s="30">
        <v>14885</v>
      </c>
      <c r="C156">
        <v>11.08</v>
      </c>
      <c r="I156" s="30"/>
    </row>
    <row r="157" spans="1:9">
      <c r="A157">
        <f t="shared" si="70"/>
        <v>156</v>
      </c>
      <c r="B157" s="30">
        <v>14916</v>
      </c>
      <c r="C157">
        <v>10.57</v>
      </c>
      <c r="I157" s="30"/>
    </row>
    <row r="158" spans="1:9">
      <c r="A158">
        <f t="shared" si="70"/>
        <v>157</v>
      </c>
      <c r="B158" s="30">
        <v>14946</v>
      </c>
      <c r="C158">
        <v>10.58</v>
      </c>
      <c r="I158" s="30"/>
    </row>
    <row r="159" spans="1:9">
      <c r="A159">
        <f t="shared" si="70"/>
        <v>158</v>
      </c>
      <c r="B159" s="30">
        <v>14977</v>
      </c>
      <c r="C159">
        <v>10.07</v>
      </c>
      <c r="I159" s="30"/>
    </row>
    <row r="160" spans="1:9">
      <c r="A160">
        <f t="shared" si="70"/>
        <v>159</v>
      </c>
      <c r="B160" s="30">
        <v>15008</v>
      </c>
      <c r="C160">
        <v>9.92</v>
      </c>
      <c r="I160" s="30"/>
    </row>
    <row r="161" spans="1:9">
      <c r="A161">
        <f t="shared" si="70"/>
        <v>160</v>
      </c>
      <c r="B161" s="30">
        <v>15036</v>
      </c>
      <c r="C161">
        <v>9.9600000000000009</v>
      </c>
      <c r="I161" s="30"/>
    </row>
    <row r="162" spans="1:9">
      <c r="A162">
        <f t="shared" si="70"/>
        <v>161</v>
      </c>
      <c r="B162" s="30">
        <v>15067</v>
      </c>
      <c r="C162">
        <v>9.31</v>
      </c>
      <c r="I162" s="30"/>
    </row>
    <row r="163" spans="1:9">
      <c r="A163">
        <f t="shared" si="70"/>
        <v>162</v>
      </c>
      <c r="B163" s="30">
        <v>15097</v>
      </c>
      <c r="C163">
        <v>9.3800000000000008</v>
      </c>
      <c r="I163" s="30"/>
    </row>
    <row r="164" spans="1:9">
      <c r="A164">
        <f t="shared" si="70"/>
        <v>163</v>
      </c>
      <c r="B164" s="30">
        <v>15128</v>
      </c>
      <c r="C164">
        <v>9.85</v>
      </c>
      <c r="I164" s="30"/>
    </row>
    <row r="165" spans="1:9">
      <c r="A165">
        <f t="shared" si="70"/>
        <v>164</v>
      </c>
      <c r="B165" s="30">
        <v>15158</v>
      </c>
      <c r="C165">
        <v>10.39</v>
      </c>
      <c r="I165" s="30"/>
    </row>
    <row r="166" spans="1:9">
      <c r="A166">
        <f t="shared" si="70"/>
        <v>165</v>
      </c>
      <c r="B166" s="30">
        <v>15189</v>
      </c>
      <c r="C166">
        <v>10.28</v>
      </c>
      <c r="I166" s="30"/>
    </row>
    <row r="167" spans="1:9">
      <c r="A167">
        <f t="shared" si="70"/>
        <v>166</v>
      </c>
      <c r="B167" s="30">
        <v>15220</v>
      </c>
      <c r="C167">
        <v>10.199999999999999</v>
      </c>
      <c r="I167" s="30"/>
    </row>
    <row r="168" spans="1:9">
      <c r="A168">
        <f t="shared" si="70"/>
        <v>167</v>
      </c>
      <c r="B168" s="30">
        <v>15250</v>
      </c>
      <c r="C168">
        <v>9.5</v>
      </c>
      <c r="I168" s="30"/>
    </row>
    <row r="169" spans="1:9">
      <c r="A169">
        <f t="shared" si="70"/>
        <v>168</v>
      </c>
      <c r="B169" s="30">
        <v>15281</v>
      </c>
      <c r="C169">
        <v>9.1199999999999992</v>
      </c>
      <c r="I169" s="30"/>
    </row>
    <row r="170" spans="1:9">
      <c r="A170">
        <f t="shared" si="70"/>
        <v>169</v>
      </c>
      <c r="B170" s="30">
        <v>15311</v>
      </c>
      <c r="C170">
        <v>8.69</v>
      </c>
      <c r="I170" s="30"/>
    </row>
    <row r="171" spans="1:9">
      <c r="A171">
        <f t="shared" si="70"/>
        <v>170</v>
      </c>
      <c r="B171" s="30">
        <v>15342</v>
      </c>
      <c r="C171">
        <v>8.85</v>
      </c>
      <c r="I171" s="30"/>
    </row>
    <row r="172" spans="1:9">
      <c r="A172">
        <f t="shared" si="70"/>
        <v>171</v>
      </c>
      <c r="B172" s="30">
        <v>15373</v>
      </c>
      <c r="C172">
        <v>8.59</v>
      </c>
      <c r="I172" s="30"/>
    </row>
    <row r="173" spans="1:9">
      <c r="A173">
        <f t="shared" si="70"/>
        <v>172</v>
      </c>
      <c r="B173" s="30">
        <v>15401</v>
      </c>
      <c r="C173">
        <v>8.01</v>
      </c>
      <c r="I173" s="30"/>
    </row>
    <row r="174" spans="1:9">
      <c r="A174">
        <f t="shared" si="70"/>
        <v>173</v>
      </c>
      <c r="B174" s="30">
        <v>15432</v>
      </c>
      <c r="C174">
        <v>7.66</v>
      </c>
      <c r="I174" s="30"/>
    </row>
    <row r="175" spans="1:9">
      <c r="A175">
        <f t="shared" si="70"/>
        <v>174</v>
      </c>
      <c r="B175" s="30">
        <v>15462</v>
      </c>
      <c r="C175">
        <v>8.15</v>
      </c>
      <c r="I175" s="30"/>
    </row>
    <row r="176" spans="1:9">
      <c r="A176">
        <f t="shared" si="70"/>
        <v>175</v>
      </c>
      <c r="B176" s="30">
        <v>15493</v>
      </c>
      <c r="C176">
        <v>8.3000000000000007</v>
      </c>
      <c r="I176" s="30"/>
    </row>
    <row r="177" spans="1:9">
      <c r="A177">
        <f t="shared" si="70"/>
        <v>176</v>
      </c>
      <c r="B177" s="30">
        <v>15523</v>
      </c>
      <c r="C177">
        <v>8.56</v>
      </c>
      <c r="I177" s="30"/>
    </row>
    <row r="178" spans="1:9">
      <c r="A178">
        <f t="shared" si="70"/>
        <v>177</v>
      </c>
      <c r="B178" s="30">
        <v>15554</v>
      </c>
      <c r="C178">
        <v>8.6199999999999992</v>
      </c>
      <c r="I178" s="30"/>
    </row>
    <row r="179" spans="1:9">
      <c r="A179">
        <f t="shared" si="70"/>
        <v>178</v>
      </c>
      <c r="B179" s="30">
        <v>15585</v>
      </c>
      <c r="C179">
        <v>8.85</v>
      </c>
      <c r="I179" s="30"/>
    </row>
    <row r="180" spans="1:9">
      <c r="A180">
        <f t="shared" si="70"/>
        <v>179</v>
      </c>
      <c r="B180" s="30">
        <v>15615</v>
      </c>
      <c r="C180">
        <v>9.36</v>
      </c>
      <c r="I180" s="30"/>
    </row>
    <row r="181" spans="1:9">
      <c r="A181">
        <f t="shared" si="70"/>
        <v>180</v>
      </c>
      <c r="B181" s="30">
        <v>15646</v>
      </c>
      <c r="C181">
        <v>9.2899999999999991</v>
      </c>
      <c r="I181" s="30"/>
    </row>
    <row r="182" spans="1:9">
      <c r="A182">
        <f t="shared" si="70"/>
        <v>181</v>
      </c>
      <c r="B182" s="30">
        <v>15676</v>
      </c>
      <c r="C182">
        <v>9.77</v>
      </c>
      <c r="I182" s="30"/>
    </row>
    <row r="183" spans="1:9">
      <c r="A183">
        <f t="shared" si="70"/>
        <v>182</v>
      </c>
      <c r="B183" s="30">
        <v>15707</v>
      </c>
      <c r="C183">
        <v>10.44</v>
      </c>
      <c r="I183" s="30"/>
    </row>
    <row r="184" spans="1:9">
      <c r="A184">
        <f t="shared" si="70"/>
        <v>183</v>
      </c>
      <c r="B184" s="30">
        <v>15738</v>
      </c>
      <c r="C184">
        <v>10.97</v>
      </c>
      <c r="I184" s="30"/>
    </row>
    <row r="185" spans="1:9">
      <c r="A185">
        <f t="shared" si="70"/>
        <v>184</v>
      </c>
      <c r="B185" s="30">
        <v>15766</v>
      </c>
      <c r="C185">
        <v>11.58</v>
      </c>
      <c r="I185" s="30"/>
    </row>
    <row r="186" spans="1:9">
      <c r="A186">
        <f t="shared" si="70"/>
        <v>185</v>
      </c>
      <c r="B186" s="30">
        <v>15797</v>
      </c>
      <c r="C186">
        <v>11.59</v>
      </c>
      <c r="I186" s="30"/>
    </row>
    <row r="187" spans="1:9">
      <c r="A187">
        <f t="shared" si="70"/>
        <v>186</v>
      </c>
      <c r="B187" s="30">
        <v>15827</v>
      </c>
      <c r="C187">
        <v>12.05</v>
      </c>
      <c r="I187" s="30"/>
    </row>
    <row r="188" spans="1:9">
      <c r="A188">
        <f t="shared" si="70"/>
        <v>187</v>
      </c>
      <c r="B188" s="30">
        <v>15858</v>
      </c>
      <c r="C188">
        <v>12.35</v>
      </c>
      <c r="I188" s="30"/>
    </row>
    <row r="189" spans="1:9">
      <c r="A189">
        <f t="shared" si="70"/>
        <v>188</v>
      </c>
      <c r="B189" s="30">
        <v>15888</v>
      </c>
      <c r="C189">
        <v>11.85</v>
      </c>
      <c r="I189" s="30"/>
    </row>
    <row r="190" spans="1:9">
      <c r="A190">
        <f t="shared" si="70"/>
        <v>189</v>
      </c>
      <c r="B190" s="30">
        <v>15919</v>
      </c>
      <c r="C190">
        <v>11.8</v>
      </c>
      <c r="I190" s="30"/>
    </row>
    <row r="191" spans="1:9">
      <c r="A191">
        <f t="shared" si="70"/>
        <v>190</v>
      </c>
      <c r="B191" s="30">
        <v>15950</v>
      </c>
      <c r="C191">
        <v>12.08</v>
      </c>
      <c r="I191" s="30"/>
    </row>
    <row r="192" spans="1:9">
      <c r="A192">
        <f t="shared" si="70"/>
        <v>191</v>
      </c>
      <c r="B192" s="30">
        <v>15980</v>
      </c>
      <c r="C192">
        <v>11.91</v>
      </c>
      <c r="I192" s="30"/>
    </row>
    <row r="193" spans="1:9">
      <c r="A193">
        <f t="shared" si="70"/>
        <v>192</v>
      </c>
      <c r="B193" s="30">
        <v>16011</v>
      </c>
      <c r="C193">
        <v>11.02</v>
      </c>
      <c r="I193" s="30"/>
    </row>
    <row r="194" spans="1:9">
      <c r="A194">
        <f t="shared" si="70"/>
        <v>193</v>
      </c>
      <c r="B194" s="30">
        <v>16041</v>
      </c>
      <c r="C194">
        <v>11.67</v>
      </c>
      <c r="I194" s="30"/>
    </row>
    <row r="195" spans="1:9">
      <c r="A195">
        <f t="shared" si="70"/>
        <v>194</v>
      </c>
      <c r="B195" s="30">
        <v>16072</v>
      </c>
      <c r="C195">
        <v>11.85</v>
      </c>
      <c r="I195" s="30"/>
    </row>
    <row r="196" spans="1:9">
      <c r="A196">
        <f t="shared" ref="A196:A259" si="71">A195+1</f>
        <v>195</v>
      </c>
      <c r="B196" s="30">
        <v>16103</v>
      </c>
      <c r="C196">
        <v>11.82</v>
      </c>
      <c r="I196" s="30"/>
    </row>
    <row r="197" spans="1:9">
      <c r="A197">
        <f t="shared" si="71"/>
        <v>196</v>
      </c>
      <c r="B197" s="30">
        <v>16132</v>
      </c>
      <c r="C197">
        <v>12.02</v>
      </c>
      <c r="I197" s="30"/>
    </row>
    <row r="198" spans="1:9">
      <c r="A198">
        <f t="shared" si="71"/>
        <v>197</v>
      </c>
      <c r="B198" s="30">
        <v>16163</v>
      </c>
      <c r="C198">
        <v>11.87</v>
      </c>
      <c r="I198" s="30"/>
    </row>
    <row r="199" spans="1:9">
      <c r="A199">
        <f t="shared" si="71"/>
        <v>198</v>
      </c>
      <c r="B199" s="30">
        <v>16193</v>
      </c>
      <c r="C199">
        <v>12.35</v>
      </c>
      <c r="I199" s="30"/>
    </row>
    <row r="200" spans="1:9">
      <c r="A200">
        <f t="shared" si="71"/>
        <v>199</v>
      </c>
      <c r="B200" s="30">
        <v>16224</v>
      </c>
      <c r="C200">
        <v>12.98</v>
      </c>
      <c r="I200" s="30"/>
    </row>
    <row r="201" spans="1:9">
      <c r="A201">
        <f t="shared" si="71"/>
        <v>200</v>
      </c>
      <c r="B201" s="30">
        <v>16254</v>
      </c>
      <c r="C201">
        <v>12.71</v>
      </c>
      <c r="I201" s="30"/>
    </row>
    <row r="202" spans="1:9">
      <c r="A202">
        <f t="shared" si="71"/>
        <v>201</v>
      </c>
      <c r="B202" s="30">
        <v>16285</v>
      </c>
      <c r="C202">
        <v>12.82</v>
      </c>
      <c r="I202" s="30"/>
    </row>
    <row r="203" spans="1:9">
      <c r="A203">
        <f t="shared" si="71"/>
        <v>202</v>
      </c>
      <c r="B203" s="30">
        <v>16316</v>
      </c>
      <c r="C203">
        <v>12.74</v>
      </c>
      <c r="I203" s="30"/>
    </row>
    <row r="204" spans="1:9">
      <c r="A204">
        <f t="shared" si="71"/>
        <v>203</v>
      </c>
      <c r="B204" s="30">
        <v>16346</v>
      </c>
      <c r="C204">
        <v>12.78</v>
      </c>
      <c r="I204" s="30"/>
    </row>
    <row r="205" spans="1:9">
      <c r="A205">
        <f t="shared" si="71"/>
        <v>204</v>
      </c>
      <c r="B205" s="30">
        <v>16377</v>
      </c>
      <c r="C205">
        <v>12.83</v>
      </c>
      <c r="I205" s="30"/>
    </row>
    <row r="206" spans="1:9">
      <c r="A206">
        <f t="shared" si="71"/>
        <v>205</v>
      </c>
      <c r="B206" s="30">
        <v>16407</v>
      </c>
      <c r="C206">
        <v>13.28</v>
      </c>
      <c r="I206" s="30"/>
    </row>
    <row r="207" spans="1:9">
      <c r="A207">
        <f t="shared" si="71"/>
        <v>206</v>
      </c>
      <c r="B207" s="30">
        <v>16438</v>
      </c>
      <c r="C207">
        <v>13.47</v>
      </c>
      <c r="I207" s="30"/>
    </row>
    <row r="208" spans="1:9">
      <c r="A208">
        <f t="shared" si="71"/>
        <v>207</v>
      </c>
      <c r="B208" s="30">
        <v>16469</v>
      </c>
      <c r="C208">
        <v>14.3</v>
      </c>
      <c r="I208" s="30"/>
    </row>
    <row r="209" spans="1:9">
      <c r="A209">
        <f t="shared" si="71"/>
        <v>208</v>
      </c>
      <c r="B209" s="30">
        <v>16497</v>
      </c>
      <c r="C209">
        <v>13.61</v>
      </c>
      <c r="I209" s="30"/>
    </row>
    <row r="210" spans="1:9">
      <c r="A210">
        <f t="shared" si="71"/>
        <v>209</v>
      </c>
      <c r="B210" s="30">
        <v>16528</v>
      </c>
      <c r="C210">
        <v>14.84</v>
      </c>
      <c r="I210" s="30"/>
    </row>
    <row r="211" spans="1:9">
      <c r="A211">
        <f t="shared" si="71"/>
        <v>210</v>
      </c>
      <c r="B211" s="30">
        <v>16558</v>
      </c>
      <c r="C211">
        <v>15.01</v>
      </c>
      <c r="I211" s="30"/>
    </row>
    <row r="212" spans="1:9">
      <c r="A212">
        <f t="shared" si="71"/>
        <v>211</v>
      </c>
      <c r="B212" s="30">
        <v>16589</v>
      </c>
      <c r="C212">
        <v>14.87</v>
      </c>
      <c r="I212" s="30"/>
    </row>
    <row r="213" spans="1:9">
      <c r="A213">
        <f t="shared" si="71"/>
        <v>212</v>
      </c>
      <c r="B213" s="30">
        <v>16619</v>
      </c>
      <c r="C213">
        <v>14.66</v>
      </c>
      <c r="I213" s="30"/>
    </row>
    <row r="214" spans="1:9">
      <c r="A214">
        <f t="shared" si="71"/>
        <v>213</v>
      </c>
      <c r="B214" s="30">
        <v>16650</v>
      </c>
      <c r="C214">
        <v>15.51</v>
      </c>
      <c r="I214" s="30"/>
    </row>
    <row r="215" spans="1:9">
      <c r="A215">
        <f t="shared" si="71"/>
        <v>214</v>
      </c>
      <c r="B215" s="30">
        <v>16681</v>
      </c>
      <c r="C215">
        <v>16.049999</v>
      </c>
      <c r="I215" s="30"/>
    </row>
    <row r="216" spans="1:9">
      <c r="A216">
        <f t="shared" si="71"/>
        <v>215</v>
      </c>
      <c r="B216" s="30">
        <v>16711</v>
      </c>
      <c r="C216">
        <v>16.649999999999999</v>
      </c>
      <c r="I216" s="30"/>
    </row>
    <row r="217" spans="1:9">
      <c r="A217">
        <f t="shared" si="71"/>
        <v>216</v>
      </c>
      <c r="B217" s="30">
        <v>16742</v>
      </c>
      <c r="C217">
        <v>17.190000999999999</v>
      </c>
      <c r="I217" s="30"/>
    </row>
    <row r="218" spans="1:9">
      <c r="A218">
        <f t="shared" si="71"/>
        <v>217</v>
      </c>
      <c r="B218" s="30">
        <v>16772</v>
      </c>
      <c r="C218">
        <v>17.360001</v>
      </c>
      <c r="I218" s="30"/>
    </row>
    <row r="219" spans="1:9">
      <c r="A219">
        <f t="shared" si="71"/>
        <v>218</v>
      </c>
      <c r="B219" s="30">
        <v>16803</v>
      </c>
      <c r="C219">
        <v>18.57</v>
      </c>
      <c r="I219" s="30"/>
    </row>
    <row r="220" spans="1:9">
      <c r="A220">
        <f t="shared" si="71"/>
        <v>219</v>
      </c>
      <c r="B220" s="30">
        <v>16834</v>
      </c>
      <c r="C220">
        <v>17.280000999999999</v>
      </c>
      <c r="I220" s="30"/>
    </row>
    <row r="221" spans="1:9">
      <c r="A221">
        <f t="shared" si="71"/>
        <v>220</v>
      </c>
      <c r="B221" s="30">
        <v>16862</v>
      </c>
      <c r="C221">
        <v>18.040001</v>
      </c>
      <c r="I221" s="30"/>
    </row>
    <row r="222" spans="1:9">
      <c r="A222">
        <f t="shared" si="71"/>
        <v>221</v>
      </c>
      <c r="B222" s="30">
        <v>16893</v>
      </c>
      <c r="C222">
        <v>18.760000000000002</v>
      </c>
      <c r="I222" s="30"/>
    </row>
    <row r="223" spans="1:9">
      <c r="A223">
        <f t="shared" si="71"/>
        <v>222</v>
      </c>
      <c r="B223" s="30">
        <v>16923</v>
      </c>
      <c r="C223">
        <v>19.18</v>
      </c>
      <c r="I223" s="30"/>
    </row>
    <row r="224" spans="1:9">
      <c r="A224">
        <f t="shared" si="71"/>
        <v>223</v>
      </c>
      <c r="B224" s="30">
        <v>16954</v>
      </c>
      <c r="C224">
        <v>18.43</v>
      </c>
      <c r="I224" s="30"/>
    </row>
    <row r="225" spans="1:9">
      <c r="A225">
        <f t="shared" si="71"/>
        <v>224</v>
      </c>
      <c r="B225" s="30">
        <v>16984</v>
      </c>
      <c r="C225">
        <v>17.959999</v>
      </c>
      <c r="I225" s="30"/>
    </row>
    <row r="226" spans="1:9">
      <c r="A226">
        <f t="shared" si="71"/>
        <v>225</v>
      </c>
      <c r="B226" s="30">
        <v>17015</v>
      </c>
      <c r="C226">
        <v>16.649999999999999</v>
      </c>
      <c r="I226" s="30"/>
    </row>
    <row r="227" spans="1:9">
      <c r="A227">
        <f t="shared" si="71"/>
        <v>226</v>
      </c>
      <c r="B227" s="30">
        <v>17046</v>
      </c>
      <c r="C227">
        <v>14.96</v>
      </c>
      <c r="I227" s="30"/>
    </row>
    <row r="228" spans="1:9">
      <c r="A228">
        <f t="shared" si="71"/>
        <v>227</v>
      </c>
      <c r="B228" s="30">
        <v>17076</v>
      </c>
      <c r="C228">
        <v>14.84</v>
      </c>
      <c r="I228" s="30"/>
    </row>
    <row r="229" spans="1:9">
      <c r="A229">
        <f t="shared" si="71"/>
        <v>228</v>
      </c>
      <c r="B229" s="30">
        <v>17107</v>
      </c>
      <c r="C229">
        <v>14.68</v>
      </c>
      <c r="I229" s="30"/>
    </row>
    <row r="230" spans="1:9">
      <c r="A230">
        <f t="shared" si="71"/>
        <v>229</v>
      </c>
      <c r="B230" s="30">
        <v>17137</v>
      </c>
      <c r="C230">
        <v>15.3</v>
      </c>
      <c r="I230" s="30"/>
    </row>
    <row r="231" spans="1:9">
      <c r="A231">
        <f t="shared" si="71"/>
        <v>230</v>
      </c>
      <c r="B231" s="30">
        <v>17168</v>
      </c>
      <c r="C231">
        <v>15.66</v>
      </c>
      <c r="I231" s="30"/>
    </row>
    <row r="232" spans="1:9">
      <c r="A232">
        <f t="shared" si="71"/>
        <v>231</v>
      </c>
      <c r="B232" s="30">
        <v>17199</v>
      </c>
      <c r="C232">
        <v>15.43</v>
      </c>
      <c r="I232" s="30"/>
    </row>
    <row r="233" spans="1:9">
      <c r="A233">
        <f t="shared" si="71"/>
        <v>232</v>
      </c>
      <c r="B233" s="30">
        <v>17227</v>
      </c>
      <c r="C233">
        <v>15.17</v>
      </c>
      <c r="I233" s="30"/>
    </row>
    <row r="234" spans="1:9">
      <c r="A234">
        <f t="shared" si="71"/>
        <v>233</v>
      </c>
      <c r="B234" s="30">
        <v>17258</v>
      </c>
      <c r="C234">
        <v>14.58</v>
      </c>
      <c r="I234" s="30"/>
    </row>
    <row r="235" spans="1:9">
      <c r="A235">
        <f t="shared" si="71"/>
        <v>234</v>
      </c>
      <c r="B235" s="30">
        <v>17288</v>
      </c>
      <c r="C235">
        <v>14.45</v>
      </c>
      <c r="I235" s="30"/>
    </row>
    <row r="236" spans="1:9">
      <c r="A236">
        <f t="shared" si="71"/>
        <v>235</v>
      </c>
      <c r="B236" s="30">
        <v>17319</v>
      </c>
      <c r="C236">
        <v>15.21</v>
      </c>
      <c r="I236" s="30"/>
    </row>
    <row r="237" spans="1:9">
      <c r="A237">
        <f t="shared" si="71"/>
        <v>236</v>
      </c>
      <c r="B237" s="30">
        <v>17349</v>
      </c>
      <c r="C237">
        <v>15.76</v>
      </c>
      <c r="I237" s="30"/>
    </row>
    <row r="238" spans="1:9">
      <c r="A238">
        <f t="shared" si="71"/>
        <v>237</v>
      </c>
      <c r="B238" s="30">
        <v>17380</v>
      </c>
      <c r="C238">
        <v>15.32</v>
      </c>
      <c r="I238" s="30"/>
    </row>
    <row r="239" spans="1:9">
      <c r="A239">
        <f t="shared" si="71"/>
        <v>238</v>
      </c>
      <c r="B239" s="30">
        <v>17411</v>
      </c>
      <c r="C239">
        <v>15.11</v>
      </c>
      <c r="I239" s="30"/>
    </row>
    <row r="240" spans="1:9">
      <c r="A240">
        <f t="shared" si="71"/>
        <v>239</v>
      </c>
      <c r="B240" s="30">
        <v>17441</v>
      </c>
      <c r="C240">
        <v>15.43</v>
      </c>
      <c r="I240" s="30"/>
    </row>
    <row r="241" spans="1:9">
      <c r="A241">
        <f t="shared" si="71"/>
        <v>240</v>
      </c>
      <c r="B241" s="30">
        <v>17472</v>
      </c>
      <c r="C241">
        <v>14.98</v>
      </c>
      <c r="I241" s="30"/>
    </row>
    <row r="242" spans="1:9">
      <c r="A242">
        <f t="shared" si="71"/>
        <v>241</v>
      </c>
      <c r="B242" s="30">
        <v>17502</v>
      </c>
      <c r="C242">
        <v>15.3</v>
      </c>
      <c r="I242" s="30"/>
    </row>
    <row r="243" spans="1:9">
      <c r="A243">
        <f t="shared" si="71"/>
        <v>242</v>
      </c>
      <c r="B243" s="30">
        <v>17533</v>
      </c>
      <c r="C243">
        <v>14.68</v>
      </c>
      <c r="I243" s="30"/>
    </row>
    <row r="244" spans="1:9">
      <c r="A244">
        <f t="shared" si="71"/>
        <v>243</v>
      </c>
      <c r="B244" s="30">
        <v>17564</v>
      </c>
      <c r="C244">
        <v>13.93</v>
      </c>
      <c r="I244" s="30"/>
    </row>
    <row r="245" spans="1:9">
      <c r="A245">
        <f t="shared" si="71"/>
        <v>244</v>
      </c>
      <c r="B245" s="30">
        <v>17593</v>
      </c>
      <c r="C245">
        <v>15.08</v>
      </c>
      <c r="I245" s="30"/>
    </row>
    <row r="246" spans="1:9">
      <c r="A246">
        <f t="shared" si="71"/>
        <v>245</v>
      </c>
      <c r="B246" s="30">
        <v>17624</v>
      </c>
      <c r="C246">
        <v>15.48</v>
      </c>
      <c r="I246" s="30"/>
    </row>
    <row r="247" spans="1:9">
      <c r="A247">
        <f t="shared" si="71"/>
        <v>246</v>
      </c>
      <c r="B247" s="30">
        <v>17654</v>
      </c>
      <c r="C247">
        <v>16.690000999999999</v>
      </c>
      <c r="I247" s="30"/>
    </row>
    <row r="248" spans="1:9">
      <c r="A248">
        <f t="shared" si="71"/>
        <v>247</v>
      </c>
      <c r="B248" s="30">
        <v>17685</v>
      </c>
      <c r="C248">
        <v>16.739999999999998</v>
      </c>
      <c r="I248" s="30"/>
    </row>
    <row r="249" spans="1:9">
      <c r="A249">
        <f t="shared" si="71"/>
        <v>248</v>
      </c>
      <c r="B249" s="30">
        <v>17715</v>
      </c>
      <c r="C249">
        <v>15.85</v>
      </c>
      <c r="I249" s="30"/>
    </row>
    <row r="250" spans="1:9">
      <c r="A250">
        <f t="shared" si="71"/>
        <v>249</v>
      </c>
      <c r="B250" s="30">
        <v>17746</v>
      </c>
      <c r="C250">
        <v>15.97</v>
      </c>
      <c r="I250" s="30"/>
    </row>
    <row r="251" spans="1:9">
      <c r="A251">
        <f t="shared" si="71"/>
        <v>250</v>
      </c>
      <c r="B251" s="30">
        <v>17777</v>
      </c>
      <c r="C251">
        <v>15.49</v>
      </c>
      <c r="I251" s="30"/>
    </row>
    <row r="252" spans="1:9">
      <c r="A252">
        <f t="shared" si="71"/>
        <v>251</v>
      </c>
      <c r="B252" s="30">
        <v>17807</v>
      </c>
      <c r="C252">
        <v>16.5</v>
      </c>
      <c r="I252" s="30"/>
    </row>
    <row r="253" spans="1:9">
      <c r="A253">
        <f t="shared" si="71"/>
        <v>252</v>
      </c>
      <c r="B253" s="30">
        <v>17838</v>
      </c>
      <c r="C253">
        <v>14.75</v>
      </c>
      <c r="I253" s="30"/>
    </row>
    <row r="254" spans="1:9">
      <c r="A254">
        <f t="shared" si="71"/>
        <v>253</v>
      </c>
      <c r="B254" s="30">
        <v>17868</v>
      </c>
      <c r="C254">
        <v>15.2</v>
      </c>
      <c r="I254" s="30"/>
    </row>
    <row r="255" spans="1:9">
      <c r="A255">
        <f t="shared" si="71"/>
        <v>254</v>
      </c>
      <c r="B255" s="30">
        <v>17899</v>
      </c>
      <c r="C255">
        <v>15.22</v>
      </c>
      <c r="I255" s="30"/>
    </row>
    <row r="256" spans="1:9">
      <c r="A256">
        <f t="shared" si="71"/>
        <v>255</v>
      </c>
      <c r="B256" s="30">
        <v>17930</v>
      </c>
      <c r="C256">
        <v>14.62</v>
      </c>
      <c r="I256" s="30"/>
    </row>
    <row r="257" spans="1:9">
      <c r="A257">
        <f t="shared" si="71"/>
        <v>256</v>
      </c>
      <c r="B257" s="30">
        <v>17958</v>
      </c>
      <c r="C257">
        <v>15.06</v>
      </c>
      <c r="I257" s="30"/>
    </row>
    <row r="258" spans="1:9">
      <c r="A258">
        <f t="shared" si="71"/>
        <v>257</v>
      </c>
      <c r="B258" s="30">
        <v>17989</v>
      </c>
      <c r="C258">
        <v>14.71</v>
      </c>
      <c r="I258" s="30"/>
    </row>
    <row r="259" spans="1:9">
      <c r="A259">
        <f t="shared" si="71"/>
        <v>258</v>
      </c>
      <c r="B259" s="30">
        <v>18019</v>
      </c>
      <c r="C259">
        <v>14.19</v>
      </c>
      <c r="I259" s="30"/>
    </row>
    <row r="260" spans="1:9">
      <c r="A260">
        <f t="shared" ref="A260:A323" si="72">A259+1</f>
        <v>259</v>
      </c>
      <c r="B260" s="30">
        <v>18050</v>
      </c>
      <c r="C260">
        <v>14.16</v>
      </c>
      <c r="I260" s="30"/>
    </row>
    <row r="261" spans="1:9">
      <c r="A261">
        <f t="shared" si="72"/>
        <v>260</v>
      </c>
      <c r="B261" s="30">
        <v>18080</v>
      </c>
      <c r="C261">
        <v>15.04</v>
      </c>
      <c r="I261" s="30"/>
    </row>
    <row r="262" spans="1:9">
      <c r="A262">
        <f t="shared" si="72"/>
        <v>261</v>
      </c>
      <c r="B262" s="30">
        <v>18111</v>
      </c>
      <c r="C262">
        <v>15.22</v>
      </c>
      <c r="I262" s="30"/>
    </row>
    <row r="263" spans="1:9">
      <c r="A263">
        <f t="shared" si="72"/>
        <v>262</v>
      </c>
      <c r="B263" s="30">
        <v>18142</v>
      </c>
      <c r="C263">
        <v>15.58</v>
      </c>
      <c r="I263" s="30"/>
    </row>
    <row r="264" spans="1:9">
      <c r="A264">
        <f t="shared" si="72"/>
        <v>263</v>
      </c>
      <c r="B264" s="30">
        <v>18172</v>
      </c>
      <c r="C264">
        <v>16.040001</v>
      </c>
      <c r="I264" s="30"/>
    </row>
    <row r="265" spans="1:9">
      <c r="A265">
        <f t="shared" si="72"/>
        <v>264</v>
      </c>
      <c r="B265" s="30">
        <v>18203</v>
      </c>
      <c r="C265">
        <v>16.059999000000001</v>
      </c>
      <c r="I265" s="30"/>
    </row>
    <row r="266" spans="1:9">
      <c r="A266">
        <f t="shared" si="72"/>
        <v>265</v>
      </c>
      <c r="B266" s="30">
        <v>18233</v>
      </c>
      <c r="C266">
        <v>16.790001</v>
      </c>
      <c r="I266" s="30"/>
    </row>
    <row r="267" spans="1:9">
      <c r="A267">
        <f t="shared" si="72"/>
        <v>266</v>
      </c>
      <c r="B267" s="30">
        <v>18264</v>
      </c>
      <c r="C267">
        <v>17.049999</v>
      </c>
      <c r="I267" s="30"/>
    </row>
    <row r="268" spans="1:9">
      <c r="A268">
        <f t="shared" si="72"/>
        <v>267</v>
      </c>
      <c r="B268" s="30">
        <v>18295</v>
      </c>
      <c r="C268">
        <v>17.219999000000001</v>
      </c>
      <c r="I268" s="30"/>
    </row>
    <row r="269" spans="1:9">
      <c r="A269">
        <f t="shared" si="72"/>
        <v>268</v>
      </c>
      <c r="B269" s="30">
        <v>18323</v>
      </c>
      <c r="C269">
        <v>17.290001</v>
      </c>
      <c r="I269" s="30"/>
    </row>
    <row r="270" spans="1:9">
      <c r="A270">
        <f t="shared" si="72"/>
        <v>269</v>
      </c>
      <c r="B270" s="30">
        <v>18354</v>
      </c>
      <c r="C270">
        <v>18.07</v>
      </c>
      <c r="I270" s="30"/>
    </row>
    <row r="271" spans="1:9">
      <c r="A271">
        <f t="shared" si="72"/>
        <v>270</v>
      </c>
      <c r="B271" s="30">
        <v>18384</v>
      </c>
      <c r="C271">
        <v>18.780000999999999</v>
      </c>
      <c r="I271" s="30"/>
    </row>
    <row r="272" spans="1:9">
      <c r="A272">
        <f t="shared" si="72"/>
        <v>271</v>
      </c>
      <c r="B272" s="30">
        <v>18415</v>
      </c>
      <c r="C272">
        <v>17.690000999999999</v>
      </c>
      <c r="I272" s="30"/>
    </row>
    <row r="273" spans="1:9">
      <c r="A273">
        <f t="shared" si="72"/>
        <v>272</v>
      </c>
      <c r="B273" s="30">
        <v>18445</v>
      </c>
      <c r="C273">
        <v>17.84</v>
      </c>
      <c r="I273" s="30"/>
    </row>
    <row r="274" spans="1:9">
      <c r="A274">
        <f t="shared" si="72"/>
        <v>273</v>
      </c>
      <c r="B274" s="30">
        <v>18476</v>
      </c>
      <c r="C274">
        <v>18.420000000000002</v>
      </c>
      <c r="I274" s="30"/>
    </row>
    <row r="275" spans="1:9">
      <c r="A275">
        <f t="shared" si="72"/>
        <v>274</v>
      </c>
      <c r="B275" s="30">
        <v>18507</v>
      </c>
      <c r="C275">
        <v>19.450001</v>
      </c>
      <c r="I275" s="30"/>
    </row>
    <row r="276" spans="1:9">
      <c r="A276">
        <f t="shared" si="72"/>
        <v>275</v>
      </c>
      <c r="B276" s="30">
        <v>18537</v>
      </c>
      <c r="C276">
        <v>19.530000999999999</v>
      </c>
      <c r="I276" s="30"/>
    </row>
    <row r="277" spans="1:9">
      <c r="A277">
        <f t="shared" si="72"/>
        <v>276</v>
      </c>
      <c r="B277" s="30">
        <v>18568</v>
      </c>
      <c r="C277">
        <v>19.510000000000002</v>
      </c>
      <c r="I277" s="30"/>
    </row>
    <row r="278" spans="1:9">
      <c r="A278">
        <f t="shared" si="72"/>
        <v>277</v>
      </c>
      <c r="B278" s="30">
        <v>18598</v>
      </c>
      <c r="C278">
        <v>20.41</v>
      </c>
      <c r="I278" s="30"/>
    </row>
    <row r="279" spans="1:9">
      <c r="A279">
        <f t="shared" si="72"/>
        <v>278</v>
      </c>
      <c r="B279" s="30">
        <v>18629</v>
      </c>
      <c r="C279">
        <v>21.66</v>
      </c>
      <c r="I279" s="30"/>
    </row>
    <row r="280" spans="1:9">
      <c r="A280">
        <f t="shared" si="72"/>
        <v>279</v>
      </c>
      <c r="B280" s="30">
        <v>18660</v>
      </c>
      <c r="C280">
        <v>21.799999</v>
      </c>
      <c r="I280" s="30"/>
    </row>
    <row r="281" spans="1:9">
      <c r="A281">
        <f t="shared" si="72"/>
        <v>280</v>
      </c>
      <c r="B281" s="30">
        <v>18688</v>
      </c>
      <c r="C281">
        <v>21.4</v>
      </c>
      <c r="I281" s="30"/>
    </row>
    <row r="282" spans="1:9">
      <c r="A282">
        <f t="shared" si="72"/>
        <v>281</v>
      </c>
      <c r="B282" s="30">
        <v>18719</v>
      </c>
      <c r="C282">
        <v>22.43</v>
      </c>
      <c r="I282" s="30"/>
    </row>
    <row r="283" spans="1:9">
      <c r="A283">
        <f t="shared" si="72"/>
        <v>282</v>
      </c>
      <c r="B283" s="30">
        <v>18749</v>
      </c>
      <c r="C283">
        <v>21.52</v>
      </c>
      <c r="I283" s="30"/>
    </row>
    <row r="284" spans="1:9">
      <c r="A284">
        <f t="shared" si="72"/>
        <v>283</v>
      </c>
      <c r="B284" s="30">
        <v>18780</v>
      </c>
      <c r="C284">
        <v>20.959999</v>
      </c>
      <c r="I284" s="30"/>
    </row>
    <row r="285" spans="1:9">
      <c r="A285">
        <f t="shared" si="72"/>
        <v>284</v>
      </c>
      <c r="B285" s="30">
        <v>18810</v>
      </c>
      <c r="C285">
        <v>22.4</v>
      </c>
      <c r="I285" s="30"/>
    </row>
    <row r="286" spans="1:9">
      <c r="A286">
        <f t="shared" si="72"/>
        <v>285</v>
      </c>
      <c r="B286" s="30">
        <v>18841</v>
      </c>
      <c r="C286">
        <v>23.280000999999999</v>
      </c>
      <c r="I286" s="30"/>
    </row>
    <row r="287" spans="1:9">
      <c r="A287">
        <f t="shared" si="72"/>
        <v>286</v>
      </c>
      <c r="B287" s="30">
        <v>18872</v>
      </c>
      <c r="C287">
        <v>23.26</v>
      </c>
      <c r="I287" s="30"/>
    </row>
    <row r="288" spans="1:9">
      <c r="A288">
        <f t="shared" si="72"/>
        <v>287</v>
      </c>
      <c r="B288" s="30">
        <v>18902</v>
      </c>
      <c r="C288">
        <v>22.940000999999999</v>
      </c>
      <c r="I288" s="30"/>
    </row>
    <row r="289" spans="1:9">
      <c r="A289">
        <f t="shared" si="72"/>
        <v>288</v>
      </c>
      <c r="B289" s="30">
        <v>18933</v>
      </c>
      <c r="C289">
        <v>22.879999000000002</v>
      </c>
      <c r="I289" s="30"/>
    </row>
    <row r="290" spans="1:9">
      <c r="A290">
        <f t="shared" si="72"/>
        <v>289</v>
      </c>
      <c r="B290" s="30">
        <v>18963</v>
      </c>
      <c r="C290">
        <v>23.77</v>
      </c>
      <c r="I290" s="30"/>
    </row>
    <row r="291" spans="1:9">
      <c r="A291">
        <f t="shared" si="72"/>
        <v>290</v>
      </c>
      <c r="B291" s="30">
        <v>18994</v>
      </c>
      <c r="C291">
        <v>24.139999</v>
      </c>
      <c r="I291" s="30"/>
    </row>
    <row r="292" spans="1:9">
      <c r="A292">
        <f t="shared" si="72"/>
        <v>291</v>
      </c>
      <c r="B292" s="30">
        <v>19025</v>
      </c>
      <c r="C292">
        <v>23.26</v>
      </c>
      <c r="I292" s="30"/>
    </row>
    <row r="293" spans="1:9">
      <c r="A293">
        <f t="shared" si="72"/>
        <v>292</v>
      </c>
      <c r="B293" s="30">
        <v>19054</v>
      </c>
      <c r="C293">
        <v>24.370000999999998</v>
      </c>
      <c r="I293" s="30"/>
    </row>
    <row r="294" spans="1:9">
      <c r="A294">
        <f t="shared" si="72"/>
        <v>293</v>
      </c>
      <c r="B294" s="30">
        <v>19085</v>
      </c>
      <c r="C294">
        <v>23.32</v>
      </c>
      <c r="I294" s="30"/>
    </row>
    <row r="295" spans="1:9">
      <c r="A295">
        <f t="shared" si="72"/>
        <v>294</v>
      </c>
      <c r="B295" s="30">
        <v>19115</v>
      </c>
      <c r="C295">
        <v>23.860001</v>
      </c>
      <c r="I295" s="30"/>
    </row>
    <row r="296" spans="1:9">
      <c r="A296">
        <f t="shared" si="72"/>
        <v>295</v>
      </c>
      <c r="B296" s="30">
        <v>19146</v>
      </c>
      <c r="C296">
        <v>24.959999</v>
      </c>
      <c r="I296" s="30"/>
    </row>
    <row r="297" spans="1:9">
      <c r="A297">
        <f t="shared" si="72"/>
        <v>296</v>
      </c>
      <c r="B297" s="30">
        <v>19176</v>
      </c>
      <c r="C297">
        <v>25.4</v>
      </c>
      <c r="I297" s="30"/>
    </row>
    <row r="298" spans="1:9">
      <c r="A298">
        <f t="shared" si="72"/>
        <v>297</v>
      </c>
      <c r="B298" s="30">
        <v>19207</v>
      </c>
      <c r="C298">
        <v>25.030000999999999</v>
      </c>
      <c r="I298" s="30"/>
    </row>
    <row r="299" spans="1:9">
      <c r="A299">
        <f t="shared" si="72"/>
        <v>298</v>
      </c>
      <c r="B299" s="30">
        <v>19238</v>
      </c>
      <c r="C299">
        <v>24.540001</v>
      </c>
      <c r="I299" s="30"/>
    </row>
    <row r="300" spans="1:9">
      <c r="A300">
        <f t="shared" si="72"/>
        <v>299</v>
      </c>
      <c r="B300" s="30">
        <v>19268</v>
      </c>
      <c r="C300">
        <v>24.52</v>
      </c>
      <c r="I300" s="30"/>
    </row>
    <row r="301" spans="1:9">
      <c r="A301">
        <f t="shared" si="72"/>
        <v>300</v>
      </c>
      <c r="B301" s="30">
        <v>19299</v>
      </c>
      <c r="C301">
        <v>25.66</v>
      </c>
      <c r="I301" s="30"/>
    </row>
    <row r="302" spans="1:9">
      <c r="A302">
        <f t="shared" si="72"/>
        <v>301</v>
      </c>
      <c r="B302" s="30">
        <v>19329</v>
      </c>
      <c r="C302">
        <v>26.57</v>
      </c>
      <c r="I302" s="30"/>
    </row>
    <row r="303" spans="1:9">
      <c r="A303">
        <f t="shared" si="72"/>
        <v>302</v>
      </c>
      <c r="B303" s="30">
        <v>19360</v>
      </c>
      <c r="C303">
        <v>26.379999000000002</v>
      </c>
      <c r="I303" s="30"/>
    </row>
    <row r="304" spans="1:9">
      <c r="A304">
        <f t="shared" si="72"/>
        <v>303</v>
      </c>
      <c r="B304" s="30">
        <v>19391</v>
      </c>
      <c r="C304">
        <v>25.9</v>
      </c>
      <c r="I304" s="30"/>
    </row>
    <row r="305" spans="1:9">
      <c r="A305">
        <f t="shared" si="72"/>
        <v>304</v>
      </c>
      <c r="B305" s="30">
        <v>19419</v>
      </c>
      <c r="C305">
        <v>25.290001</v>
      </c>
      <c r="I305" s="30"/>
    </row>
    <row r="306" spans="1:9">
      <c r="A306">
        <f t="shared" si="72"/>
        <v>305</v>
      </c>
      <c r="B306" s="30">
        <v>19450</v>
      </c>
      <c r="C306">
        <v>24.620000999999998</v>
      </c>
      <c r="I306" s="30"/>
    </row>
    <row r="307" spans="1:9">
      <c r="A307">
        <f t="shared" si="72"/>
        <v>306</v>
      </c>
      <c r="B307" s="30">
        <v>19480</v>
      </c>
      <c r="C307">
        <v>24.540001</v>
      </c>
      <c r="I307" s="30"/>
    </row>
    <row r="308" spans="1:9">
      <c r="A308">
        <f t="shared" si="72"/>
        <v>307</v>
      </c>
      <c r="B308" s="30">
        <v>19511</v>
      </c>
      <c r="C308">
        <v>24.139999</v>
      </c>
      <c r="I308" s="30"/>
    </row>
    <row r="309" spans="1:9">
      <c r="A309">
        <f t="shared" si="72"/>
        <v>308</v>
      </c>
      <c r="B309" s="30">
        <v>19541</v>
      </c>
      <c r="C309">
        <v>24.75</v>
      </c>
      <c r="I309" s="30"/>
    </row>
    <row r="310" spans="1:9">
      <c r="A310">
        <f t="shared" si="72"/>
        <v>309</v>
      </c>
      <c r="B310" s="30">
        <v>19572</v>
      </c>
      <c r="C310">
        <v>23.32</v>
      </c>
      <c r="I310" s="30"/>
    </row>
    <row r="311" spans="1:9">
      <c r="A311">
        <f t="shared" si="72"/>
        <v>310</v>
      </c>
      <c r="B311" s="30">
        <v>19603</v>
      </c>
      <c r="C311">
        <v>23.35</v>
      </c>
      <c r="I311" s="30"/>
    </row>
    <row r="312" spans="1:9">
      <c r="A312">
        <f t="shared" si="72"/>
        <v>311</v>
      </c>
      <c r="B312" s="30">
        <v>19633</v>
      </c>
      <c r="C312">
        <v>24.540001</v>
      </c>
      <c r="I312" s="30"/>
    </row>
    <row r="313" spans="1:9">
      <c r="A313">
        <f t="shared" si="72"/>
        <v>312</v>
      </c>
      <c r="B313" s="30">
        <v>19664</v>
      </c>
      <c r="C313">
        <v>24.76</v>
      </c>
      <c r="I313" s="30"/>
    </row>
    <row r="314" spans="1:9">
      <c r="A314">
        <f t="shared" si="72"/>
        <v>313</v>
      </c>
      <c r="B314" s="30">
        <v>19694</v>
      </c>
      <c r="C314">
        <v>24.809999000000001</v>
      </c>
      <c r="I314" s="30"/>
    </row>
    <row r="315" spans="1:9">
      <c r="A315">
        <f t="shared" si="72"/>
        <v>314</v>
      </c>
      <c r="B315" s="30">
        <v>19725</v>
      </c>
      <c r="C315">
        <v>26.08</v>
      </c>
      <c r="I315" s="30"/>
    </row>
    <row r="316" spans="1:9">
      <c r="A316">
        <f t="shared" si="72"/>
        <v>315</v>
      </c>
      <c r="B316" s="30">
        <v>19756</v>
      </c>
      <c r="C316">
        <v>26.15</v>
      </c>
      <c r="I316" s="30"/>
    </row>
    <row r="317" spans="1:9">
      <c r="A317">
        <f t="shared" si="72"/>
        <v>316</v>
      </c>
      <c r="B317" s="30">
        <v>19784</v>
      </c>
      <c r="C317">
        <v>26.940000999999999</v>
      </c>
      <c r="I317" s="30"/>
    </row>
    <row r="318" spans="1:9">
      <c r="A318">
        <f t="shared" si="72"/>
        <v>317</v>
      </c>
      <c r="B318" s="30">
        <v>19815</v>
      </c>
      <c r="C318">
        <v>28.26</v>
      </c>
      <c r="I318" s="30"/>
    </row>
    <row r="319" spans="1:9">
      <c r="A319">
        <f t="shared" si="72"/>
        <v>318</v>
      </c>
      <c r="B319" s="30">
        <v>19845</v>
      </c>
      <c r="C319">
        <v>29.190000999999999</v>
      </c>
      <c r="I319" s="30"/>
    </row>
    <row r="320" spans="1:9">
      <c r="A320">
        <f t="shared" si="72"/>
        <v>319</v>
      </c>
      <c r="B320" s="30">
        <v>19876</v>
      </c>
      <c r="C320">
        <v>29.209999</v>
      </c>
      <c r="I320" s="30"/>
    </row>
    <row r="321" spans="1:9">
      <c r="A321">
        <f t="shared" si="72"/>
        <v>320</v>
      </c>
      <c r="B321" s="30">
        <v>19906</v>
      </c>
      <c r="C321">
        <v>30.879999000000002</v>
      </c>
      <c r="I321" s="30"/>
    </row>
    <row r="322" spans="1:9">
      <c r="A322">
        <f t="shared" si="72"/>
        <v>321</v>
      </c>
      <c r="B322" s="30">
        <v>19937</v>
      </c>
      <c r="C322">
        <v>29.83</v>
      </c>
      <c r="I322" s="30"/>
    </row>
    <row r="323" spans="1:9">
      <c r="A323">
        <f t="shared" si="72"/>
        <v>322</v>
      </c>
      <c r="B323" s="30">
        <v>19968</v>
      </c>
      <c r="C323">
        <v>32.310001</v>
      </c>
      <c r="I323" s="30"/>
    </row>
    <row r="324" spans="1:9">
      <c r="A324">
        <f t="shared" ref="A324:A387" si="73">A323+1</f>
        <v>323</v>
      </c>
      <c r="B324" s="30">
        <v>19998</v>
      </c>
      <c r="C324">
        <v>31.68</v>
      </c>
      <c r="I324" s="30"/>
    </row>
    <row r="325" spans="1:9">
      <c r="A325">
        <f t="shared" si="73"/>
        <v>324</v>
      </c>
      <c r="B325" s="30">
        <v>20029</v>
      </c>
      <c r="C325">
        <v>34.240001999999997</v>
      </c>
      <c r="I325" s="30"/>
    </row>
    <row r="326" spans="1:9">
      <c r="A326">
        <f t="shared" si="73"/>
        <v>325</v>
      </c>
      <c r="B326" s="30">
        <v>20059</v>
      </c>
      <c r="C326">
        <v>35.979999999999997</v>
      </c>
      <c r="I326" s="30"/>
    </row>
    <row r="327" spans="1:9">
      <c r="A327">
        <f t="shared" si="73"/>
        <v>326</v>
      </c>
      <c r="B327" s="30">
        <v>20090</v>
      </c>
      <c r="C327">
        <v>36.630001</v>
      </c>
      <c r="I327" s="30"/>
    </row>
    <row r="328" spans="1:9">
      <c r="A328">
        <f t="shared" si="73"/>
        <v>327</v>
      </c>
      <c r="B328" s="30">
        <v>20121</v>
      </c>
      <c r="C328">
        <v>36.759998000000003</v>
      </c>
      <c r="I328" s="30"/>
    </row>
    <row r="329" spans="1:9">
      <c r="A329">
        <f t="shared" si="73"/>
        <v>328</v>
      </c>
      <c r="B329" s="30">
        <v>20149</v>
      </c>
      <c r="C329">
        <v>36.580002</v>
      </c>
      <c r="I329" s="30"/>
    </row>
    <row r="330" spans="1:9">
      <c r="A330">
        <f t="shared" si="73"/>
        <v>329</v>
      </c>
      <c r="B330" s="30">
        <v>20180</v>
      </c>
      <c r="C330">
        <v>37.959999000000003</v>
      </c>
      <c r="I330" s="30"/>
    </row>
    <row r="331" spans="1:9">
      <c r="A331">
        <f t="shared" si="73"/>
        <v>330</v>
      </c>
      <c r="B331" s="30">
        <v>20210</v>
      </c>
      <c r="C331">
        <v>37.909999999999997</v>
      </c>
      <c r="I331" s="30"/>
    </row>
    <row r="332" spans="1:9">
      <c r="A332">
        <f t="shared" si="73"/>
        <v>331</v>
      </c>
      <c r="B332" s="30">
        <v>20241</v>
      </c>
      <c r="C332">
        <v>41.029998999999997</v>
      </c>
      <c r="I332" s="30"/>
    </row>
    <row r="333" spans="1:9">
      <c r="A333">
        <f t="shared" si="73"/>
        <v>332</v>
      </c>
      <c r="B333" s="30">
        <v>20271</v>
      </c>
      <c r="C333">
        <v>43.52</v>
      </c>
      <c r="I333" s="30"/>
    </row>
    <row r="334" spans="1:9">
      <c r="A334">
        <f t="shared" si="73"/>
        <v>333</v>
      </c>
      <c r="B334" s="30">
        <v>20302</v>
      </c>
      <c r="C334">
        <v>43.18</v>
      </c>
      <c r="I334" s="30"/>
    </row>
    <row r="335" spans="1:9">
      <c r="A335">
        <f t="shared" si="73"/>
        <v>334</v>
      </c>
      <c r="B335" s="30">
        <v>20333</v>
      </c>
      <c r="C335">
        <v>43.669998</v>
      </c>
      <c r="I335" s="30"/>
    </row>
    <row r="336" spans="1:9">
      <c r="A336">
        <f t="shared" si="73"/>
        <v>335</v>
      </c>
      <c r="B336" s="30">
        <v>20363</v>
      </c>
      <c r="C336">
        <v>42.34</v>
      </c>
      <c r="I336" s="30"/>
    </row>
    <row r="337" spans="1:9">
      <c r="A337">
        <f t="shared" si="73"/>
        <v>336</v>
      </c>
      <c r="B337" s="30">
        <v>20394</v>
      </c>
      <c r="C337">
        <v>45.509998000000003</v>
      </c>
      <c r="I337" s="30"/>
    </row>
    <row r="338" spans="1:9">
      <c r="A338">
        <f t="shared" si="73"/>
        <v>337</v>
      </c>
      <c r="B338" s="30">
        <v>20424</v>
      </c>
      <c r="C338">
        <v>45.48</v>
      </c>
      <c r="I338" s="30"/>
    </row>
    <row r="339" spans="1:9">
      <c r="A339">
        <f t="shared" si="73"/>
        <v>338</v>
      </c>
      <c r="B339" s="30">
        <v>20455</v>
      </c>
      <c r="C339">
        <v>43.82</v>
      </c>
      <c r="I339" s="30"/>
    </row>
    <row r="340" spans="1:9">
      <c r="A340">
        <f t="shared" si="73"/>
        <v>339</v>
      </c>
      <c r="B340" s="30">
        <v>20486</v>
      </c>
      <c r="C340">
        <v>45.34</v>
      </c>
      <c r="I340" s="30"/>
    </row>
    <row r="341" spans="1:9">
      <c r="A341">
        <f t="shared" si="73"/>
        <v>340</v>
      </c>
      <c r="B341" s="30">
        <v>20515</v>
      </c>
      <c r="C341">
        <v>48.48</v>
      </c>
      <c r="I341" s="30"/>
    </row>
    <row r="342" spans="1:9">
      <c r="A342">
        <f t="shared" si="73"/>
        <v>341</v>
      </c>
      <c r="B342" s="30">
        <v>20546</v>
      </c>
      <c r="C342">
        <v>48.380001</v>
      </c>
      <c r="I342" s="30"/>
    </row>
    <row r="343" spans="1:9">
      <c r="A343">
        <f t="shared" si="73"/>
        <v>342</v>
      </c>
      <c r="B343" s="30">
        <v>20576</v>
      </c>
      <c r="C343">
        <v>45.200001</v>
      </c>
      <c r="I343" s="30"/>
    </row>
    <row r="344" spans="1:9">
      <c r="A344">
        <f t="shared" si="73"/>
        <v>343</v>
      </c>
      <c r="B344" s="30">
        <v>20607</v>
      </c>
      <c r="C344">
        <v>46.970001000000003</v>
      </c>
      <c r="I344" s="30"/>
    </row>
    <row r="345" spans="1:9">
      <c r="A345">
        <f t="shared" si="73"/>
        <v>344</v>
      </c>
      <c r="B345" s="30">
        <v>20637</v>
      </c>
      <c r="C345">
        <v>49.389999000000003</v>
      </c>
      <c r="I345" s="30"/>
    </row>
    <row r="346" spans="1:9">
      <c r="A346">
        <f t="shared" si="73"/>
        <v>345</v>
      </c>
      <c r="B346" s="30">
        <v>20668</v>
      </c>
      <c r="C346">
        <v>47.509998000000003</v>
      </c>
      <c r="I346" s="30"/>
    </row>
    <row r="347" spans="1:9">
      <c r="A347">
        <f t="shared" si="73"/>
        <v>346</v>
      </c>
      <c r="B347" s="30">
        <v>20699</v>
      </c>
      <c r="C347">
        <v>45.349997999999999</v>
      </c>
      <c r="I347" s="30"/>
    </row>
    <row r="348" spans="1:9">
      <c r="A348">
        <f t="shared" si="73"/>
        <v>347</v>
      </c>
      <c r="B348" s="30">
        <v>20729</v>
      </c>
      <c r="C348">
        <v>45.580002</v>
      </c>
      <c r="I348" s="30"/>
    </row>
    <row r="349" spans="1:9">
      <c r="A349">
        <f t="shared" si="73"/>
        <v>348</v>
      </c>
      <c r="B349" s="30">
        <v>20760</v>
      </c>
      <c r="C349">
        <v>45.080002</v>
      </c>
      <c r="I349" s="30"/>
    </row>
    <row r="350" spans="1:9">
      <c r="A350">
        <f t="shared" si="73"/>
        <v>349</v>
      </c>
      <c r="B350" s="30">
        <v>20790</v>
      </c>
      <c r="C350">
        <v>46.669998</v>
      </c>
      <c r="I350" s="30"/>
    </row>
    <row r="351" spans="1:9">
      <c r="A351">
        <f t="shared" si="73"/>
        <v>350</v>
      </c>
      <c r="B351" s="30">
        <v>20821</v>
      </c>
      <c r="C351">
        <v>44.720001000000003</v>
      </c>
      <c r="I351" s="30"/>
    </row>
    <row r="352" spans="1:9">
      <c r="A352">
        <f t="shared" si="73"/>
        <v>351</v>
      </c>
      <c r="B352" s="30">
        <v>20852</v>
      </c>
      <c r="C352">
        <v>43.259998000000003</v>
      </c>
      <c r="I352" s="30"/>
    </row>
    <row r="353" spans="1:9">
      <c r="A353">
        <f t="shared" si="73"/>
        <v>352</v>
      </c>
      <c r="B353" s="30">
        <v>20880</v>
      </c>
      <c r="C353">
        <v>44.110000999999997</v>
      </c>
      <c r="I353" s="30"/>
    </row>
    <row r="354" spans="1:9">
      <c r="A354">
        <f t="shared" si="73"/>
        <v>353</v>
      </c>
      <c r="B354" s="30">
        <v>20911</v>
      </c>
      <c r="C354">
        <v>45.740001999999997</v>
      </c>
      <c r="I354" s="30"/>
    </row>
    <row r="355" spans="1:9">
      <c r="A355">
        <f t="shared" si="73"/>
        <v>354</v>
      </c>
      <c r="B355" s="30">
        <v>20941</v>
      </c>
      <c r="C355">
        <v>47.43</v>
      </c>
      <c r="I355" s="30"/>
    </row>
    <row r="356" spans="1:9">
      <c r="A356">
        <f t="shared" si="73"/>
        <v>355</v>
      </c>
      <c r="B356" s="30">
        <v>20972</v>
      </c>
      <c r="C356">
        <v>47.369999</v>
      </c>
      <c r="I356" s="30"/>
    </row>
    <row r="357" spans="1:9">
      <c r="A357">
        <f t="shared" si="73"/>
        <v>356</v>
      </c>
      <c r="B357" s="30">
        <v>21002</v>
      </c>
      <c r="C357">
        <v>47.91</v>
      </c>
      <c r="I357" s="30"/>
    </row>
    <row r="358" spans="1:9">
      <c r="A358">
        <f t="shared" si="73"/>
        <v>357</v>
      </c>
      <c r="B358" s="30">
        <v>21033</v>
      </c>
      <c r="C358">
        <v>45.220001000000003</v>
      </c>
      <c r="I358" s="30"/>
    </row>
    <row r="359" spans="1:9">
      <c r="A359">
        <f t="shared" si="73"/>
        <v>358</v>
      </c>
      <c r="B359" s="30">
        <v>21064</v>
      </c>
      <c r="C359">
        <v>42.419998</v>
      </c>
      <c r="I359" s="30"/>
    </row>
    <row r="360" spans="1:9">
      <c r="A360">
        <f t="shared" si="73"/>
        <v>359</v>
      </c>
      <c r="B360" s="30">
        <v>21094</v>
      </c>
      <c r="C360">
        <v>41.060001</v>
      </c>
      <c r="I360" s="30"/>
    </row>
    <row r="361" spans="1:9">
      <c r="A361">
        <f t="shared" si="73"/>
        <v>360</v>
      </c>
      <c r="B361" s="30">
        <v>21125</v>
      </c>
      <c r="C361">
        <v>41.720001000000003</v>
      </c>
      <c r="I361" s="30"/>
    </row>
    <row r="362" spans="1:9">
      <c r="A362">
        <f t="shared" si="73"/>
        <v>361</v>
      </c>
      <c r="B362" s="30">
        <v>21155</v>
      </c>
      <c r="C362">
        <v>39.990001999999997</v>
      </c>
      <c r="I362" s="30"/>
    </row>
    <row r="363" spans="1:9">
      <c r="A363">
        <f t="shared" si="73"/>
        <v>362</v>
      </c>
      <c r="B363" s="30">
        <v>21186</v>
      </c>
      <c r="C363">
        <v>41.700001</v>
      </c>
      <c r="I363" s="30"/>
    </row>
    <row r="364" spans="1:9">
      <c r="A364">
        <f t="shared" si="73"/>
        <v>363</v>
      </c>
      <c r="B364" s="30">
        <v>21217</v>
      </c>
      <c r="C364">
        <v>40.840000000000003</v>
      </c>
      <c r="I364" s="30"/>
    </row>
    <row r="365" spans="1:9">
      <c r="A365">
        <f t="shared" si="73"/>
        <v>364</v>
      </c>
      <c r="B365" s="30">
        <v>21245</v>
      </c>
      <c r="C365">
        <v>42.099997999999999</v>
      </c>
      <c r="I365" s="30"/>
    </row>
    <row r="366" spans="1:9">
      <c r="A366">
        <f t="shared" si="73"/>
        <v>365</v>
      </c>
      <c r="B366" s="30">
        <v>21276</v>
      </c>
      <c r="C366">
        <v>43.439999</v>
      </c>
      <c r="I366" s="30"/>
    </row>
    <row r="367" spans="1:9">
      <c r="A367">
        <f t="shared" si="73"/>
        <v>366</v>
      </c>
      <c r="B367" s="30">
        <v>21306</v>
      </c>
      <c r="C367">
        <v>44.09</v>
      </c>
      <c r="I367" s="30"/>
    </row>
    <row r="368" spans="1:9">
      <c r="A368">
        <f t="shared" si="73"/>
        <v>367</v>
      </c>
      <c r="B368" s="30">
        <v>21337</v>
      </c>
      <c r="C368">
        <v>45.240001999999997</v>
      </c>
      <c r="I368" s="30"/>
    </row>
    <row r="369" spans="1:9">
      <c r="A369">
        <f t="shared" si="73"/>
        <v>368</v>
      </c>
      <c r="B369" s="30">
        <v>21367</v>
      </c>
      <c r="C369">
        <v>47.189999</v>
      </c>
      <c r="I369" s="30"/>
    </row>
    <row r="370" spans="1:9">
      <c r="A370">
        <f t="shared" si="73"/>
        <v>369</v>
      </c>
      <c r="B370" s="30">
        <v>21398</v>
      </c>
      <c r="C370">
        <v>47.75</v>
      </c>
      <c r="I370" s="30"/>
    </row>
    <row r="371" spans="1:9">
      <c r="A371">
        <f t="shared" si="73"/>
        <v>370</v>
      </c>
      <c r="B371" s="30">
        <v>21429</v>
      </c>
      <c r="C371">
        <v>50.060001</v>
      </c>
      <c r="I371" s="30"/>
    </row>
    <row r="372" spans="1:9">
      <c r="A372">
        <f t="shared" si="73"/>
        <v>371</v>
      </c>
      <c r="B372" s="30">
        <v>21459</v>
      </c>
      <c r="C372">
        <v>51.330002</v>
      </c>
      <c r="I372" s="30"/>
    </row>
    <row r="373" spans="1:9">
      <c r="A373">
        <f t="shared" si="73"/>
        <v>372</v>
      </c>
      <c r="B373" s="30">
        <v>21490</v>
      </c>
      <c r="C373">
        <v>52.48</v>
      </c>
      <c r="I373" s="30"/>
    </row>
    <row r="374" spans="1:9">
      <c r="A374">
        <f t="shared" si="73"/>
        <v>373</v>
      </c>
      <c r="B374" s="30">
        <v>21520</v>
      </c>
      <c r="C374">
        <v>55.209999000000003</v>
      </c>
      <c r="I374" s="30"/>
    </row>
    <row r="375" spans="1:9">
      <c r="A375">
        <f t="shared" si="73"/>
        <v>374</v>
      </c>
      <c r="B375" s="30">
        <v>21551</v>
      </c>
      <c r="C375">
        <v>55.450001</v>
      </c>
      <c r="I375" s="30"/>
    </row>
    <row r="376" spans="1:9">
      <c r="A376">
        <f t="shared" si="73"/>
        <v>375</v>
      </c>
      <c r="B376" s="30">
        <v>21582</v>
      </c>
      <c r="C376">
        <v>55.41</v>
      </c>
      <c r="I376" s="30"/>
    </row>
    <row r="377" spans="1:9">
      <c r="A377">
        <f t="shared" si="73"/>
        <v>376</v>
      </c>
      <c r="B377" s="30">
        <v>21610</v>
      </c>
      <c r="C377">
        <v>55.439999</v>
      </c>
      <c r="I377" s="30"/>
    </row>
    <row r="378" spans="1:9">
      <c r="A378">
        <f t="shared" si="73"/>
        <v>377</v>
      </c>
      <c r="B378" s="30">
        <v>21641</v>
      </c>
      <c r="C378">
        <v>57.59</v>
      </c>
      <c r="I378" s="30"/>
    </row>
    <row r="379" spans="1:9">
      <c r="A379">
        <f t="shared" si="73"/>
        <v>378</v>
      </c>
      <c r="B379" s="30">
        <v>21671</v>
      </c>
      <c r="C379">
        <v>58.68</v>
      </c>
      <c r="I379" s="30"/>
    </row>
    <row r="380" spans="1:9">
      <c r="A380">
        <f t="shared" si="73"/>
        <v>379</v>
      </c>
      <c r="B380" s="30">
        <v>21702</v>
      </c>
      <c r="C380">
        <v>58.470001000000003</v>
      </c>
      <c r="I380" s="30"/>
    </row>
    <row r="381" spans="1:9">
      <c r="A381">
        <f t="shared" si="73"/>
        <v>380</v>
      </c>
      <c r="B381" s="30">
        <v>21732</v>
      </c>
      <c r="C381">
        <v>60.509998000000003</v>
      </c>
      <c r="I381" s="30"/>
    </row>
    <row r="382" spans="1:9">
      <c r="A382">
        <f t="shared" si="73"/>
        <v>381</v>
      </c>
      <c r="B382" s="30">
        <v>21763</v>
      </c>
      <c r="C382">
        <v>59.599997999999999</v>
      </c>
      <c r="I382" s="30"/>
    </row>
    <row r="383" spans="1:9">
      <c r="A383">
        <f t="shared" si="73"/>
        <v>382</v>
      </c>
      <c r="B383" s="30">
        <v>21794</v>
      </c>
      <c r="C383">
        <v>56.880001</v>
      </c>
      <c r="I383" s="30"/>
    </row>
    <row r="384" spans="1:9">
      <c r="A384">
        <f t="shared" si="73"/>
        <v>383</v>
      </c>
      <c r="B384" s="30">
        <v>21824</v>
      </c>
      <c r="C384">
        <v>57.52</v>
      </c>
      <c r="I384" s="30"/>
    </row>
    <row r="385" spans="1:9">
      <c r="A385">
        <f t="shared" si="73"/>
        <v>384</v>
      </c>
      <c r="B385" s="30">
        <v>21855</v>
      </c>
      <c r="C385">
        <v>58.279998999999997</v>
      </c>
      <c r="I385" s="30"/>
    </row>
    <row r="386" spans="1:9">
      <c r="A386">
        <f t="shared" si="73"/>
        <v>385</v>
      </c>
      <c r="B386" s="30">
        <v>21885</v>
      </c>
      <c r="C386">
        <v>59.889999000000003</v>
      </c>
      <c r="I386" s="30"/>
    </row>
    <row r="387" spans="1:9">
      <c r="A387">
        <f t="shared" si="73"/>
        <v>386</v>
      </c>
      <c r="B387" s="30">
        <v>21916</v>
      </c>
      <c r="C387">
        <v>55.610000999999997</v>
      </c>
      <c r="I387" s="30"/>
    </row>
    <row r="388" spans="1:9">
      <c r="A388">
        <f t="shared" ref="A388:A451" si="74">A387+1</f>
        <v>387</v>
      </c>
      <c r="B388" s="30">
        <v>21947</v>
      </c>
      <c r="C388">
        <v>56.119999</v>
      </c>
      <c r="I388" s="30"/>
    </row>
    <row r="389" spans="1:9">
      <c r="A389">
        <f t="shared" si="74"/>
        <v>388</v>
      </c>
      <c r="B389" s="30">
        <v>21976</v>
      </c>
      <c r="C389">
        <v>55.34</v>
      </c>
      <c r="I389" s="30"/>
    </row>
    <row r="390" spans="1:9">
      <c r="A390">
        <f t="shared" si="74"/>
        <v>389</v>
      </c>
      <c r="B390" s="30">
        <v>22007</v>
      </c>
      <c r="C390">
        <v>54.369999</v>
      </c>
      <c r="I390" s="30"/>
    </row>
    <row r="391" spans="1:9">
      <c r="A391">
        <f t="shared" si="74"/>
        <v>390</v>
      </c>
      <c r="B391" s="30">
        <v>22037</v>
      </c>
      <c r="C391">
        <v>55.830002</v>
      </c>
      <c r="I391" s="30"/>
    </row>
    <row r="392" spans="1:9">
      <c r="A392">
        <f t="shared" si="74"/>
        <v>391</v>
      </c>
      <c r="B392" s="30">
        <v>22068</v>
      </c>
      <c r="C392">
        <v>56.919998</v>
      </c>
      <c r="I392" s="30"/>
    </row>
    <row r="393" spans="1:9">
      <c r="A393">
        <f t="shared" si="74"/>
        <v>392</v>
      </c>
      <c r="B393" s="30">
        <v>22098</v>
      </c>
      <c r="C393">
        <v>55.509998000000003</v>
      </c>
      <c r="I393" s="30"/>
    </row>
    <row r="394" spans="1:9">
      <c r="A394">
        <f t="shared" si="74"/>
        <v>393</v>
      </c>
      <c r="B394" s="30">
        <v>22129</v>
      </c>
      <c r="C394">
        <v>56.959999000000003</v>
      </c>
      <c r="I394" s="30"/>
    </row>
    <row r="395" spans="1:9">
      <c r="A395">
        <f t="shared" si="74"/>
        <v>394</v>
      </c>
      <c r="B395" s="30">
        <v>22160</v>
      </c>
      <c r="C395">
        <v>53.52</v>
      </c>
      <c r="I395" s="30"/>
    </row>
    <row r="396" spans="1:9">
      <c r="A396">
        <f t="shared" si="74"/>
        <v>395</v>
      </c>
      <c r="B396" s="30">
        <v>22190</v>
      </c>
      <c r="C396">
        <v>53.389999000000003</v>
      </c>
      <c r="I396" s="30"/>
    </row>
    <row r="397" spans="1:9">
      <c r="A397">
        <f t="shared" si="74"/>
        <v>396</v>
      </c>
      <c r="B397" s="30">
        <v>22221</v>
      </c>
      <c r="C397">
        <v>55.540000999999997</v>
      </c>
      <c r="I397" s="30"/>
    </row>
    <row r="398" spans="1:9">
      <c r="A398">
        <f t="shared" si="74"/>
        <v>397</v>
      </c>
      <c r="B398" s="30">
        <v>22251</v>
      </c>
      <c r="C398">
        <v>58.110000999999997</v>
      </c>
      <c r="I398" s="30"/>
    </row>
    <row r="399" spans="1:9">
      <c r="A399">
        <f t="shared" si="74"/>
        <v>398</v>
      </c>
      <c r="B399" s="30">
        <v>22282</v>
      </c>
      <c r="C399">
        <v>61.779998999999997</v>
      </c>
      <c r="I399" s="30"/>
    </row>
    <row r="400" spans="1:9">
      <c r="A400">
        <f t="shared" si="74"/>
        <v>399</v>
      </c>
      <c r="B400" s="30">
        <v>22313</v>
      </c>
      <c r="C400">
        <v>63.439999</v>
      </c>
      <c r="I400" s="30"/>
    </row>
    <row r="401" spans="1:9">
      <c r="A401">
        <f t="shared" si="74"/>
        <v>400</v>
      </c>
      <c r="B401" s="30">
        <v>22341</v>
      </c>
      <c r="C401">
        <v>65.059997999999993</v>
      </c>
      <c r="I401" s="30"/>
    </row>
    <row r="402" spans="1:9">
      <c r="A402">
        <f t="shared" si="74"/>
        <v>401</v>
      </c>
      <c r="B402" s="30">
        <v>22372</v>
      </c>
      <c r="C402">
        <v>65.309997999999993</v>
      </c>
      <c r="I402" s="30"/>
    </row>
    <row r="403" spans="1:9">
      <c r="A403">
        <f t="shared" si="74"/>
        <v>402</v>
      </c>
      <c r="B403" s="30">
        <v>22402</v>
      </c>
      <c r="C403">
        <v>66.559997999999993</v>
      </c>
      <c r="I403" s="30"/>
    </row>
    <row r="404" spans="1:9">
      <c r="A404">
        <f t="shared" si="74"/>
        <v>403</v>
      </c>
      <c r="B404" s="30">
        <v>22433</v>
      </c>
      <c r="C404">
        <v>64.639999000000003</v>
      </c>
      <c r="I404" s="30"/>
    </row>
    <row r="405" spans="1:9">
      <c r="A405">
        <f t="shared" si="74"/>
        <v>404</v>
      </c>
      <c r="B405" s="30">
        <v>22463</v>
      </c>
      <c r="C405">
        <v>66.760002</v>
      </c>
      <c r="I405" s="30"/>
    </row>
    <row r="406" spans="1:9">
      <c r="A406">
        <f t="shared" si="74"/>
        <v>405</v>
      </c>
      <c r="B406" s="30">
        <v>22494</v>
      </c>
      <c r="C406">
        <v>68.069999999999993</v>
      </c>
      <c r="I406" s="30"/>
    </row>
    <row r="407" spans="1:9">
      <c r="A407">
        <f t="shared" si="74"/>
        <v>406</v>
      </c>
      <c r="B407" s="30">
        <v>22525</v>
      </c>
      <c r="C407">
        <v>66.730002999999996</v>
      </c>
      <c r="I407" s="30"/>
    </row>
    <row r="408" spans="1:9">
      <c r="A408">
        <f t="shared" si="74"/>
        <v>407</v>
      </c>
      <c r="B408" s="30">
        <v>22555</v>
      </c>
      <c r="C408">
        <v>68.620002999999997</v>
      </c>
      <c r="I408" s="30"/>
    </row>
    <row r="409" spans="1:9">
      <c r="A409">
        <f t="shared" si="74"/>
        <v>408</v>
      </c>
      <c r="B409" s="30">
        <v>22586</v>
      </c>
      <c r="C409">
        <v>71.319999999999993</v>
      </c>
      <c r="I409" s="30"/>
    </row>
    <row r="410" spans="1:9">
      <c r="A410">
        <f t="shared" si="74"/>
        <v>409</v>
      </c>
      <c r="B410" s="30">
        <v>22616</v>
      </c>
      <c r="C410">
        <v>71.550003000000004</v>
      </c>
      <c r="I410" s="30"/>
    </row>
    <row r="411" spans="1:9">
      <c r="A411">
        <f t="shared" si="74"/>
        <v>410</v>
      </c>
      <c r="B411" s="30">
        <v>22647</v>
      </c>
      <c r="C411">
        <v>68.839995999999999</v>
      </c>
      <c r="I411" s="30"/>
    </row>
    <row r="412" spans="1:9">
      <c r="A412">
        <f t="shared" si="74"/>
        <v>411</v>
      </c>
      <c r="B412" s="30">
        <v>22678</v>
      </c>
      <c r="C412">
        <v>69.959998999999996</v>
      </c>
      <c r="I412" s="30"/>
    </row>
    <row r="413" spans="1:9">
      <c r="A413">
        <f t="shared" si="74"/>
        <v>412</v>
      </c>
      <c r="B413" s="30">
        <v>22706</v>
      </c>
      <c r="C413">
        <v>69.550003000000004</v>
      </c>
      <c r="I413" s="30"/>
    </row>
    <row r="414" spans="1:9">
      <c r="A414">
        <f t="shared" si="74"/>
        <v>413</v>
      </c>
      <c r="B414" s="30">
        <v>22737</v>
      </c>
      <c r="C414">
        <v>65.239998</v>
      </c>
      <c r="I414" s="30"/>
    </row>
    <row r="415" spans="1:9">
      <c r="A415">
        <f t="shared" si="74"/>
        <v>414</v>
      </c>
      <c r="B415" s="30">
        <v>22767</v>
      </c>
      <c r="C415">
        <v>59.630001</v>
      </c>
      <c r="I415" s="30"/>
    </row>
    <row r="416" spans="1:9">
      <c r="A416">
        <f t="shared" si="74"/>
        <v>415</v>
      </c>
      <c r="B416" s="30">
        <v>22798</v>
      </c>
      <c r="C416">
        <v>54.75</v>
      </c>
      <c r="I416" s="30"/>
    </row>
    <row r="417" spans="1:9">
      <c r="A417">
        <f t="shared" si="74"/>
        <v>416</v>
      </c>
      <c r="B417" s="30">
        <v>22828</v>
      </c>
      <c r="C417">
        <v>58.23</v>
      </c>
      <c r="I417" s="30"/>
    </row>
    <row r="418" spans="1:9">
      <c r="A418">
        <f t="shared" si="74"/>
        <v>417</v>
      </c>
      <c r="B418" s="30">
        <v>22859</v>
      </c>
      <c r="C418">
        <v>59.119999</v>
      </c>
      <c r="I418" s="30"/>
    </row>
    <row r="419" spans="1:9">
      <c r="A419">
        <f t="shared" si="74"/>
        <v>418</v>
      </c>
      <c r="B419" s="30">
        <v>22890</v>
      </c>
      <c r="C419">
        <v>56.27</v>
      </c>
      <c r="I419" s="30"/>
    </row>
    <row r="420" spans="1:9">
      <c r="A420">
        <f t="shared" si="74"/>
        <v>419</v>
      </c>
      <c r="B420" s="30">
        <v>22920</v>
      </c>
      <c r="C420">
        <v>56.52</v>
      </c>
      <c r="I420" s="30"/>
    </row>
    <row r="421" spans="1:9">
      <c r="A421">
        <f t="shared" si="74"/>
        <v>420</v>
      </c>
      <c r="B421" s="30">
        <v>22951</v>
      </c>
      <c r="C421">
        <v>62.259998000000003</v>
      </c>
      <c r="I421" s="30"/>
    </row>
    <row r="422" spans="1:9">
      <c r="A422">
        <f t="shared" si="74"/>
        <v>421</v>
      </c>
      <c r="B422" s="30">
        <v>22981</v>
      </c>
      <c r="C422">
        <v>63.099997999999999</v>
      </c>
      <c r="I422" s="30"/>
    </row>
    <row r="423" spans="1:9">
      <c r="A423">
        <f t="shared" si="74"/>
        <v>422</v>
      </c>
      <c r="B423" s="30">
        <v>23012</v>
      </c>
      <c r="C423">
        <v>66.199996999999996</v>
      </c>
      <c r="I423" s="30"/>
    </row>
    <row r="424" spans="1:9">
      <c r="A424">
        <f t="shared" si="74"/>
        <v>423</v>
      </c>
      <c r="B424" s="30">
        <v>23043</v>
      </c>
      <c r="C424">
        <v>64.290001000000004</v>
      </c>
      <c r="I424" s="30"/>
    </row>
    <row r="425" spans="1:9">
      <c r="A425">
        <f t="shared" si="74"/>
        <v>424</v>
      </c>
      <c r="B425" s="30">
        <v>23071</v>
      </c>
      <c r="C425">
        <v>66.569999999999993</v>
      </c>
      <c r="I425" s="30"/>
    </row>
    <row r="426" spans="1:9">
      <c r="A426">
        <f t="shared" si="74"/>
        <v>425</v>
      </c>
      <c r="B426" s="30">
        <v>23102</v>
      </c>
      <c r="C426">
        <v>69.800003000000004</v>
      </c>
      <c r="I426" s="30"/>
    </row>
    <row r="427" spans="1:9">
      <c r="A427">
        <f t="shared" si="74"/>
        <v>426</v>
      </c>
      <c r="B427" s="30">
        <v>23132</v>
      </c>
      <c r="C427">
        <v>70.800003000000004</v>
      </c>
      <c r="I427" s="30"/>
    </row>
    <row r="428" spans="1:9">
      <c r="A428">
        <f t="shared" si="74"/>
        <v>427</v>
      </c>
      <c r="B428" s="30">
        <v>23163</v>
      </c>
      <c r="C428">
        <v>69.370002999999997</v>
      </c>
      <c r="I428" s="30"/>
    </row>
    <row r="429" spans="1:9">
      <c r="A429">
        <f t="shared" si="74"/>
        <v>428</v>
      </c>
      <c r="B429" s="30">
        <v>23193</v>
      </c>
      <c r="C429">
        <v>69.129997000000003</v>
      </c>
      <c r="I429" s="30"/>
    </row>
    <row r="430" spans="1:9">
      <c r="A430">
        <f t="shared" si="74"/>
        <v>429</v>
      </c>
      <c r="B430" s="30">
        <v>23224</v>
      </c>
      <c r="C430">
        <v>72.5</v>
      </c>
      <c r="I430" s="30"/>
    </row>
    <row r="431" spans="1:9">
      <c r="A431">
        <f t="shared" si="74"/>
        <v>430</v>
      </c>
      <c r="B431" s="30">
        <v>23255</v>
      </c>
      <c r="C431">
        <v>71.699996999999996</v>
      </c>
      <c r="I431" s="30"/>
    </row>
    <row r="432" spans="1:9">
      <c r="A432">
        <f t="shared" si="74"/>
        <v>431</v>
      </c>
      <c r="B432" s="30">
        <v>23285</v>
      </c>
      <c r="C432">
        <v>74.010002</v>
      </c>
      <c r="I432" s="30"/>
    </row>
    <row r="433" spans="1:9">
      <c r="A433">
        <f t="shared" si="74"/>
        <v>432</v>
      </c>
      <c r="B433" s="30">
        <v>23316</v>
      </c>
      <c r="C433">
        <v>73.230002999999996</v>
      </c>
      <c r="I433" s="30"/>
    </row>
    <row r="434" spans="1:9">
      <c r="A434">
        <f t="shared" si="74"/>
        <v>433</v>
      </c>
      <c r="B434" s="30">
        <v>23346</v>
      </c>
      <c r="C434">
        <v>75.019997000000004</v>
      </c>
      <c r="I434" s="30"/>
    </row>
    <row r="435" spans="1:9">
      <c r="A435">
        <f t="shared" si="74"/>
        <v>434</v>
      </c>
      <c r="B435" s="30">
        <v>23377</v>
      </c>
      <c r="C435">
        <v>77.040001000000004</v>
      </c>
      <c r="I435" s="30"/>
    </row>
    <row r="436" spans="1:9">
      <c r="A436">
        <f t="shared" si="74"/>
        <v>435</v>
      </c>
      <c r="B436" s="30">
        <v>23408</v>
      </c>
      <c r="C436">
        <v>77.800003000000004</v>
      </c>
      <c r="I436" s="30"/>
    </row>
    <row r="437" spans="1:9">
      <c r="A437">
        <f t="shared" si="74"/>
        <v>436</v>
      </c>
      <c r="B437" s="30">
        <v>23437</v>
      </c>
      <c r="C437">
        <v>78.980002999999996</v>
      </c>
      <c r="I437" s="30"/>
    </row>
    <row r="438" spans="1:9">
      <c r="A438">
        <f t="shared" si="74"/>
        <v>437</v>
      </c>
      <c r="B438" s="30">
        <v>23468</v>
      </c>
      <c r="C438">
        <v>79.459998999999996</v>
      </c>
      <c r="I438" s="30"/>
    </row>
    <row r="439" spans="1:9">
      <c r="A439">
        <f t="shared" si="74"/>
        <v>438</v>
      </c>
      <c r="B439" s="30">
        <v>23498</v>
      </c>
      <c r="C439">
        <v>80.370002999999997</v>
      </c>
      <c r="I439" s="30"/>
    </row>
    <row r="440" spans="1:9">
      <c r="A440">
        <f t="shared" si="74"/>
        <v>439</v>
      </c>
      <c r="B440" s="30">
        <v>23529</v>
      </c>
      <c r="C440">
        <v>81.690002000000007</v>
      </c>
      <c r="I440" s="30"/>
    </row>
    <row r="441" spans="1:9">
      <c r="A441">
        <f t="shared" si="74"/>
        <v>440</v>
      </c>
      <c r="B441" s="30">
        <v>23559</v>
      </c>
      <c r="C441">
        <v>83.18</v>
      </c>
      <c r="I441" s="30"/>
    </row>
    <row r="442" spans="1:9">
      <c r="A442">
        <f t="shared" si="74"/>
        <v>441</v>
      </c>
      <c r="B442" s="30">
        <v>23590</v>
      </c>
      <c r="C442">
        <v>81.830001999999993</v>
      </c>
      <c r="I442" s="30"/>
    </row>
    <row r="443" spans="1:9">
      <c r="A443">
        <f t="shared" si="74"/>
        <v>442</v>
      </c>
      <c r="B443" s="30">
        <v>23621</v>
      </c>
      <c r="C443">
        <v>84.18</v>
      </c>
      <c r="I443" s="30"/>
    </row>
    <row r="444" spans="1:9">
      <c r="A444">
        <f t="shared" si="74"/>
        <v>443</v>
      </c>
      <c r="B444" s="30">
        <v>23651</v>
      </c>
      <c r="C444">
        <v>84.860000999999997</v>
      </c>
      <c r="I444" s="30"/>
    </row>
    <row r="445" spans="1:9">
      <c r="A445">
        <f t="shared" si="74"/>
        <v>444</v>
      </c>
      <c r="B445" s="30">
        <v>23682</v>
      </c>
      <c r="C445">
        <v>84.419998000000007</v>
      </c>
      <c r="I445" s="30"/>
    </row>
    <row r="446" spans="1:9">
      <c r="A446">
        <f t="shared" si="74"/>
        <v>445</v>
      </c>
      <c r="B446" s="30">
        <v>23712</v>
      </c>
      <c r="C446">
        <v>84.75</v>
      </c>
      <c r="I446" s="30"/>
    </row>
    <row r="447" spans="1:9">
      <c r="A447">
        <f t="shared" si="74"/>
        <v>446</v>
      </c>
      <c r="B447" s="30">
        <v>23743</v>
      </c>
      <c r="C447">
        <v>87.559997999999993</v>
      </c>
      <c r="I447" s="30"/>
    </row>
    <row r="448" spans="1:9">
      <c r="A448">
        <f t="shared" si="74"/>
        <v>447</v>
      </c>
      <c r="B448" s="30">
        <v>23774</v>
      </c>
      <c r="C448">
        <v>87.43</v>
      </c>
      <c r="I448" s="30"/>
    </row>
    <row r="449" spans="1:9">
      <c r="A449">
        <f t="shared" si="74"/>
        <v>448</v>
      </c>
      <c r="B449" s="30">
        <v>23802</v>
      </c>
      <c r="C449">
        <v>86.160004000000001</v>
      </c>
      <c r="I449" s="30"/>
    </row>
    <row r="450" spans="1:9">
      <c r="A450">
        <f t="shared" si="74"/>
        <v>449</v>
      </c>
      <c r="B450" s="30">
        <v>23833</v>
      </c>
      <c r="C450">
        <v>89.110000999999997</v>
      </c>
      <c r="I450" s="30"/>
    </row>
    <row r="451" spans="1:9">
      <c r="A451">
        <f t="shared" si="74"/>
        <v>450</v>
      </c>
      <c r="B451" s="30">
        <v>23863</v>
      </c>
      <c r="C451">
        <v>88.419998000000007</v>
      </c>
      <c r="I451" s="30"/>
    </row>
    <row r="452" spans="1:9">
      <c r="A452">
        <f t="shared" ref="A452:A515" si="75">A451+1</f>
        <v>451</v>
      </c>
      <c r="B452" s="30">
        <v>23894</v>
      </c>
      <c r="C452">
        <v>84.120002999999997</v>
      </c>
      <c r="I452" s="30"/>
    </row>
    <row r="453" spans="1:9">
      <c r="A453">
        <f t="shared" si="75"/>
        <v>452</v>
      </c>
      <c r="B453" s="30">
        <v>23924</v>
      </c>
      <c r="C453">
        <v>85.25</v>
      </c>
      <c r="I453" s="30"/>
    </row>
    <row r="454" spans="1:9">
      <c r="A454">
        <f t="shared" si="75"/>
        <v>453</v>
      </c>
      <c r="B454" s="30">
        <v>23955</v>
      </c>
      <c r="C454">
        <v>87.169998000000007</v>
      </c>
      <c r="I454" s="30"/>
    </row>
    <row r="455" spans="1:9">
      <c r="A455">
        <f t="shared" si="75"/>
        <v>454</v>
      </c>
      <c r="B455" s="30">
        <v>23986</v>
      </c>
      <c r="C455">
        <v>89.959998999999996</v>
      </c>
      <c r="I455" s="30"/>
    </row>
    <row r="456" spans="1:9">
      <c r="A456">
        <f t="shared" si="75"/>
        <v>455</v>
      </c>
      <c r="B456" s="30">
        <v>24016</v>
      </c>
      <c r="C456">
        <v>92.419998000000007</v>
      </c>
      <c r="I456" s="30"/>
    </row>
    <row r="457" spans="1:9">
      <c r="A457">
        <f t="shared" si="75"/>
        <v>456</v>
      </c>
      <c r="B457" s="30">
        <v>24047</v>
      </c>
      <c r="C457">
        <v>91.610000999999997</v>
      </c>
      <c r="I457" s="30"/>
    </row>
    <row r="458" spans="1:9">
      <c r="A458">
        <f t="shared" si="75"/>
        <v>457</v>
      </c>
      <c r="B458" s="30">
        <v>24077</v>
      </c>
      <c r="C458">
        <v>92.43</v>
      </c>
      <c r="I458" s="30"/>
    </row>
    <row r="459" spans="1:9">
      <c r="A459">
        <f t="shared" si="75"/>
        <v>458</v>
      </c>
      <c r="B459" s="30">
        <v>24108</v>
      </c>
      <c r="C459">
        <v>92.879997000000003</v>
      </c>
      <c r="I459" s="30"/>
    </row>
    <row r="460" spans="1:9">
      <c r="A460">
        <f t="shared" si="75"/>
        <v>459</v>
      </c>
      <c r="B460" s="30">
        <v>24139</v>
      </c>
      <c r="C460">
        <v>91.220000999999996</v>
      </c>
      <c r="I460" s="30"/>
    </row>
    <row r="461" spans="1:9">
      <c r="A461">
        <f t="shared" si="75"/>
        <v>460</v>
      </c>
      <c r="B461" s="30">
        <v>24167</v>
      </c>
      <c r="C461">
        <v>89.230002999999996</v>
      </c>
      <c r="I461" s="30"/>
    </row>
    <row r="462" spans="1:9">
      <c r="A462">
        <f t="shared" si="75"/>
        <v>461</v>
      </c>
      <c r="B462" s="30">
        <v>24198</v>
      </c>
      <c r="C462">
        <v>91.059997999999993</v>
      </c>
      <c r="I462" s="30"/>
    </row>
    <row r="463" spans="1:9">
      <c r="A463">
        <f t="shared" si="75"/>
        <v>462</v>
      </c>
      <c r="B463" s="30">
        <v>24228</v>
      </c>
      <c r="C463">
        <v>86.129997000000003</v>
      </c>
      <c r="I463" s="30"/>
    </row>
    <row r="464" spans="1:9">
      <c r="A464">
        <f t="shared" si="75"/>
        <v>463</v>
      </c>
      <c r="B464" s="30">
        <v>24259</v>
      </c>
      <c r="C464">
        <v>84.739998</v>
      </c>
      <c r="I464" s="30"/>
    </row>
    <row r="465" spans="1:9">
      <c r="A465">
        <f t="shared" si="75"/>
        <v>464</v>
      </c>
      <c r="B465" s="30">
        <v>24289</v>
      </c>
      <c r="C465">
        <v>83.599997999999999</v>
      </c>
      <c r="I465" s="30"/>
    </row>
    <row r="466" spans="1:9">
      <c r="A466">
        <f t="shared" si="75"/>
        <v>465</v>
      </c>
      <c r="B466" s="30">
        <v>24320</v>
      </c>
      <c r="C466">
        <v>77.099997999999999</v>
      </c>
      <c r="I466" s="30"/>
    </row>
    <row r="467" spans="1:9">
      <c r="A467">
        <f t="shared" si="75"/>
        <v>466</v>
      </c>
      <c r="B467" s="30">
        <v>24351</v>
      </c>
      <c r="C467">
        <v>76.559997999999993</v>
      </c>
      <c r="I467" s="30"/>
    </row>
    <row r="468" spans="1:9">
      <c r="A468">
        <f t="shared" si="75"/>
        <v>467</v>
      </c>
      <c r="B468" s="30">
        <v>24381</v>
      </c>
      <c r="C468">
        <v>80.199996999999996</v>
      </c>
      <c r="I468" s="30"/>
    </row>
    <row r="469" spans="1:9">
      <c r="A469">
        <f t="shared" si="75"/>
        <v>468</v>
      </c>
      <c r="B469" s="30">
        <v>24412</v>
      </c>
      <c r="C469">
        <v>80.449996999999996</v>
      </c>
      <c r="I469" s="30"/>
    </row>
    <row r="470" spans="1:9">
      <c r="A470">
        <f t="shared" si="75"/>
        <v>469</v>
      </c>
      <c r="B470" s="30">
        <v>24442</v>
      </c>
      <c r="C470">
        <v>80.330001999999993</v>
      </c>
      <c r="I470" s="30"/>
    </row>
    <row r="471" spans="1:9">
      <c r="A471">
        <f t="shared" si="75"/>
        <v>470</v>
      </c>
      <c r="B471" s="30">
        <v>24473</v>
      </c>
      <c r="C471">
        <v>86.610000999999997</v>
      </c>
      <c r="I471" s="30"/>
    </row>
    <row r="472" spans="1:9">
      <c r="A472">
        <f t="shared" si="75"/>
        <v>471</v>
      </c>
      <c r="B472" s="30">
        <v>24504</v>
      </c>
      <c r="C472">
        <v>86.779999000000004</v>
      </c>
      <c r="I472" s="30"/>
    </row>
    <row r="473" spans="1:9">
      <c r="A473">
        <f t="shared" si="75"/>
        <v>472</v>
      </c>
      <c r="B473" s="30">
        <v>24532</v>
      </c>
      <c r="C473">
        <v>90.199996999999996</v>
      </c>
      <c r="I473" s="30"/>
    </row>
    <row r="474" spans="1:9">
      <c r="A474">
        <f t="shared" si="75"/>
        <v>473</v>
      </c>
      <c r="B474" s="30">
        <v>24563</v>
      </c>
      <c r="C474">
        <v>94.010002</v>
      </c>
      <c r="I474" s="30"/>
    </row>
    <row r="475" spans="1:9">
      <c r="A475">
        <f t="shared" si="75"/>
        <v>474</v>
      </c>
      <c r="B475" s="30">
        <v>24593</v>
      </c>
      <c r="C475">
        <v>89.080001999999993</v>
      </c>
      <c r="I475" s="30"/>
    </row>
    <row r="476" spans="1:9">
      <c r="A476">
        <f t="shared" si="75"/>
        <v>475</v>
      </c>
      <c r="B476" s="30">
        <v>24624</v>
      </c>
      <c r="C476">
        <v>90.639999000000003</v>
      </c>
      <c r="I476" s="30"/>
    </row>
    <row r="477" spans="1:9">
      <c r="A477">
        <f t="shared" si="75"/>
        <v>476</v>
      </c>
      <c r="B477" s="30">
        <v>24654</v>
      </c>
      <c r="C477">
        <v>94.75</v>
      </c>
      <c r="I477" s="30"/>
    </row>
    <row r="478" spans="1:9">
      <c r="A478">
        <f t="shared" si="75"/>
        <v>477</v>
      </c>
      <c r="B478" s="30">
        <v>24685</v>
      </c>
      <c r="C478">
        <v>93.639999000000003</v>
      </c>
      <c r="I478" s="30"/>
    </row>
    <row r="479" spans="1:9">
      <c r="A479">
        <f t="shared" si="75"/>
        <v>478</v>
      </c>
      <c r="B479" s="30">
        <v>24716</v>
      </c>
      <c r="C479">
        <v>96.709998999999996</v>
      </c>
      <c r="I479" s="30"/>
    </row>
    <row r="480" spans="1:9">
      <c r="A480">
        <f t="shared" si="75"/>
        <v>479</v>
      </c>
      <c r="B480" s="30">
        <v>24746</v>
      </c>
      <c r="C480">
        <v>93.300003000000004</v>
      </c>
      <c r="I480" s="30"/>
    </row>
    <row r="481" spans="1:9">
      <c r="A481">
        <f t="shared" si="75"/>
        <v>480</v>
      </c>
      <c r="B481" s="30">
        <v>24777</v>
      </c>
      <c r="C481">
        <v>94</v>
      </c>
      <c r="I481" s="30"/>
    </row>
    <row r="482" spans="1:9">
      <c r="A482">
        <f t="shared" si="75"/>
        <v>481</v>
      </c>
      <c r="B482" s="30">
        <v>24807</v>
      </c>
      <c r="C482">
        <v>96.470000999999996</v>
      </c>
      <c r="I482" s="30"/>
    </row>
    <row r="483" spans="1:9">
      <c r="A483">
        <f t="shared" si="75"/>
        <v>482</v>
      </c>
      <c r="B483" s="30">
        <v>24838</v>
      </c>
      <c r="C483">
        <v>92.239998</v>
      </c>
      <c r="I483" s="30"/>
    </row>
    <row r="484" spans="1:9">
      <c r="A484">
        <f t="shared" si="75"/>
        <v>483</v>
      </c>
      <c r="B484" s="30">
        <v>24869</v>
      </c>
      <c r="C484">
        <v>89.360000999999997</v>
      </c>
      <c r="I484" s="30"/>
    </row>
    <row r="485" spans="1:9">
      <c r="A485">
        <f t="shared" si="75"/>
        <v>484</v>
      </c>
      <c r="B485" s="30">
        <v>24898</v>
      </c>
      <c r="C485">
        <v>90.199996999999996</v>
      </c>
      <c r="I485" s="30"/>
    </row>
    <row r="486" spans="1:9">
      <c r="A486">
        <f t="shared" si="75"/>
        <v>485</v>
      </c>
      <c r="B486" s="30">
        <v>24929</v>
      </c>
      <c r="C486">
        <v>97.459998999999996</v>
      </c>
      <c r="I486" s="30"/>
    </row>
    <row r="487" spans="1:9">
      <c r="A487">
        <f t="shared" si="75"/>
        <v>486</v>
      </c>
      <c r="B487" s="30">
        <v>24959</v>
      </c>
      <c r="C487">
        <v>98.68</v>
      </c>
      <c r="I487" s="30"/>
    </row>
    <row r="488" spans="1:9">
      <c r="A488">
        <f t="shared" si="75"/>
        <v>487</v>
      </c>
      <c r="B488" s="30">
        <v>24990</v>
      </c>
      <c r="C488">
        <v>99.580001999999993</v>
      </c>
      <c r="I488" s="30"/>
    </row>
    <row r="489" spans="1:9">
      <c r="A489">
        <f t="shared" si="75"/>
        <v>488</v>
      </c>
      <c r="B489" s="30">
        <v>25020</v>
      </c>
      <c r="C489">
        <v>97.739998</v>
      </c>
      <c r="I489" s="30"/>
    </row>
    <row r="490" spans="1:9">
      <c r="A490">
        <f t="shared" si="75"/>
        <v>489</v>
      </c>
      <c r="B490" s="30">
        <v>25051</v>
      </c>
      <c r="C490">
        <v>98.860000999999997</v>
      </c>
      <c r="I490" s="30"/>
    </row>
    <row r="491" spans="1:9">
      <c r="A491">
        <f t="shared" si="75"/>
        <v>490</v>
      </c>
      <c r="B491" s="30">
        <v>25082</v>
      </c>
      <c r="C491">
        <v>102.66999800000001</v>
      </c>
      <c r="I491" s="30"/>
    </row>
    <row r="492" spans="1:9">
      <c r="A492">
        <f t="shared" si="75"/>
        <v>491</v>
      </c>
      <c r="B492" s="30">
        <v>25112</v>
      </c>
      <c r="C492">
        <v>103.410004</v>
      </c>
      <c r="I492" s="30"/>
    </row>
    <row r="493" spans="1:9">
      <c r="A493">
        <f t="shared" si="75"/>
        <v>492</v>
      </c>
      <c r="B493" s="30">
        <v>25143</v>
      </c>
      <c r="C493">
        <v>108.370003</v>
      </c>
      <c r="I493" s="30"/>
    </row>
    <row r="494" spans="1:9">
      <c r="A494">
        <f t="shared" si="75"/>
        <v>493</v>
      </c>
      <c r="B494" s="30">
        <v>25173</v>
      </c>
      <c r="C494">
        <v>103.860001</v>
      </c>
      <c r="I494" s="30"/>
    </row>
    <row r="495" spans="1:9">
      <c r="A495">
        <f t="shared" si="75"/>
        <v>494</v>
      </c>
      <c r="B495" s="30">
        <v>25204</v>
      </c>
      <c r="C495">
        <v>103.010002</v>
      </c>
      <c r="I495" s="30"/>
    </row>
    <row r="496" spans="1:9">
      <c r="A496">
        <f t="shared" si="75"/>
        <v>495</v>
      </c>
      <c r="B496" s="30">
        <v>25235</v>
      </c>
      <c r="C496">
        <v>98.129997000000003</v>
      </c>
      <c r="I496" s="30"/>
    </row>
    <row r="497" spans="1:9">
      <c r="A497">
        <f t="shared" si="75"/>
        <v>496</v>
      </c>
      <c r="B497" s="30">
        <v>25263</v>
      </c>
      <c r="C497">
        <v>101.510002</v>
      </c>
      <c r="I497" s="30"/>
    </row>
    <row r="498" spans="1:9">
      <c r="A498">
        <f t="shared" si="75"/>
        <v>497</v>
      </c>
      <c r="B498" s="30">
        <v>25294</v>
      </c>
      <c r="C498">
        <v>103.69000200000001</v>
      </c>
      <c r="I498" s="30"/>
    </row>
    <row r="499" spans="1:9">
      <c r="A499">
        <f t="shared" si="75"/>
        <v>498</v>
      </c>
      <c r="B499" s="30">
        <v>25324</v>
      </c>
      <c r="C499">
        <v>103.459999</v>
      </c>
      <c r="I499" s="30"/>
    </row>
    <row r="500" spans="1:9">
      <c r="A500">
        <f t="shared" si="75"/>
        <v>499</v>
      </c>
      <c r="B500" s="30">
        <v>25355</v>
      </c>
      <c r="C500">
        <v>97.709998999999996</v>
      </c>
      <c r="I500" s="30"/>
    </row>
    <row r="501" spans="1:9">
      <c r="A501">
        <f t="shared" si="75"/>
        <v>500</v>
      </c>
      <c r="B501" s="30">
        <v>25385</v>
      </c>
      <c r="C501">
        <v>91.830001999999993</v>
      </c>
      <c r="I501" s="30"/>
    </row>
    <row r="502" spans="1:9">
      <c r="A502">
        <f t="shared" si="75"/>
        <v>501</v>
      </c>
      <c r="B502" s="30">
        <v>25416</v>
      </c>
      <c r="C502">
        <v>95.510002</v>
      </c>
      <c r="I502" s="30"/>
    </row>
    <row r="503" spans="1:9">
      <c r="A503">
        <f t="shared" si="75"/>
        <v>502</v>
      </c>
      <c r="B503" s="30">
        <v>25447</v>
      </c>
      <c r="C503">
        <v>93.120002999999997</v>
      </c>
      <c r="I503" s="30"/>
    </row>
    <row r="504" spans="1:9">
      <c r="A504">
        <f t="shared" si="75"/>
        <v>503</v>
      </c>
      <c r="B504" s="30">
        <v>25477</v>
      </c>
      <c r="C504">
        <v>97.120002999999997</v>
      </c>
      <c r="I504" s="30"/>
    </row>
    <row r="505" spans="1:9">
      <c r="A505">
        <f t="shared" si="75"/>
        <v>504</v>
      </c>
      <c r="B505" s="30">
        <v>25508</v>
      </c>
      <c r="C505">
        <v>93.809997999999993</v>
      </c>
      <c r="I505" s="30"/>
    </row>
    <row r="506" spans="1:9">
      <c r="A506">
        <f t="shared" si="75"/>
        <v>505</v>
      </c>
      <c r="B506" s="30">
        <v>25538</v>
      </c>
      <c r="C506">
        <v>92.059997999999993</v>
      </c>
      <c r="I506" s="30"/>
    </row>
    <row r="507" spans="1:9">
      <c r="A507">
        <f t="shared" si="75"/>
        <v>506</v>
      </c>
      <c r="B507" s="30">
        <v>25569</v>
      </c>
      <c r="C507">
        <v>85.019997000000004</v>
      </c>
      <c r="I507" s="30"/>
    </row>
    <row r="508" spans="1:9">
      <c r="A508">
        <f t="shared" si="75"/>
        <v>507</v>
      </c>
      <c r="B508" s="30">
        <v>25600</v>
      </c>
      <c r="C508">
        <v>89.5</v>
      </c>
      <c r="I508" s="30"/>
    </row>
    <row r="509" spans="1:9">
      <c r="A509">
        <f t="shared" si="75"/>
        <v>508</v>
      </c>
      <c r="B509" s="30">
        <v>25628</v>
      </c>
      <c r="C509">
        <v>89.629997000000003</v>
      </c>
      <c r="I509" s="30"/>
    </row>
    <row r="510" spans="1:9">
      <c r="A510">
        <f t="shared" si="75"/>
        <v>509</v>
      </c>
      <c r="B510" s="30">
        <v>25659</v>
      </c>
      <c r="C510">
        <v>81.519997000000004</v>
      </c>
      <c r="I510" s="30"/>
    </row>
    <row r="511" spans="1:9">
      <c r="A511">
        <f t="shared" si="75"/>
        <v>510</v>
      </c>
      <c r="B511" s="30">
        <v>25689</v>
      </c>
      <c r="C511">
        <v>76.550003000000004</v>
      </c>
      <c r="I511" s="30"/>
    </row>
    <row r="512" spans="1:9">
      <c r="A512">
        <f t="shared" si="75"/>
        <v>511</v>
      </c>
      <c r="B512" s="30">
        <v>25720</v>
      </c>
      <c r="C512">
        <v>72.720000999999996</v>
      </c>
      <c r="I512" s="30"/>
    </row>
    <row r="513" spans="1:9">
      <c r="A513">
        <f t="shared" si="75"/>
        <v>512</v>
      </c>
      <c r="B513" s="30">
        <v>25750</v>
      </c>
      <c r="C513">
        <v>78.050003000000004</v>
      </c>
      <c r="I513" s="30"/>
    </row>
    <row r="514" spans="1:9">
      <c r="A514">
        <f t="shared" si="75"/>
        <v>513</v>
      </c>
      <c r="B514" s="30">
        <v>25781</v>
      </c>
      <c r="C514">
        <v>81.519997000000004</v>
      </c>
      <c r="I514" s="30"/>
    </row>
    <row r="515" spans="1:9">
      <c r="A515">
        <f t="shared" si="75"/>
        <v>514</v>
      </c>
      <c r="B515" s="30">
        <v>25812</v>
      </c>
      <c r="C515">
        <v>84.300003000000004</v>
      </c>
      <c r="I515" s="30"/>
    </row>
    <row r="516" spans="1:9">
      <c r="A516">
        <f t="shared" ref="A516:A579" si="76">A515+1</f>
        <v>515</v>
      </c>
      <c r="B516" s="30">
        <v>25842</v>
      </c>
      <c r="C516">
        <v>83.25</v>
      </c>
      <c r="I516" s="30"/>
    </row>
    <row r="517" spans="1:9">
      <c r="A517">
        <f t="shared" si="76"/>
        <v>516</v>
      </c>
      <c r="B517" s="30">
        <v>25873</v>
      </c>
      <c r="C517">
        <v>87.199996999999996</v>
      </c>
      <c r="I517" s="30"/>
    </row>
    <row r="518" spans="1:9">
      <c r="A518">
        <f t="shared" si="76"/>
        <v>517</v>
      </c>
      <c r="B518" s="30">
        <v>25903</v>
      </c>
      <c r="C518">
        <v>92.150002000000001</v>
      </c>
      <c r="I518" s="30"/>
    </row>
    <row r="519" spans="1:9">
      <c r="A519">
        <f t="shared" si="76"/>
        <v>518</v>
      </c>
      <c r="B519" s="30">
        <v>25934</v>
      </c>
      <c r="C519">
        <v>95.879997000000003</v>
      </c>
      <c r="I519" s="30"/>
    </row>
    <row r="520" spans="1:9">
      <c r="A520">
        <f t="shared" si="76"/>
        <v>519</v>
      </c>
      <c r="B520" s="30">
        <v>25965</v>
      </c>
      <c r="C520">
        <v>96.75</v>
      </c>
      <c r="I520" s="30"/>
    </row>
    <row r="521" spans="1:9">
      <c r="A521">
        <f t="shared" si="76"/>
        <v>520</v>
      </c>
      <c r="B521" s="30">
        <v>25993</v>
      </c>
      <c r="C521">
        <v>100.30999799999999</v>
      </c>
      <c r="I521" s="30"/>
    </row>
    <row r="522" spans="1:9">
      <c r="A522">
        <f t="shared" si="76"/>
        <v>521</v>
      </c>
      <c r="B522" s="30">
        <v>26024</v>
      </c>
      <c r="C522">
        <v>103.949997</v>
      </c>
      <c r="I522" s="30"/>
    </row>
    <row r="523" spans="1:9">
      <c r="A523">
        <f t="shared" si="76"/>
        <v>522</v>
      </c>
      <c r="B523" s="30">
        <v>26054</v>
      </c>
      <c r="C523">
        <v>99.629997000000003</v>
      </c>
      <c r="I523" s="30"/>
    </row>
    <row r="524" spans="1:9">
      <c r="A524">
        <f t="shared" si="76"/>
        <v>523</v>
      </c>
      <c r="B524" s="30">
        <v>26085</v>
      </c>
      <c r="C524">
        <v>98.699996999999996</v>
      </c>
      <c r="I524" s="30"/>
    </row>
    <row r="525" spans="1:9">
      <c r="A525">
        <f t="shared" si="76"/>
        <v>524</v>
      </c>
      <c r="B525" s="30">
        <v>26115</v>
      </c>
      <c r="C525">
        <v>95.580001999999993</v>
      </c>
      <c r="I525" s="30"/>
    </row>
    <row r="526" spans="1:9">
      <c r="A526">
        <f t="shared" si="76"/>
        <v>525</v>
      </c>
      <c r="B526" s="30">
        <v>26146</v>
      </c>
      <c r="C526">
        <v>99.029999000000004</v>
      </c>
      <c r="I526" s="30"/>
    </row>
    <row r="527" spans="1:9">
      <c r="A527">
        <f t="shared" si="76"/>
        <v>526</v>
      </c>
      <c r="B527" s="30">
        <v>26177</v>
      </c>
      <c r="C527">
        <v>98.339995999999999</v>
      </c>
      <c r="I527" s="30"/>
    </row>
    <row r="528" spans="1:9">
      <c r="A528">
        <f t="shared" si="76"/>
        <v>527</v>
      </c>
      <c r="B528" s="30">
        <v>26207</v>
      </c>
      <c r="C528">
        <v>94.230002999999996</v>
      </c>
      <c r="I528" s="30"/>
    </row>
    <row r="529" spans="1:9">
      <c r="A529">
        <f t="shared" si="76"/>
        <v>528</v>
      </c>
      <c r="B529" s="30">
        <v>26238</v>
      </c>
      <c r="C529">
        <v>93.989998</v>
      </c>
      <c r="I529" s="30"/>
    </row>
    <row r="530" spans="1:9">
      <c r="A530">
        <f t="shared" si="76"/>
        <v>529</v>
      </c>
      <c r="B530" s="30">
        <v>26268</v>
      </c>
      <c r="C530">
        <v>102.089996</v>
      </c>
      <c r="I530" s="30"/>
    </row>
    <row r="531" spans="1:9">
      <c r="A531">
        <f t="shared" si="76"/>
        <v>530</v>
      </c>
      <c r="B531" s="30">
        <v>26299</v>
      </c>
      <c r="C531">
        <v>103.94000200000001</v>
      </c>
      <c r="I531" s="30"/>
    </row>
    <row r="532" spans="1:9">
      <c r="A532">
        <f t="shared" si="76"/>
        <v>531</v>
      </c>
      <c r="B532" s="30">
        <v>26330</v>
      </c>
      <c r="C532">
        <v>106.57</v>
      </c>
      <c r="I532" s="30"/>
    </row>
    <row r="533" spans="1:9">
      <c r="A533">
        <f t="shared" si="76"/>
        <v>532</v>
      </c>
      <c r="B533" s="30">
        <v>26359</v>
      </c>
      <c r="C533">
        <v>107.199997</v>
      </c>
      <c r="I533" s="30"/>
    </row>
    <row r="534" spans="1:9">
      <c r="A534">
        <f t="shared" si="76"/>
        <v>533</v>
      </c>
      <c r="B534" s="30">
        <v>26390</v>
      </c>
      <c r="C534">
        <v>107.66999800000001</v>
      </c>
      <c r="I534" s="30"/>
    </row>
    <row r="535" spans="1:9">
      <c r="A535">
        <f t="shared" si="76"/>
        <v>534</v>
      </c>
      <c r="B535" s="30">
        <v>26420</v>
      </c>
      <c r="C535">
        <v>109.529999</v>
      </c>
      <c r="I535" s="30"/>
    </row>
    <row r="536" spans="1:9">
      <c r="A536">
        <f t="shared" si="76"/>
        <v>535</v>
      </c>
      <c r="B536" s="30">
        <v>26451</v>
      </c>
      <c r="C536">
        <v>107.139999</v>
      </c>
      <c r="I536" s="30"/>
    </row>
    <row r="537" spans="1:9">
      <c r="A537">
        <f t="shared" si="76"/>
        <v>536</v>
      </c>
      <c r="B537" s="30">
        <v>26481</v>
      </c>
      <c r="C537">
        <v>107.389999</v>
      </c>
      <c r="I537" s="30"/>
    </row>
    <row r="538" spans="1:9">
      <c r="A538">
        <f t="shared" si="76"/>
        <v>537</v>
      </c>
      <c r="B538" s="30">
        <v>26512</v>
      </c>
      <c r="C538">
        <v>111.089996</v>
      </c>
      <c r="I538" s="30"/>
    </row>
    <row r="539" spans="1:9">
      <c r="A539">
        <f t="shared" si="76"/>
        <v>538</v>
      </c>
      <c r="B539" s="30">
        <v>26543</v>
      </c>
      <c r="C539">
        <v>110.550003</v>
      </c>
      <c r="I539" s="30"/>
    </row>
    <row r="540" spans="1:9">
      <c r="A540">
        <f t="shared" si="76"/>
        <v>539</v>
      </c>
      <c r="B540" s="30">
        <v>26573</v>
      </c>
      <c r="C540">
        <v>111.58000199999999</v>
      </c>
      <c r="I540" s="30"/>
    </row>
    <row r="541" spans="1:9">
      <c r="A541">
        <f t="shared" si="76"/>
        <v>540</v>
      </c>
      <c r="B541" s="30">
        <v>26604</v>
      </c>
      <c r="C541">
        <v>116.66999800000001</v>
      </c>
      <c r="I541" s="30"/>
    </row>
    <row r="542" spans="1:9">
      <c r="A542">
        <f t="shared" si="76"/>
        <v>541</v>
      </c>
      <c r="B542" s="30">
        <v>26634</v>
      </c>
      <c r="C542">
        <v>118.050003</v>
      </c>
      <c r="I542" s="30"/>
    </row>
    <row r="543" spans="1:9">
      <c r="A543">
        <f t="shared" si="76"/>
        <v>542</v>
      </c>
      <c r="B543" s="30">
        <v>26665</v>
      </c>
      <c r="C543">
        <v>116.029999</v>
      </c>
      <c r="I543" s="30"/>
    </row>
    <row r="544" spans="1:9">
      <c r="A544">
        <f t="shared" si="76"/>
        <v>543</v>
      </c>
      <c r="B544" s="30">
        <v>26696</v>
      </c>
      <c r="C544">
        <v>111.68</v>
      </c>
      <c r="I544" s="30"/>
    </row>
    <row r="545" spans="1:9">
      <c r="A545">
        <f t="shared" si="76"/>
        <v>544</v>
      </c>
      <c r="B545" s="30">
        <v>26724</v>
      </c>
      <c r="C545">
        <v>111.519997</v>
      </c>
      <c r="I545" s="30"/>
    </row>
    <row r="546" spans="1:9">
      <c r="A546">
        <f t="shared" si="76"/>
        <v>545</v>
      </c>
      <c r="B546" s="30">
        <v>26755</v>
      </c>
      <c r="C546">
        <v>106.970001</v>
      </c>
      <c r="I546" s="30"/>
    </row>
    <row r="547" spans="1:9">
      <c r="A547">
        <f t="shared" si="76"/>
        <v>546</v>
      </c>
      <c r="B547" s="30">
        <v>26785</v>
      </c>
      <c r="C547">
        <v>104.949997</v>
      </c>
      <c r="I547" s="30"/>
    </row>
    <row r="548" spans="1:9">
      <c r="A548">
        <f t="shared" si="76"/>
        <v>547</v>
      </c>
      <c r="B548" s="30">
        <v>26816</v>
      </c>
      <c r="C548">
        <v>104.260002</v>
      </c>
      <c r="I548" s="30"/>
    </row>
    <row r="549" spans="1:9">
      <c r="A549">
        <f t="shared" si="76"/>
        <v>548</v>
      </c>
      <c r="B549" s="30">
        <v>26846</v>
      </c>
      <c r="C549">
        <v>108.220001</v>
      </c>
      <c r="I549" s="30"/>
    </row>
    <row r="550" spans="1:9">
      <c r="A550">
        <f t="shared" si="76"/>
        <v>549</v>
      </c>
      <c r="B550" s="30">
        <v>26877</v>
      </c>
      <c r="C550">
        <v>104.25</v>
      </c>
      <c r="I550" s="30"/>
    </row>
    <row r="551" spans="1:9">
      <c r="A551">
        <f t="shared" si="76"/>
        <v>550</v>
      </c>
      <c r="B551" s="30">
        <v>26908</v>
      </c>
      <c r="C551">
        <v>108.43</v>
      </c>
      <c r="I551" s="30"/>
    </row>
    <row r="552" spans="1:9">
      <c r="A552">
        <f t="shared" si="76"/>
        <v>551</v>
      </c>
      <c r="B552" s="30">
        <v>26938</v>
      </c>
      <c r="C552">
        <v>108.290001</v>
      </c>
      <c r="I552" s="30"/>
    </row>
    <row r="553" spans="1:9">
      <c r="A553">
        <f t="shared" si="76"/>
        <v>552</v>
      </c>
      <c r="B553" s="30">
        <v>26969</v>
      </c>
      <c r="C553">
        <v>95.959998999999996</v>
      </c>
      <c r="I553" s="30"/>
    </row>
    <row r="554" spans="1:9">
      <c r="A554">
        <f t="shared" si="76"/>
        <v>553</v>
      </c>
      <c r="B554" s="30">
        <v>26999</v>
      </c>
      <c r="C554">
        <v>97.550003000000004</v>
      </c>
      <c r="I554" s="30"/>
    </row>
    <row r="555" spans="1:9">
      <c r="A555">
        <f t="shared" si="76"/>
        <v>554</v>
      </c>
      <c r="B555" s="30">
        <v>27030</v>
      </c>
      <c r="C555">
        <v>96.57</v>
      </c>
      <c r="I555" s="30"/>
    </row>
    <row r="556" spans="1:9">
      <c r="A556">
        <f t="shared" si="76"/>
        <v>555</v>
      </c>
      <c r="B556" s="30">
        <v>27061</v>
      </c>
      <c r="C556">
        <v>96.220000999999996</v>
      </c>
      <c r="I556" s="30"/>
    </row>
    <row r="557" spans="1:9">
      <c r="A557">
        <f t="shared" si="76"/>
        <v>556</v>
      </c>
      <c r="B557" s="30">
        <v>27089</v>
      </c>
      <c r="C557">
        <v>93.980002999999996</v>
      </c>
      <c r="I557" s="30"/>
    </row>
    <row r="558" spans="1:9">
      <c r="A558">
        <f t="shared" si="76"/>
        <v>557</v>
      </c>
      <c r="B558" s="30">
        <v>27120</v>
      </c>
      <c r="C558">
        <v>90.309997999999993</v>
      </c>
      <c r="I558" s="30"/>
    </row>
    <row r="559" spans="1:9">
      <c r="A559">
        <f t="shared" si="76"/>
        <v>558</v>
      </c>
      <c r="B559" s="30">
        <v>27150</v>
      </c>
      <c r="C559">
        <v>87.279999000000004</v>
      </c>
      <c r="I559" s="30"/>
    </row>
    <row r="560" spans="1:9">
      <c r="A560">
        <f t="shared" si="76"/>
        <v>559</v>
      </c>
      <c r="B560" s="30">
        <v>27181</v>
      </c>
      <c r="C560">
        <v>86</v>
      </c>
      <c r="I560" s="30"/>
    </row>
    <row r="561" spans="1:9">
      <c r="A561">
        <f t="shared" si="76"/>
        <v>560</v>
      </c>
      <c r="B561" s="30">
        <v>27211</v>
      </c>
      <c r="C561">
        <v>79.309997999999993</v>
      </c>
      <c r="I561" s="30"/>
    </row>
    <row r="562" spans="1:9">
      <c r="A562">
        <f t="shared" si="76"/>
        <v>561</v>
      </c>
      <c r="B562" s="30">
        <v>27242</v>
      </c>
      <c r="C562">
        <v>72.150002000000001</v>
      </c>
      <c r="I562" s="30"/>
    </row>
    <row r="563" spans="1:9">
      <c r="A563">
        <f t="shared" si="76"/>
        <v>562</v>
      </c>
      <c r="B563" s="30">
        <v>27273</v>
      </c>
      <c r="C563">
        <v>63.540000999999997</v>
      </c>
      <c r="I563" s="30"/>
    </row>
    <row r="564" spans="1:9">
      <c r="A564">
        <f t="shared" si="76"/>
        <v>563</v>
      </c>
      <c r="B564" s="30">
        <v>27303</v>
      </c>
      <c r="C564">
        <v>73.900002000000001</v>
      </c>
      <c r="I564" s="30"/>
    </row>
    <row r="565" spans="1:9">
      <c r="A565">
        <f t="shared" si="76"/>
        <v>564</v>
      </c>
      <c r="B565" s="30">
        <v>27334</v>
      </c>
      <c r="C565">
        <v>69.970000999999996</v>
      </c>
      <c r="I565" s="30"/>
    </row>
    <row r="566" spans="1:9">
      <c r="A566">
        <f t="shared" si="76"/>
        <v>565</v>
      </c>
      <c r="B566" s="30">
        <v>27364</v>
      </c>
      <c r="C566">
        <v>68.559997999999993</v>
      </c>
      <c r="I566" s="30"/>
    </row>
    <row r="567" spans="1:9">
      <c r="A567">
        <f t="shared" si="76"/>
        <v>566</v>
      </c>
      <c r="B567" s="30">
        <v>27395</v>
      </c>
      <c r="C567">
        <v>76.980002999999996</v>
      </c>
      <c r="I567" s="30"/>
    </row>
    <row r="568" spans="1:9">
      <c r="A568">
        <f t="shared" si="76"/>
        <v>567</v>
      </c>
      <c r="B568" s="30">
        <v>27426</v>
      </c>
      <c r="C568">
        <v>81.589995999999999</v>
      </c>
      <c r="I568" s="30"/>
    </row>
    <row r="569" spans="1:9">
      <c r="A569">
        <f t="shared" si="76"/>
        <v>568</v>
      </c>
      <c r="B569" s="30">
        <v>27454</v>
      </c>
      <c r="C569">
        <v>83.360000999999997</v>
      </c>
      <c r="I569" s="30"/>
    </row>
    <row r="570" spans="1:9">
      <c r="A570">
        <f t="shared" si="76"/>
        <v>569</v>
      </c>
      <c r="B570" s="30">
        <v>27485</v>
      </c>
      <c r="C570">
        <v>87.300003000000004</v>
      </c>
      <c r="I570" s="30"/>
    </row>
    <row r="571" spans="1:9">
      <c r="A571">
        <f t="shared" si="76"/>
        <v>570</v>
      </c>
      <c r="B571" s="30">
        <v>27515</v>
      </c>
      <c r="C571">
        <v>91.150002000000001</v>
      </c>
      <c r="I571" s="30"/>
    </row>
    <row r="572" spans="1:9">
      <c r="A572">
        <f t="shared" si="76"/>
        <v>571</v>
      </c>
      <c r="B572" s="30">
        <v>27546</v>
      </c>
      <c r="C572">
        <v>95.190002000000007</v>
      </c>
      <c r="I572" s="30"/>
    </row>
    <row r="573" spans="1:9">
      <c r="A573">
        <f t="shared" si="76"/>
        <v>572</v>
      </c>
      <c r="B573" s="30">
        <v>27576</v>
      </c>
      <c r="C573">
        <v>88.75</v>
      </c>
      <c r="I573" s="30"/>
    </row>
    <row r="574" spans="1:9">
      <c r="A574">
        <f t="shared" si="76"/>
        <v>573</v>
      </c>
      <c r="B574" s="30">
        <v>27607</v>
      </c>
      <c r="C574">
        <v>86.879997000000003</v>
      </c>
      <c r="I574" s="30"/>
    </row>
    <row r="575" spans="1:9">
      <c r="A575">
        <f t="shared" si="76"/>
        <v>574</v>
      </c>
      <c r="B575" s="30">
        <v>27638</v>
      </c>
      <c r="C575">
        <v>83.870002999999997</v>
      </c>
      <c r="I575" s="30"/>
    </row>
    <row r="576" spans="1:9">
      <c r="A576">
        <f t="shared" si="76"/>
        <v>575</v>
      </c>
      <c r="B576" s="30">
        <v>27668</v>
      </c>
      <c r="C576">
        <v>89.040001000000004</v>
      </c>
      <c r="I576" s="30"/>
    </row>
    <row r="577" spans="1:9">
      <c r="A577">
        <f t="shared" si="76"/>
        <v>576</v>
      </c>
      <c r="B577" s="30">
        <v>27699</v>
      </c>
      <c r="C577">
        <v>91.239998</v>
      </c>
      <c r="I577" s="30"/>
    </row>
    <row r="578" spans="1:9">
      <c r="A578">
        <f t="shared" si="76"/>
        <v>577</v>
      </c>
      <c r="B578" s="30">
        <v>27729</v>
      </c>
      <c r="C578">
        <v>90.190002000000007</v>
      </c>
      <c r="I578" s="30"/>
    </row>
    <row r="579" spans="1:9">
      <c r="A579">
        <f t="shared" si="76"/>
        <v>578</v>
      </c>
      <c r="B579" s="30">
        <v>27760</v>
      </c>
      <c r="C579">
        <v>100.860001</v>
      </c>
      <c r="I579" s="30"/>
    </row>
    <row r="580" spans="1:9">
      <c r="A580">
        <f t="shared" ref="A580:A643" si="77">A579+1</f>
        <v>579</v>
      </c>
      <c r="B580" s="30">
        <v>27791</v>
      </c>
      <c r="C580">
        <v>99.709998999999996</v>
      </c>
      <c r="I580" s="30"/>
    </row>
    <row r="581" spans="1:9">
      <c r="A581">
        <f t="shared" si="77"/>
        <v>580</v>
      </c>
      <c r="B581" s="30">
        <v>27820</v>
      </c>
      <c r="C581">
        <v>102.769997</v>
      </c>
      <c r="I581" s="30"/>
    </row>
    <row r="582" spans="1:9">
      <c r="A582">
        <f t="shared" si="77"/>
        <v>581</v>
      </c>
      <c r="B582" s="30">
        <v>27851</v>
      </c>
      <c r="C582">
        <v>101.639999</v>
      </c>
      <c r="I582" s="30"/>
    </row>
    <row r="583" spans="1:9">
      <c r="A583">
        <f t="shared" si="77"/>
        <v>582</v>
      </c>
      <c r="B583" s="30">
        <v>27881</v>
      </c>
      <c r="C583">
        <v>100.18</v>
      </c>
      <c r="I583" s="30"/>
    </row>
    <row r="584" spans="1:9">
      <c r="A584">
        <f t="shared" si="77"/>
        <v>583</v>
      </c>
      <c r="B584" s="30">
        <v>27912</v>
      </c>
      <c r="C584">
        <v>104.279999</v>
      </c>
      <c r="I584" s="30"/>
    </row>
    <row r="585" spans="1:9">
      <c r="A585">
        <f t="shared" si="77"/>
        <v>584</v>
      </c>
      <c r="B585" s="30">
        <v>27942</v>
      </c>
      <c r="C585">
        <v>103.44000200000001</v>
      </c>
      <c r="I585" s="30"/>
    </row>
    <row r="586" spans="1:9">
      <c r="A586">
        <f t="shared" si="77"/>
        <v>585</v>
      </c>
      <c r="B586" s="30">
        <v>27973</v>
      </c>
      <c r="C586">
        <v>102.910004</v>
      </c>
      <c r="I586" s="30"/>
    </row>
    <row r="587" spans="1:9">
      <c r="A587">
        <f t="shared" si="77"/>
        <v>586</v>
      </c>
      <c r="B587" s="30">
        <v>28004</v>
      </c>
      <c r="C587">
        <v>105.239998</v>
      </c>
      <c r="I587" s="30"/>
    </row>
    <row r="588" spans="1:9">
      <c r="A588">
        <f t="shared" si="77"/>
        <v>587</v>
      </c>
      <c r="B588" s="30">
        <v>28034</v>
      </c>
      <c r="C588">
        <v>102.900002</v>
      </c>
      <c r="I588" s="30"/>
    </row>
    <row r="589" spans="1:9">
      <c r="A589">
        <f t="shared" si="77"/>
        <v>588</v>
      </c>
      <c r="B589" s="30">
        <v>28065</v>
      </c>
      <c r="C589">
        <v>102.099998</v>
      </c>
      <c r="I589" s="30"/>
    </row>
    <row r="590" spans="1:9">
      <c r="A590">
        <f t="shared" si="77"/>
        <v>589</v>
      </c>
      <c r="B590" s="30">
        <v>28095</v>
      </c>
      <c r="C590">
        <v>107.459999</v>
      </c>
      <c r="I590" s="30"/>
    </row>
    <row r="591" spans="1:9">
      <c r="A591">
        <f t="shared" si="77"/>
        <v>590</v>
      </c>
      <c r="B591" s="30">
        <v>28126</v>
      </c>
      <c r="C591">
        <v>102.029999</v>
      </c>
      <c r="I591" s="30"/>
    </row>
    <row r="592" spans="1:9">
      <c r="A592">
        <f t="shared" si="77"/>
        <v>591</v>
      </c>
      <c r="B592" s="30">
        <v>28157</v>
      </c>
      <c r="C592">
        <v>99.82</v>
      </c>
      <c r="I592" s="30"/>
    </row>
    <row r="593" spans="1:9">
      <c r="A593">
        <f t="shared" si="77"/>
        <v>592</v>
      </c>
      <c r="B593" s="30">
        <v>28185</v>
      </c>
      <c r="C593">
        <v>98.419998000000007</v>
      </c>
      <c r="I593" s="30"/>
    </row>
    <row r="594" spans="1:9">
      <c r="A594">
        <f t="shared" si="77"/>
        <v>593</v>
      </c>
      <c r="B594" s="30">
        <v>28216</v>
      </c>
      <c r="C594">
        <v>98.440002000000007</v>
      </c>
      <c r="I594" s="30"/>
    </row>
    <row r="595" spans="1:9">
      <c r="A595">
        <f t="shared" si="77"/>
        <v>594</v>
      </c>
      <c r="B595" s="30">
        <v>28246</v>
      </c>
      <c r="C595">
        <v>96.120002999999997</v>
      </c>
      <c r="I595" s="30"/>
    </row>
    <row r="596" spans="1:9">
      <c r="A596">
        <f t="shared" si="77"/>
        <v>595</v>
      </c>
      <c r="B596" s="30">
        <v>28277</v>
      </c>
      <c r="C596">
        <v>100.480003</v>
      </c>
      <c r="I596" s="30"/>
    </row>
    <row r="597" spans="1:9">
      <c r="A597">
        <f t="shared" si="77"/>
        <v>596</v>
      </c>
      <c r="B597" s="30">
        <v>28307</v>
      </c>
      <c r="C597">
        <v>98.849997999999999</v>
      </c>
      <c r="I597" s="30"/>
    </row>
    <row r="598" spans="1:9">
      <c r="A598">
        <f t="shared" si="77"/>
        <v>597</v>
      </c>
      <c r="B598" s="30">
        <v>28338</v>
      </c>
      <c r="C598">
        <v>96.769997000000004</v>
      </c>
      <c r="I598" s="30"/>
    </row>
    <row r="599" spans="1:9">
      <c r="A599">
        <f t="shared" si="77"/>
        <v>598</v>
      </c>
      <c r="B599" s="30">
        <v>28369</v>
      </c>
      <c r="C599">
        <v>96.529999000000004</v>
      </c>
      <c r="I599" s="30"/>
    </row>
    <row r="600" spans="1:9">
      <c r="A600">
        <f t="shared" si="77"/>
        <v>599</v>
      </c>
      <c r="B600" s="30">
        <v>28399</v>
      </c>
      <c r="C600">
        <v>92.339995999999999</v>
      </c>
      <c r="I600" s="30"/>
    </row>
    <row r="601" spans="1:9">
      <c r="A601">
        <f t="shared" si="77"/>
        <v>600</v>
      </c>
      <c r="B601" s="30">
        <v>28430</v>
      </c>
      <c r="C601">
        <v>94.830001999999993</v>
      </c>
      <c r="I601" s="30"/>
    </row>
    <row r="602" spans="1:9">
      <c r="A602">
        <f t="shared" si="77"/>
        <v>601</v>
      </c>
      <c r="B602" s="30">
        <v>28460</v>
      </c>
      <c r="C602">
        <v>95.099997999999999</v>
      </c>
      <c r="I602" s="30"/>
    </row>
    <row r="603" spans="1:9">
      <c r="A603">
        <f t="shared" si="77"/>
        <v>602</v>
      </c>
      <c r="B603" s="30">
        <v>28491</v>
      </c>
      <c r="C603">
        <v>89.25</v>
      </c>
      <c r="I603" s="30"/>
    </row>
    <row r="604" spans="1:9">
      <c r="A604">
        <f t="shared" si="77"/>
        <v>603</v>
      </c>
      <c r="B604" s="30">
        <v>28522</v>
      </c>
      <c r="C604">
        <v>87.040001000000004</v>
      </c>
      <c r="I604" s="30"/>
    </row>
    <row r="605" spans="1:9">
      <c r="A605">
        <f t="shared" si="77"/>
        <v>604</v>
      </c>
      <c r="B605" s="30">
        <v>28550</v>
      </c>
      <c r="C605">
        <v>89.209998999999996</v>
      </c>
      <c r="I605" s="30"/>
    </row>
    <row r="606" spans="1:9">
      <c r="A606">
        <f t="shared" si="77"/>
        <v>605</v>
      </c>
      <c r="B606" s="30">
        <v>28581</v>
      </c>
      <c r="C606">
        <v>96.830001999999993</v>
      </c>
      <c r="I606" s="30"/>
    </row>
    <row r="607" spans="1:9">
      <c r="A607">
        <f t="shared" si="77"/>
        <v>606</v>
      </c>
      <c r="B607" s="30">
        <v>28611</v>
      </c>
      <c r="C607">
        <v>97.239998</v>
      </c>
      <c r="I607" s="30"/>
    </row>
    <row r="608" spans="1:9">
      <c r="A608">
        <f t="shared" si="77"/>
        <v>607</v>
      </c>
      <c r="B608" s="30">
        <v>28642</v>
      </c>
      <c r="C608">
        <v>95.529999000000004</v>
      </c>
      <c r="I608" s="30"/>
    </row>
    <row r="609" spans="1:9">
      <c r="A609">
        <f t="shared" si="77"/>
        <v>608</v>
      </c>
      <c r="B609" s="30">
        <v>28672</v>
      </c>
      <c r="C609">
        <v>100.68</v>
      </c>
      <c r="I609" s="30"/>
    </row>
    <row r="610" spans="1:9">
      <c r="A610">
        <f t="shared" si="77"/>
        <v>609</v>
      </c>
      <c r="B610" s="30">
        <v>28703</v>
      </c>
      <c r="C610">
        <v>103.290001</v>
      </c>
      <c r="I610" s="30"/>
    </row>
    <row r="611" spans="1:9">
      <c r="A611">
        <f t="shared" si="77"/>
        <v>610</v>
      </c>
      <c r="B611" s="30">
        <v>28734</v>
      </c>
      <c r="C611">
        <v>102.540001</v>
      </c>
      <c r="I611" s="30"/>
    </row>
    <row r="612" spans="1:9">
      <c r="A612">
        <f t="shared" si="77"/>
        <v>611</v>
      </c>
      <c r="B612" s="30">
        <v>28764</v>
      </c>
      <c r="C612">
        <v>93.150002000000001</v>
      </c>
      <c r="I612" s="30"/>
    </row>
    <row r="613" spans="1:9">
      <c r="A613">
        <f t="shared" si="77"/>
        <v>612</v>
      </c>
      <c r="B613" s="30">
        <v>28795</v>
      </c>
      <c r="C613">
        <v>94.699996999999996</v>
      </c>
      <c r="I613" s="30"/>
    </row>
    <row r="614" spans="1:9">
      <c r="A614">
        <f t="shared" si="77"/>
        <v>613</v>
      </c>
      <c r="B614" s="30">
        <v>28825</v>
      </c>
      <c r="C614">
        <v>96.110000999999997</v>
      </c>
      <c r="I614" s="30"/>
    </row>
    <row r="615" spans="1:9">
      <c r="A615">
        <f t="shared" si="77"/>
        <v>614</v>
      </c>
      <c r="B615" s="30">
        <v>28856</v>
      </c>
      <c r="C615">
        <v>99.93</v>
      </c>
      <c r="I615" s="30"/>
    </row>
    <row r="616" spans="1:9">
      <c r="A616">
        <f t="shared" si="77"/>
        <v>615</v>
      </c>
      <c r="B616" s="30">
        <v>28887</v>
      </c>
      <c r="C616">
        <v>96.279999000000004</v>
      </c>
      <c r="I616" s="30"/>
    </row>
    <row r="617" spans="1:9">
      <c r="A617">
        <f t="shared" si="77"/>
        <v>616</v>
      </c>
      <c r="B617" s="30">
        <v>28915</v>
      </c>
      <c r="C617">
        <v>101.589996</v>
      </c>
      <c r="I617" s="30"/>
    </row>
    <row r="618" spans="1:9">
      <c r="A618">
        <f t="shared" si="77"/>
        <v>617</v>
      </c>
      <c r="B618" s="30">
        <v>28946</v>
      </c>
      <c r="C618">
        <v>101.760002</v>
      </c>
      <c r="I618" s="30"/>
    </row>
    <row r="619" spans="1:9">
      <c r="A619">
        <f t="shared" si="77"/>
        <v>618</v>
      </c>
      <c r="B619" s="30">
        <v>28976</v>
      </c>
      <c r="C619">
        <v>99.080001999999993</v>
      </c>
      <c r="I619" s="30"/>
    </row>
    <row r="620" spans="1:9">
      <c r="A620">
        <f t="shared" si="77"/>
        <v>619</v>
      </c>
      <c r="B620" s="30">
        <v>29007</v>
      </c>
      <c r="C620">
        <v>102.910004</v>
      </c>
      <c r="I620" s="30"/>
    </row>
    <row r="621" spans="1:9">
      <c r="A621">
        <f t="shared" si="77"/>
        <v>620</v>
      </c>
      <c r="B621" s="30">
        <v>29037</v>
      </c>
      <c r="C621">
        <v>103.80999799999999</v>
      </c>
      <c r="I621" s="30"/>
    </row>
    <row r="622" spans="1:9">
      <c r="A622">
        <f t="shared" si="77"/>
        <v>621</v>
      </c>
      <c r="B622" s="30">
        <v>29068</v>
      </c>
      <c r="C622">
        <v>109.32</v>
      </c>
      <c r="I622" s="30"/>
    </row>
    <row r="623" spans="1:9">
      <c r="A623">
        <f t="shared" si="77"/>
        <v>622</v>
      </c>
      <c r="B623" s="30">
        <v>29099</v>
      </c>
      <c r="C623">
        <v>109.32</v>
      </c>
      <c r="I623" s="30"/>
    </row>
    <row r="624" spans="1:9">
      <c r="A624">
        <f t="shared" si="77"/>
        <v>623</v>
      </c>
      <c r="B624" s="30">
        <v>29129</v>
      </c>
      <c r="C624">
        <v>101.82</v>
      </c>
      <c r="I624" s="30"/>
    </row>
    <row r="625" spans="1:9">
      <c r="A625">
        <f t="shared" si="77"/>
        <v>624</v>
      </c>
      <c r="B625" s="30">
        <v>29160</v>
      </c>
      <c r="C625">
        <v>106.160004</v>
      </c>
      <c r="I625" s="30"/>
    </row>
    <row r="626" spans="1:9">
      <c r="A626">
        <f t="shared" si="77"/>
        <v>625</v>
      </c>
      <c r="B626" s="30">
        <v>29190</v>
      </c>
      <c r="C626">
        <v>107.94000200000001</v>
      </c>
      <c r="I626" s="30"/>
    </row>
    <row r="627" spans="1:9">
      <c r="A627">
        <f t="shared" si="77"/>
        <v>626</v>
      </c>
      <c r="B627" s="30">
        <v>29221</v>
      </c>
      <c r="C627">
        <v>114.160004</v>
      </c>
      <c r="I627" s="30"/>
    </row>
    <row r="628" spans="1:9">
      <c r="A628">
        <f t="shared" si="77"/>
        <v>627</v>
      </c>
      <c r="B628" s="30">
        <v>29252</v>
      </c>
      <c r="C628">
        <v>113.660004</v>
      </c>
      <c r="I628" s="30"/>
    </row>
    <row r="629" spans="1:9">
      <c r="A629">
        <f t="shared" si="77"/>
        <v>628</v>
      </c>
      <c r="B629" s="30">
        <v>29281</v>
      </c>
      <c r="C629">
        <v>102.089996</v>
      </c>
      <c r="I629" s="30"/>
    </row>
    <row r="630" spans="1:9">
      <c r="A630">
        <f t="shared" si="77"/>
        <v>629</v>
      </c>
      <c r="B630" s="30">
        <v>29312</v>
      </c>
      <c r="C630">
        <v>106.290001</v>
      </c>
      <c r="I630" s="30"/>
    </row>
    <row r="631" spans="1:9">
      <c r="A631">
        <f t="shared" si="77"/>
        <v>630</v>
      </c>
      <c r="B631" s="30">
        <v>29342</v>
      </c>
      <c r="C631">
        <v>111.239998</v>
      </c>
      <c r="I631" s="30"/>
    </row>
    <row r="632" spans="1:9">
      <c r="A632">
        <f t="shared" si="77"/>
        <v>631</v>
      </c>
      <c r="B632" s="30">
        <v>29373</v>
      </c>
      <c r="C632">
        <v>114.239998</v>
      </c>
      <c r="I632" s="30"/>
    </row>
    <row r="633" spans="1:9">
      <c r="A633">
        <f t="shared" si="77"/>
        <v>632</v>
      </c>
      <c r="B633" s="30">
        <v>29403</v>
      </c>
      <c r="C633">
        <v>121.66999800000001</v>
      </c>
      <c r="I633" s="30"/>
    </row>
    <row r="634" spans="1:9">
      <c r="A634">
        <f t="shared" si="77"/>
        <v>633</v>
      </c>
      <c r="B634" s="30">
        <v>29434</v>
      </c>
      <c r="C634">
        <v>122.379997</v>
      </c>
      <c r="I634" s="30"/>
    </row>
    <row r="635" spans="1:9">
      <c r="A635">
        <f t="shared" si="77"/>
        <v>634</v>
      </c>
      <c r="B635" s="30">
        <v>29465</v>
      </c>
      <c r="C635">
        <v>125.459999</v>
      </c>
      <c r="I635" s="30"/>
    </row>
    <row r="636" spans="1:9">
      <c r="A636">
        <f t="shared" si="77"/>
        <v>635</v>
      </c>
      <c r="B636" s="30">
        <v>29495</v>
      </c>
      <c r="C636">
        <v>127.470001</v>
      </c>
      <c r="I636" s="30"/>
    </row>
    <row r="637" spans="1:9">
      <c r="A637">
        <f t="shared" si="77"/>
        <v>636</v>
      </c>
      <c r="B637" s="30">
        <v>29526</v>
      </c>
      <c r="C637">
        <v>140.520004</v>
      </c>
      <c r="I637" s="30"/>
    </row>
    <row r="638" spans="1:9">
      <c r="A638">
        <f t="shared" si="77"/>
        <v>637</v>
      </c>
      <c r="B638" s="30">
        <v>29556</v>
      </c>
      <c r="C638">
        <v>135.759995</v>
      </c>
      <c r="I638" s="30"/>
    </row>
    <row r="639" spans="1:9">
      <c r="A639">
        <f t="shared" si="77"/>
        <v>638</v>
      </c>
      <c r="B639" s="30">
        <v>29587</v>
      </c>
      <c r="C639">
        <v>129.550003</v>
      </c>
      <c r="I639" s="30"/>
    </row>
    <row r="640" spans="1:9">
      <c r="A640">
        <f t="shared" si="77"/>
        <v>639</v>
      </c>
      <c r="B640" s="30">
        <v>29618</v>
      </c>
      <c r="C640">
        <v>131.270004</v>
      </c>
      <c r="I640" s="30"/>
    </row>
    <row r="641" spans="1:9">
      <c r="A641">
        <f t="shared" si="77"/>
        <v>640</v>
      </c>
      <c r="B641" s="30">
        <v>29646</v>
      </c>
      <c r="C641">
        <v>136</v>
      </c>
      <c r="I641" s="30"/>
    </row>
    <row r="642" spans="1:9">
      <c r="A642">
        <f t="shared" si="77"/>
        <v>641</v>
      </c>
      <c r="B642" s="30">
        <v>29677</v>
      </c>
      <c r="C642">
        <v>132.80999800000001</v>
      </c>
      <c r="I642" s="30"/>
    </row>
    <row r="643" spans="1:9">
      <c r="A643">
        <f t="shared" si="77"/>
        <v>642</v>
      </c>
      <c r="B643" s="30">
        <v>29707</v>
      </c>
      <c r="C643">
        <v>132.58999600000001</v>
      </c>
      <c r="I643" s="30"/>
    </row>
    <row r="644" spans="1:9">
      <c r="A644">
        <f t="shared" ref="A644:A707" si="78">A643+1</f>
        <v>643</v>
      </c>
      <c r="B644" s="30">
        <v>29738</v>
      </c>
      <c r="C644">
        <v>131.21000699999999</v>
      </c>
      <c r="I644" s="30"/>
    </row>
    <row r="645" spans="1:9">
      <c r="A645">
        <f t="shared" si="78"/>
        <v>644</v>
      </c>
      <c r="B645" s="30">
        <v>29768</v>
      </c>
      <c r="C645">
        <v>130.91999799999999</v>
      </c>
      <c r="I645" s="30"/>
    </row>
    <row r="646" spans="1:9">
      <c r="A646">
        <f t="shared" si="78"/>
        <v>645</v>
      </c>
      <c r="B646" s="30">
        <v>29799</v>
      </c>
      <c r="C646">
        <v>122.790001</v>
      </c>
      <c r="I646" s="30"/>
    </row>
    <row r="647" spans="1:9">
      <c r="A647">
        <f t="shared" si="78"/>
        <v>646</v>
      </c>
      <c r="B647" s="30">
        <v>29830</v>
      </c>
      <c r="C647">
        <v>116.18</v>
      </c>
      <c r="I647" s="30"/>
    </row>
    <row r="648" spans="1:9">
      <c r="A648">
        <f t="shared" si="78"/>
        <v>647</v>
      </c>
      <c r="B648" s="30">
        <v>29860</v>
      </c>
      <c r="C648">
        <v>121.889999</v>
      </c>
      <c r="I648" s="30"/>
    </row>
    <row r="649" spans="1:9">
      <c r="A649">
        <f t="shared" si="78"/>
        <v>648</v>
      </c>
      <c r="B649" s="30">
        <v>29891</v>
      </c>
      <c r="C649">
        <v>126.349998</v>
      </c>
      <c r="I649" s="30"/>
    </row>
    <row r="650" spans="1:9">
      <c r="A650">
        <f t="shared" si="78"/>
        <v>649</v>
      </c>
      <c r="B650" s="30">
        <v>29921</v>
      </c>
      <c r="C650">
        <v>122.550003</v>
      </c>
      <c r="I650" s="30"/>
    </row>
    <row r="651" spans="1:9">
      <c r="A651">
        <f t="shared" si="78"/>
        <v>650</v>
      </c>
      <c r="B651" s="30">
        <v>29952</v>
      </c>
      <c r="C651">
        <v>120.400002</v>
      </c>
      <c r="I651" s="30"/>
    </row>
    <row r="652" spans="1:9">
      <c r="A652">
        <f t="shared" si="78"/>
        <v>651</v>
      </c>
      <c r="B652" s="30">
        <v>29983</v>
      </c>
      <c r="C652">
        <v>113.110001</v>
      </c>
      <c r="I652" s="30"/>
    </row>
    <row r="653" spans="1:9">
      <c r="A653">
        <f t="shared" si="78"/>
        <v>652</v>
      </c>
      <c r="B653" s="30">
        <v>30011</v>
      </c>
      <c r="C653">
        <v>111.959999</v>
      </c>
      <c r="I653" s="30"/>
    </row>
    <row r="654" spans="1:9">
      <c r="A654">
        <f t="shared" si="78"/>
        <v>653</v>
      </c>
      <c r="B654" s="30">
        <v>30042</v>
      </c>
      <c r="C654">
        <v>116.44000200000001</v>
      </c>
      <c r="I654" s="30"/>
    </row>
    <row r="655" spans="1:9">
      <c r="A655">
        <f t="shared" si="78"/>
        <v>654</v>
      </c>
      <c r="B655" s="30">
        <v>30072</v>
      </c>
      <c r="C655">
        <v>111.879997</v>
      </c>
      <c r="I655" s="30"/>
    </row>
    <row r="656" spans="1:9">
      <c r="A656">
        <f t="shared" si="78"/>
        <v>655</v>
      </c>
      <c r="B656" s="30">
        <v>30103</v>
      </c>
      <c r="C656">
        <v>109.610001</v>
      </c>
      <c r="I656" s="30"/>
    </row>
    <row r="657" spans="1:9">
      <c r="A657">
        <f t="shared" si="78"/>
        <v>656</v>
      </c>
      <c r="B657" s="30">
        <v>30133</v>
      </c>
      <c r="C657">
        <v>107.089996</v>
      </c>
      <c r="I657" s="30"/>
    </row>
    <row r="658" spans="1:9">
      <c r="A658">
        <f t="shared" si="78"/>
        <v>657</v>
      </c>
      <c r="B658" s="30">
        <v>30164</v>
      </c>
      <c r="C658">
        <v>119.510002</v>
      </c>
      <c r="I658" s="30"/>
    </row>
    <row r="659" spans="1:9">
      <c r="A659">
        <f t="shared" si="78"/>
        <v>658</v>
      </c>
      <c r="B659" s="30">
        <v>30195</v>
      </c>
      <c r="C659">
        <v>120.41999800000001</v>
      </c>
      <c r="I659" s="30"/>
    </row>
    <row r="660" spans="1:9">
      <c r="A660">
        <f t="shared" si="78"/>
        <v>659</v>
      </c>
      <c r="B660" s="30">
        <v>30225</v>
      </c>
      <c r="C660">
        <v>133.720001</v>
      </c>
      <c r="I660" s="30"/>
    </row>
    <row r="661" spans="1:9">
      <c r="A661">
        <f t="shared" si="78"/>
        <v>660</v>
      </c>
      <c r="B661" s="30">
        <v>30256</v>
      </c>
      <c r="C661">
        <v>138.529999</v>
      </c>
      <c r="I661" s="30"/>
    </row>
    <row r="662" spans="1:9">
      <c r="A662">
        <f t="shared" si="78"/>
        <v>661</v>
      </c>
      <c r="B662" s="30">
        <v>30286</v>
      </c>
      <c r="C662">
        <v>140.63999899999999</v>
      </c>
      <c r="I662" s="30"/>
    </row>
    <row r="663" spans="1:9">
      <c r="A663">
        <f t="shared" si="78"/>
        <v>662</v>
      </c>
      <c r="B663" s="30">
        <v>30317</v>
      </c>
      <c r="C663">
        <v>145.300003</v>
      </c>
      <c r="I663" s="30"/>
    </row>
    <row r="664" spans="1:9">
      <c r="A664">
        <f t="shared" si="78"/>
        <v>663</v>
      </c>
      <c r="B664" s="30">
        <v>30348</v>
      </c>
      <c r="C664">
        <v>148.05999800000001</v>
      </c>
      <c r="I664" s="30"/>
    </row>
    <row r="665" spans="1:9">
      <c r="A665">
        <f t="shared" si="78"/>
        <v>664</v>
      </c>
      <c r="B665" s="30">
        <v>30376</v>
      </c>
      <c r="C665">
        <v>152.96000699999999</v>
      </c>
      <c r="I665" s="30"/>
    </row>
    <row r="666" spans="1:9">
      <c r="A666">
        <f t="shared" si="78"/>
        <v>665</v>
      </c>
      <c r="B666" s="30">
        <v>30407</v>
      </c>
      <c r="C666">
        <v>164.429993</v>
      </c>
      <c r="I666" s="30"/>
    </row>
    <row r="667" spans="1:9">
      <c r="A667">
        <f t="shared" si="78"/>
        <v>666</v>
      </c>
      <c r="B667" s="30">
        <v>30437</v>
      </c>
      <c r="C667">
        <v>162.38999899999999</v>
      </c>
      <c r="I667" s="30"/>
    </row>
    <row r="668" spans="1:9">
      <c r="A668">
        <f t="shared" si="78"/>
        <v>667</v>
      </c>
      <c r="B668" s="30">
        <v>30468</v>
      </c>
      <c r="C668">
        <v>167.63999899999999</v>
      </c>
      <c r="I668" s="30"/>
    </row>
    <row r="669" spans="1:9">
      <c r="A669">
        <f t="shared" si="78"/>
        <v>668</v>
      </c>
      <c r="B669" s="30">
        <v>30498</v>
      </c>
      <c r="C669">
        <v>162.55999800000001</v>
      </c>
      <c r="I669" s="30"/>
    </row>
    <row r="670" spans="1:9">
      <c r="A670">
        <f t="shared" si="78"/>
        <v>669</v>
      </c>
      <c r="B670" s="30">
        <v>30529</v>
      </c>
      <c r="C670">
        <v>164.39999399999999</v>
      </c>
      <c r="I670" s="30"/>
    </row>
    <row r="671" spans="1:9">
      <c r="A671">
        <f t="shared" si="78"/>
        <v>670</v>
      </c>
      <c r="B671" s="30">
        <v>30560</v>
      </c>
      <c r="C671">
        <v>166.070007</v>
      </c>
      <c r="I671" s="30"/>
    </row>
    <row r="672" spans="1:9">
      <c r="A672">
        <f t="shared" si="78"/>
        <v>671</v>
      </c>
      <c r="B672" s="30">
        <v>30590</v>
      </c>
      <c r="C672">
        <v>163.550003</v>
      </c>
      <c r="I672" s="30"/>
    </row>
    <row r="673" spans="1:9">
      <c r="A673">
        <f t="shared" si="78"/>
        <v>672</v>
      </c>
      <c r="B673" s="30">
        <v>30621</v>
      </c>
      <c r="C673">
        <v>166.39999399999999</v>
      </c>
      <c r="I673" s="30"/>
    </row>
    <row r="674" spans="1:9">
      <c r="A674">
        <f t="shared" si="78"/>
        <v>673</v>
      </c>
      <c r="B674" s="30">
        <v>30651</v>
      </c>
      <c r="C674">
        <v>164.929993</v>
      </c>
      <c r="I674" s="30"/>
    </row>
    <row r="675" spans="1:9">
      <c r="A675">
        <f t="shared" si="78"/>
        <v>674</v>
      </c>
      <c r="B675" s="30">
        <v>30682</v>
      </c>
      <c r="C675">
        <v>163.41000399999999</v>
      </c>
      <c r="I675" s="30"/>
    </row>
    <row r="676" spans="1:9">
      <c r="A676">
        <f t="shared" si="78"/>
        <v>675</v>
      </c>
      <c r="B676" s="30">
        <v>30713</v>
      </c>
      <c r="C676">
        <v>157.05999800000001</v>
      </c>
      <c r="I676" s="30"/>
    </row>
    <row r="677" spans="1:9">
      <c r="A677">
        <f t="shared" si="78"/>
        <v>676</v>
      </c>
      <c r="B677" s="30">
        <v>30742</v>
      </c>
      <c r="C677">
        <v>159.179993</v>
      </c>
      <c r="I677" s="30"/>
    </row>
    <row r="678" spans="1:9">
      <c r="A678">
        <f t="shared" si="78"/>
        <v>677</v>
      </c>
      <c r="B678" s="30">
        <v>30773</v>
      </c>
      <c r="C678">
        <v>160.050003</v>
      </c>
      <c r="I678" s="30"/>
    </row>
    <row r="679" spans="1:9">
      <c r="A679">
        <f t="shared" si="78"/>
        <v>678</v>
      </c>
      <c r="B679" s="30">
        <v>30803</v>
      </c>
      <c r="C679">
        <v>150.550003</v>
      </c>
      <c r="I679" s="30"/>
    </row>
    <row r="680" spans="1:9">
      <c r="A680">
        <f t="shared" si="78"/>
        <v>679</v>
      </c>
      <c r="B680" s="30">
        <v>30834</v>
      </c>
      <c r="C680">
        <v>153.179993</v>
      </c>
      <c r="I680" s="30"/>
    </row>
    <row r="681" spans="1:9">
      <c r="A681">
        <f t="shared" si="78"/>
        <v>680</v>
      </c>
      <c r="B681" s="30">
        <v>30864</v>
      </c>
      <c r="C681">
        <v>150.66000399999999</v>
      </c>
      <c r="I681" s="30"/>
    </row>
    <row r="682" spans="1:9">
      <c r="A682">
        <f t="shared" si="78"/>
        <v>681</v>
      </c>
      <c r="B682" s="30">
        <v>30895</v>
      </c>
      <c r="C682">
        <v>166.679993</v>
      </c>
      <c r="I682" s="30"/>
    </row>
    <row r="683" spans="1:9">
      <c r="A683">
        <f t="shared" si="78"/>
        <v>682</v>
      </c>
      <c r="B683" s="30">
        <v>30926</v>
      </c>
      <c r="C683">
        <v>166.10000600000001</v>
      </c>
      <c r="I683" s="30"/>
    </row>
    <row r="684" spans="1:9">
      <c r="A684">
        <f t="shared" si="78"/>
        <v>683</v>
      </c>
      <c r="B684" s="30">
        <v>30956</v>
      </c>
      <c r="C684">
        <v>166.08999600000001</v>
      </c>
      <c r="I684" s="30"/>
    </row>
    <row r="685" spans="1:9">
      <c r="A685">
        <f t="shared" si="78"/>
        <v>684</v>
      </c>
      <c r="B685" s="30">
        <v>30987</v>
      </c>
      <c r="C685">
        <v>163.58000200000001</v>
      </c>
      <c r="I685" s="30"/>
    </row>
    <row r="686" spans="1:9">
      <c r="A686">
        <f t="shared" si="78"/>
        <v>685</v>
      </c>
      <c r="B686" s="30">
        <v>31017</v>
      </c>
      <c r="C686">
        <v>167.240005</v>
      </c>
      <c r="I686" s="30"/>
    </row>
    <row r="687" spans="1:9">
      <c r="A687">
        <f t="shared" si="78"/>
        <v>686</v>
      </c>
      <c r="B687" s="30">
        <v>31048</v>
      </c>
      <c r="C687">
        <v>179.63000500000001</v>
      </c>
      <c r="I687" s="30"/>
    </row>
    <row r="688" spans="1:9">
      <c r="A688">
        <f t="shared" si="78"/>
        <v>687</v>
      </c>
      <c r="B688" s="30">
        <v>31079</v>
      </c>
      <c r="C688">
        <v>181.179993</v>
      </c>
      <c r="I688" s="30"/>
    </row>
    <row r="689" spans="1:9">
      <c r="A689">
        <f t="shared" si="78"/>
        <v>688</v>
      </c>
      <c r="B689" s="30">
        <v>31107</v>
      </c>
      <c r="C689">
        <v>180.66000399999999</v>
      </c>
      <c r="I689" s="30"/>
    </row>
    <row r="690" spans="1:9">
      <c r="A690">
        <f t="shared" si="78"/>
        <v>689</v>
      </c>
      <c r="B690" s="30">
        <v>31138</v>
      </c>
      <c r="C690">
        <v>179.83000200000001</v>
      </c>
      <c r="I690" s="30"/>
    </row>
    <row r="691" spans="1:9">
      <c r="A691">
        <f t="shared" si="78"/>
        <v>690</v>
      </c>
      <c r="B691" s="30">
        <v>31168</v>
      </c>
      <c r="C691">
        <v>189.550003</v>
      </c>
      <c r="I691" s="30"/>
    </row>
    <row r="692" spans="1:9">
      <c r="A692">
        <f t="shared" si="78"/>
        <v>691</v>
      </c>
      <c r="B692" s="30">
        <v>31199</v>
      </c>
      <c r="C692">
        <v>191.85000600000001</v>
      </c>
      <c r="I692" s="30"/>
    </row>
    <row r="693" spans="1:9">
      <c r="A693">
        <f t="shared" si="78"/>
        <v>692</v>
      </c>
      <c r="B693" s="30">
        <v>31229</v>
      </c>
      <c r="C693">
        <v>190.91999799999999</v>
      </c>
      <c r="I693" s="30"/>
    </row>
    <row r="694" spans="1:9">
      <c r="A694">
        <f t="shared" si="78"/>
        <v>693</v>
      </c>
      <c r="B694" s="30">
        <v>31260</v>
      </c>
      <c r="C694">
        <v>188.63000500000001</v>
      </c>
      <c r="I694" s="30"/>
    </row>
    <row r="695" spans="1:9">
      <c r="A695">
        <f t="shared" si="78"/>
        <v>694</v>
      </c>
      <c r="B695" s="30">
        <v>31291</v>
      </c>
      <c r="C695">
        <v>182.08000200000001</v>
      </c>
      <c r="I695" s="30"/>
    </row>
    <row r="696" spans="1:9">
      <c r="A696">
        <f t="shared" si="78"/>
        <v>695</v>
      </c>
      <c r="B696" s="30">
        <v>31321</v>
      </c>
      <c r="C696">
        <v>189.820007</v>
      </c>
      <c r="I696" s="30"/>
    </row>
    <row r="697" spans="1:9">
      <c r="A697">
        <f t="shared" si="78"/>
        <v>696</v>
      </c>
      <c r="B697" s="30">
        <v>31352</v>
      </c>
      <c r="C697">
        <v>202.16999799999999</v>
      </c>
      <c r="I697" s="30"/>
    </row>
    <row r="698" spans="1:9">
      <c r="A698">
        <f t="shared" si="78"/>
        <v>697</v>
      </c>
      <c r="B698" s="30">
        <v>31382</v>
      </c>
      <c r="C698">
        <v>211.279999</v>
      </c>
      <c r="I698" s="30"/>
    </row>
    <row r="699" spans="1:9">
      <c r="A699">
        <f t="shared" si="78"/>
        <v>698</v>
      </c>
      <c r="B699" s="30">
        <v>31413</v>
      </c>
      <c r="C699">
        <v>211.779999</v>
      </c>
      <c r="I699" s="30"/>
    </row>
    <row r="700" spans="1:9">
      <c r="A700">
        <f t="shared" si="78"/>
        <v>699</v>
      </c>
      <c r="B700" s="30">
        <v>31444</v>
      </c>
      <c r="C700">
        <v>226.91999799999999</v>
      </c>
      <c r="I700" s="30"/>
    </row>
    <row r="701" spans="1:9">
      <c r="A701">
        <f t="shared" si="78"/>
        <v>700</v>
      </c>
      <c r="B701" s="30">
        <v>31472</v>
      </c>
      <c r="C701">
        <v>238.89999399999999</v>
      </c>
      <c r="I701" s="30"/>
    </row>
    <row r="702" spans="1:9">
      <c r="A702">
        <f t="shared" si="78"/>
        <v>701</v>
      </c>
      <c r="B702" s="30">
        <v>31503</v>
      </c>
      <c r="C702">
        <v>235.520004</v>
      </c>
      <c r="I702" s="30"/>
    </row>
    <row r="703" spans="1:9">
      <c r="A703">
        <f t="shared" si="78"/>
        <v>702</v>
      </c>
      <c r="B703" s="30">
        <v>31533</v>
      </c>
      <c r="C703">
        <v>247.35000600000001</v>
      </c>
      <c r="I703" s="30"/>
    </row>
    <row r="704" spans="1:9">
      <c r="A704">
        <f t="shared" si="78"/>
        <v>703</v>
      </c>
      <c r="B704" s="30">
        <v>31564</v>
      </c>
      <c r="C704">
        <v>250.83999600000001</v>
      </c>
      <c r="I704" s="30"/>
    </row>
    <row r="705" spans="1:9">
      <c r="A705">
        <f t="shared" si="78"/>
        <v>704</v>
      </c>
      <c r="B705" s="30">
        <v>31594</v>
      </c>
      <c r="C705">
        <v>236.11999499999999</v>
      </c>
      <c r="I705" s="30"/>
    </row>
    <row r="706" spans="1:9">
      <c r="A706">
        <f t="shared" si="78"/>
        <v>705</v>
      </c>
      <c r="B706" s="30">
        <v>31625</v>
      </c>
      <c r="C706">
        <v>252.929993</v>
      </c>
      <c r="I706" s="30"/>
    </row>
    <row r="707" spans="1:9">
      <c r="A707">
        <f t="shared" si="78"/>
        <v>706</v>
      </c>
      <c r="B707" s="30">
        <v>31656</v>
      </c>
      <c r="C707">
        <v>231.320007</v>
      </c>
      <c r="I707" s="30"/>
    </row>
    <row r="708" spans="1:9">
      <c r="A708">
        <f t="shared" ref="A708:A771" si="79">A707+1</f>
        <v>707</v>
      </c>
      <c r="B708" s="30">
        <v>31686</v>
      </c>
      <c r="C708">
        <v>243.979996</v>
      </c>
      <c r="I708" s="30"/>
    </row>
    <row r="709" spans="1:9">
      <c r="A709">
        <f t="shared" si="79"/>
        <v>708</v>
      </c>
      <c r="B709" s="30">
        <v>31717</v>
      </c>
      <c r="C709">
        <v>249.220001</v>
      </c>
      <c r="I709" s="30"/>
    </row>
    <row r="710" spans="1:9">
      <c r="A710">
        <f t="shared" si="79"/>
        <v>709</v>
      </c>
      <c r="B710" s="30">
        <v>31747</v>
      </c>
      <c r="C710">
        <v>242.16999799999999</v>
      </c>
      <c r="I710" s="30"/>
    </row>
    <row r="711" spans="1:9">
      <c r="A711">
        <f t="shared" si="79"/>
        <v>710</v>
      </c>
      <c r="B711" s="30">
        <v>31778</v>
      </c>
      <c r="C711">
        <v>274.07998700000002</v>
      </c>
      <c r="I711" s="30"/>
    </row>
    <row r="712" spans="1:9">
      <c r="A712">
        <f t="shared" si="79"/>
        <v>711</v>
      </c>
      <c r="B712" s="30">
        <v>31809</v>
      </c>
      <c r="C712">
        <v>284.20001200000002</v>
      </c>
      <c r="I712" s="30"/>
    </row>
    <row r="713" spans="1:9">
      <c r="A713">
        <f t="shared" si="79"/>
        <v>712</v>
      </c>
      <c r="B713" s="30">
        <v>31837</v>
      </c>
      <c r="C713">
        <v>291.70001200000002</v>
      </c>
      <c r="I713" s="30"/>
    </row>
    <row r="714" spans="1:9">
      <c r="A714">
        <f t="shared" si="79"/>
        <v>713</v>
      </c>
      <c r="B714" s="30">
        <v>31868</v>
      </c>
      <c r="C714">
        <v>288.35998499999999</v>
      </c>
      <c r="I714" s="30"/>
    </row>
    <row r="715" spans="1:9">
      <c r="A715">
        <f t="shared" si="79"/>
        <v>714</v>
      </c>
      <c r="B715" s="30">
        <v>31898</v>
      </c>
      <c r="C715">
        <v>290.10000600000001</v>
      </c>
      <c r="I715" s="30"/>
    </row>
    <row r="716" spans="1:9">
      <c r="A716">
        <f t="shared" si="79"/>
        <v>715</v>
      </c>
      <c r="B716" s="30">
        <v>31929</v>
      </c>
      <c r="C716">
        <v>304</v>
      </c>
      <c r="I716" s="30"/>
    </row>
    <row r="717" spans="1:9">
      <c r="A717">
        <f t="shared" si="79"/>
        <v>716</v>
      </c>
      <c r="B717" s="30">
        <v>31959</v>
      </c>
      <c r="C717">
        <v>318.66000400000001</v>
      </c>
      <c r="I717" s="30"/>
    </row>
    <row r="718" spans="1:9">
      <c r="A718">
        <f t="shared" si="79"/>
        <v>717</v>
      </c>
      <c r="B718" s="30">
        <v>31990</v>
      </c>
      <c r="C718">
        <v>329.79998799999998</v>
      </c>
      <c r="I718" s="30"/>
    </row>
    <row r="719" spans="1:9">
      <c r="A719">
        <f t="shared" si="79"/>
        <v>718</v>
      </c>
      <c r="B719" s="30">
        <v>32021</v>
      </c>
      <c r="C719">
        <v>321.82998700000002</v>
      </c>
      <c r="I719" s="30"/>
    </row>
    <row r="720" spans="1:9">
      <c r="A720">
        <f t="shared" si="79"/>
        <v>719</v>
      </c>
      <c r="B720" s="30">
        <v>32051</v>
      </c>
      <c r="C720">
        <v>251.78999300000001</v>
      </c>
      <c r="I720" s="30"/>
    </row>
    <row r="721" spans="1:9">
      <c r="A721">
        <f t="shared" si="79"/>
        <v>720</v>
      </c>
      <c r="B721" s="30">
        <v>32082</v>
      </c>
      <c r="C721">
        <v>230.300003</v>
      </c>
      <c r="I721" s="30"/>
    </row>
    <row r="722" spans="1:9">
      <c r="A722">
        <f t="shared" si="79"/>
        <v>721</v>
      </c>
      <c r="B722" s="30">
        <v>32112</v>
      </c>
      <c r="C722">
        <v>247.08000200000001</v>
      </c>
      <c r="I722" s="30"/>
    </row>
    <row r="723" spans="1:9">
      <c r="A723">
        <f t="shared" si="79"/>
        <v>722</v>
      </c>
      <c r="B723" s="30">
        <v>32143</v>
      </c>
      <c r="C723">
        <v>257.07000699999998</v>
      </c>
      <c r="I723" s="30"/>
    </row>
    <row r="724" spans="1:9">
      <c r="A724">
        <f t="shared" si="79"/>
        <v>723</v>
      </c>
      <c r="B724" s="30">
        <v>32174</v>
      </c>
      <c r="C724">
        <v>267.82000699999998</v>
      </c>
      <c r="I724" s="30"/>
    </row>
    <row r="725" spans="1:9">
      <c r="A725">
        <f t="shared" si="79"/>
        <v>724</v>
      </c>
      <c r="B725" s="30">
        <v>32203</v>
      </c>
      <c r="C725">
        <v>258.89001500000001</v>
      </c>
      <c r="I725" s="30"/>
    </row>
    <row r="726" spans="1:9">
      <c r="A726">
        <f t="shared" si="79"/>
        <v>725</v>
      </c>
      <c r="B726" s="30">
        <v>32234</v>
      </c>
      <c r="C726">
        <v>261.32998700000002</v>
      </c>
      <c r="I726" s="30"/>
    </row>
    <row r="727" spans="1:9">
      <c r="A727">
        <f t="shared" si="79"/>
        <v>726</v>
      </c>
      <c r="B727" s="30">
        <v>32264</v>
      </c>
      <c r="C727">
        <v>262.16000400000001</v>
      </c>
      <c r="I727" s="30"/>
    </row>
    <row r="728" spans="1:9">
      <c r="A728">
        <f t="shared" si="79"/>
        <v>727</v>
      </c>
      <c r="B728" s="30">
        <v>32295</v>
      </c>
      <c r="C728">
        <v>273.5</v>
      </c>
      <c r="I728" s="30"/>
    </row>
    <row r="729" spans="1:9">
      <c r="A729">
        <f t="shared" si="79"/>
        <v>728</v>
      </c>
      <c r="B729" s="30">
        <v>32325</v>
      </c>
      <c r="C729">
        <v>272.01998900000001</v>
      </c>
      <c r="I729" s="30"/>
    </row>
    <row r="730" spans="1:9">
      <c r="A730">
        <f t="shared" si="79"/>
        <v>729</v>
      </c>
      <c r="B730" s="30">
        <v>32356</v>
      </c>
      <c r="C730">
        <v>261.51998900000001</v>
      </c>
      <c r="I730" s="30"/>
    </row>
    <row r="731" spans="1:9">
      <c r="A731">
        <f t="shared" si="79"/>
        <v>730</v>
      </c>
      <c r="B731" s="30">
        <v>32387</v>
      </c>
      <c r="C731">
        <v>271.91000400000001</v>
      </c>
      <c r="I731" s="30"/>
    </row>
    <row r="732" spans="1:9">
      <c r="A732">
        <f t="shared" si="79"/>
        <v>731</v>
      </c>
      <c r="B732" s="30">
        <v>32417</v>
      </c>
      <c r="C732">
        <v>278.97000100000002</v>
      </c>
      <c r="I732" s="30"/>
    </row>
    <row r="733" spans="1:9">
      <c r="A733">
        <f t="shared" si="79"/>
        <v>732</v>
      </c>
      <c r="B733" s="30">
        <v>32448</v>
      </c>
      <c r="C733">
        <v>273.70001200000002</v>
      </c>
      <c r="I733" s="30"/>
    </row>
    <row r="734" spans="1:9">
      <c r="A734">
        <f t="shared" si="79"/>
        <v>733</v>
      </c>
      <c r="B734" s="30">
        <v>32478</v>
      </c>
      <c r="C734">
        <v>277.72000100000002</v>
      </c>
      <c r="I734" s="30"/>
    </row>
    <row r="735" spans="1:9">
      <c r="A735">
        <f t="shared" si="79"/>
        <v>734</v>
      </c>
      <c r="B735" s="30">
        <v>32509</v>
      </c>
      <c r="C735">
        <v>297.47000100000002</v>
      </c>
      <c r="I735" s="30"/>
    </row>
    <row r="736" spans="1:9">
      <c r="A736">
        <f t="shared" si="79"/>
        <v>735</v>
      </c>
      <c r="B736" s="30">
        <v>32540</v>
      </c>
      <c r="C736">
        <v>288.85998499999999</v>
      </c>
      <c r="I736" s="30"/>
    </row>
    <row r="737" spans="1:9">
      <c r="A737">
        <f t="shared" si="79"/>
        <v>736</v>
      </c>
      <c r="B737" s="30">
        <v>32568</v>
      </c>
      <c r="C737">
        <v>294.86999500000002</v>
      </c>
      <c r="I737" s="30"/>
    </row>
    <row r="738" spans="1:9">
      <c r="A738">
        <f t="shared" si="79"/>
        <v>737</v>
      </c>
      <c r="B738" s="30">
        <v>32599</v>
      </c>
      <c r="C738">
        <v>309.64001500000001</v>
      </c>
      <c r="I738" s="30"/>
    </row>
    <row r="739" spans="1:9">
      <c r="A739">
        <f t="shared" si="79"/>
        <v>738</v>
      </c>
      <c r="B739" s="30">
        <v>32629</v>
      </c>
      <c r="C739">
        <v>320.51998900000001</v>
      </c>
      <c r="I739" s="30"/>
    </row>
    <row r="740" spans="1:9">
      <c r="A740">
        <f t="shared" si="79"/>
        <v>739</v>
      </c>
      <c r="B740" s="30">
        <v>32660</v>
      </c>
      <c r="C740">
        <v>317.98001099999999</v>
      </c>
      <c r="I740" s="30"/>
    </row>
    <row r="741" spans="1:9">
      <c r="A741">
        <f t="shared" si="79"/>
        <v>740</v>
      </c>
      <c r="B741" s="30">
        <v>32690</v>
      </c>
      <c r="C741">
        <v>346.07998700000002</v>
      </c>
      <c r="I741" s="30"/>
    </row>
    <row r="742" spans="1:9">
      <c r="A742">
        <f t="shared" si="79"/>
        <v>741</v>
      </c>
      <c r="B742" s="30">
        <v>32721</v>
      </c>
      <c r="C742">
        <v>351.45001200000002</v>
      </c>
      <c r="I742" s="30"/>
    </row>
    <row r="743" spans="1:9">
      <c r="A743">
        <f t="shared" si="79"/>
        <v>742</v>
      </c>
      <c r="B743" s="30">
        <v>32752</v>
      </c>
      <c r="C743">
        <v>349.14999399999999</v>
      </c>
      <c r="I743" s="30"/>
    </row>
    <row r="744" spans="1:9">
      <c r="A744">
        <f t="shared" si="79"/>
        <v>743</v>
      </c>
      <c r="B744" s="30">
        <v>32782</v>
      </c>
      <c r="C744">
        <v>340.35998499999999</v>
      </c>
      <c r="I744" s="30"/>
    </row>
    <row r="745" spans="1:9">
      <c r="A745">
        <f t="shared" si="79"/>
        <v>744</v>
      </c>
      <c r="B745" s="30">
        <v>32813</v>
      </c>
      <c r="C745">
        <v>345.98998999999998</v>
      </c>
      <c r="I745" s="30"/>
    </row>
    <row r="746" spans="1:9">
      <c r="A746">
        <f t="shared" si="79"/>
        <v>745</v>
      </c>
      <c r="B746" s="30">
        <v>32843</v>
      </c>
      <c r="C746">
        <v>353.39999399999999</v>
      </c>
      <c r="I746" s="30"/>
    </row>
    <row r="747" spans="1:9">
      <c r="A747">
        <f t="shared" si="79"/>
        <v>746</v>
      </c>
      <c r="B747" s="30">
        <v>32874</v>
      </c>
      <c r="C747">
        <v>329.07998700000002</v>
      </c>
      <c r="I747" s="30"/>
    </row>
    <row r="748" spans="1:9">
      <c r="A748">
        <f t="shared" si="79"/>
        <v>747</v>
      </c>
      <c r="B748" s="30">
        <v>32905</v>
      </c>
      <c r="C748">
        <v>331.89001500000001</v>
      </c>
      <c r="I748" s="30"/>
    </row>
    <row r="749" spans="1:9">
      <c r="A749">
        <f t="shared" si="79"/>
        <v>748</v>
      </c>
      <c r="B749" s="30">
        <v>32933</v>
      </c>
      <c r="C749">
        <v>339.94000199999999</v>
      </c>
      <c r="I749" s="30"/>
    </row>
    <row r="750" spans="1:9">
      <c r="A750">
        <f t="shared" si="79"/>
        <v>749</v>
      </c>
      <c r="B750" s="30">
        <v>32964</v>
      </c>
      <c r="C750">
        <v>330.79998799999998</v>
      </c>
      <c r="I750" s="30"/>
    </row>
    <row r="751" spans="1:9">
      <c r="A751">
        <f t="shared" si="79"/>
        <v>750</v>
      </c>
      <c r="B751" s="30">
        <v>32994</v>
      </c>
      <c r="C751">
        <v>361.23001099999999</v>
      </c>
      <c r="I751" s="30"/>
    </row>
    <row r="752" spans="1:9">
      <c r="A752">
        <f t="shared" si="79"/>
        <v>751</v>
      </c>
      <c r="B752" s="30">
        <v>33025</v>
      </c>
      <c r="C752">
        <v>358.01998900000001</v>
      </c>
      <c r="I752" s="30"/>
    </row>
    <row r="753" spans="1:9">
      <c r="A753">
        <f t="shared" si="79"/>
        <v>752</v>
      </c>
      <c r="B753" s="30">
        <v>33055</v>
      </c>
      <c r="C753">
        <v>356.14999399999999</v>
      </c>
      <c r="I753" s="30"/>
    </row>
    <row r="754" spans="1:9">
      <c r="A754">
        <f t="shared" si="79"/>
        <v>753</v>
      </c>
      <c r="B754" s="30">
        <v>33086</v>
      </c>
      <c r="C754">
        <v>322.55999800000001</v>
      </c>
      <c r="I754" s="30"/>
    </row>
    <row r="755" spans="1:9">
      <c r="A755">
        <f t="shared" si="79"/>
        <v>754</v>
      </c>
      <c r="B755" s="30">
        <v>33117</v>
      </c>
      <c r="C755">
        <v>306.04998799999998</v>
      </c>
      <c r="I755" s="30"/>
    </row>
    <row r="756" spans="1:9">
      <c r="A756">
        <f t="shared" si="79"/>
        <v>755</v>
      </c>
      <c r="B756" s="30">
        <v>33147</v>
      </c>
      <c r="C756">
        <v>304</v>
      </c>
      <c r="I756" s="30"/>
    </row>
    <row r="757" spans="1:9">
      <c r="A757">
        <f t="shared" si="79"/>
        <v>756</v>
      </c>
      <c r="B757" s="30">
        <v>33178</v>
      </c>
      <c r="C757">
        <v>322.22000100000002</v>
      </c>
      <c r="I757" s="30"/>
    </row>
    <row r="758" spans="1:9">
      <c r="A758">
        <f t="shared" si="79"/>
        <v>757</v>
      </c>
      <c r="B758" s="30">
        <v>33208</v>
      </c>
      <c r="C758">
        <v>330.22000100000002</v>
      </c>
      <c r="I758" s="30"/>
    </row>
    <row r="759" spans="1:9">
      <c r="A759">
        <f t="shared" si="79"/>
        <v>758</v>
      </c>
      <c r="B759" s="30">
        <v>33239</v>
      </c>
      <c r="C759">
        <v>343.92999300000002</v>
      </c>
      <c r="I759" s="30"/>
    </row>
    <row r="760" spans="1:9">
      <c r="A760">
        <f t="shared" si="79"/>
        <v>759</v>
      </c>
      <c r="B760" s="30">
        <v>33270</v>
      </c>
      <c r="C760">
        <v>367.07000699999998</v>
      </c>
      <c r="I760" s="30"/>
    </row>
    <row r="761" spans="1:9">
      <c r="A761">
        <f t="shared" si="79"/>
        <v>760</v>
      </c>
      <c r="B761" s="30">
        <v>33298</v>
      </c>
      <c r="C761">
        <v>375.22000100000002</v>
      </c>
      <c r="I761" s="30"/>
    </row>
    <row r="762" spans="1:9">
      <c r="A762">
        <f t="shared" si="79"/>
        <v>761</v>
      </c>
      <c r="B762" s="30">
        <v>33329</v>
      </c>
      <c r="C762">
        <v>375.33999599999999</v>
      </c>
      <c r="I762" s="30"/>
    </row>
    <row r="763" spans="1:9">
      <c r="A763">
        <f t="shared" si="79"/>
        <v>762</v>
      </c>
      <c r="B763" s="30">
        <v>33359</v>
      </c>
      <c r="C763">
        <v>389.82998700000002</v>
      </c>
      <c r="I763" s="30"/>
    </row>
    <row r="764" spans="1:9">
      <c r="A764">
        <f t="shared" si="79"/>
        <v>763</v>
      </c>
      <c r="B764" s="30">
        <v>33390</v>
      </c>
      <c r="C764">
        <v>371.16000400000001</v>
      </c>
      <c r="I764" s="30"/>
    </row>
    <row r="765" spans="1:9">
      <c r="A765">
        <f t="shared" si="79"/>
        <v>764</v>
      </c>
      <c r="B765" s="30">
        <v>33420</v>
      </c>
      <c r="C765">
        <v>387.80999800000001</v>
      </c>
      <c r="I765" s="30"/>
    </row>
    <row r="766" spans="1:9">
      <c r="A766">
        <f t="shared" si="79"/>
        <v>765</v>
      </c>
      <c r="B766" s="30">
        <v>33451</v>
      </c>
      <c r="C766">
        <v>395.42999300000002</v>
      </c>
      <c r="I766" s="30"/>
    </row>
    <row r="767" spans="1:9">
      <c r="A767">
        <f t="shared" si="79"/>
        <v>766</v>
      </c>
      <c r="B767" s="30">
        <v>33482</v>
      </c>
      <c r="C767">
        <v>387.85998499999999</v>
      </c>
      <c r="I767" s="30"/>
    </row>
    <row r="768" spans="1:9">
      <c r="A768">
        <f t="shared" si="79"/>
        <v>767</v>
      </c>
      <c r="B768" s="30">
        <v>33512</v>
      </c>
      <c r="C768">
        <v>392.45001200000002</v>
      </c>
      <c r="I768" s="30"/>
    </row>
    <row r="769" spans="1:9">
      <c r="A769">
        <f t="shared" si="79"/>
        <v>768</v>
      </c>
      <c r="B769" s="30">
        <v>33543</v>
      </c>
      <c r="C769">
        <v>375.22000100000002</v>
      </c>
      <c r="I769" s="30"/>
    </row>
    <row r="770" spans="1:9">
      <c r="A770">
        <f t="shared" si="79"/>
        <v>769</v>
      </c>
      <c r="B770" s="30">
        <v>33573</v>
      </c>
      <c r="C770">
        <v>417.08999599999999</v>
      </c>
      <c r="I770" s="30"/>
    </row>
    <row r="771" spans="1:9">
      <c r="A771">
        <f t="shared" si="79"/>
        <v>770</v>
      </c>
      <c r="B771" s="30">
        <v>33604</v>
      </c>
      <c r="C771">
        <v>408.77999899999998</v>
      </c>
      <c r="I771" s="30"/>
    </row>
    <row r="772" spans="1:9">
      <c r="A772">
        <f t="shared" ref="A772:A835" si="80">A771+1</f>
        <v>771</v>
      </c>
      <c r="B772" s="30">
        <v>33635</v>
      </c>
      <c r="C772">
        <v>412.70001200000002</v>
      </c>
      <c r="I772" s="30"/>
    </row>
    <row r="773" spans="1:9">
      <c r="A773">
        <f t="shared" si="80"/>
        <v>772</v>
      </c>
      <c r="B773" s="30">
        <v>33664</v>
      </c>
      <c r="C773">
        <v>403.69000199999999</v>
      </c>
      <c r="I773" s="30"/>
    </row>
    <row r="774" spans="1:9">
      <c r="A774">
        <f t="shared" si="80"/>
        <v>773</v>
      </c>
      <c r="B774" s="30">
        <v>33695</v>
      </c>
      <c r="C774">
        <v>414.95001200000002</v>
      </c>
      <c r="I774" s="30"/>
    </row>
    <row r="775" spans="1:9">
      <c r="A775">
        <f t="shared" si="80"/>
        <v>774</v>
      </c>
      <c r="B775" s="30">
        <v>33725</v>
      </c>
      <c r="C775">
        <v>415.35000600000001</v>
      </c>
      <c r="I775" s="30"/>
    </row>
    <row r="776" spans="1:9">
      <c r="A776">
        <f t="shared" si="80"/>
        <v>775</v>
      </c>
      <c r="B776" s="30">
        <v>33756</v>
      </c>
      <c r="C776">
        <v>408.14001500000001</v>
      </c>
      <c r="I776" s="30"/>
    </row>
    <row r="777" spans="1:9">
      <c r="A777">
        <f t="shared" si="80"/>
        <v>776</v>
      </c>
      <c r="B777" s="30">
        <v>33786</v>
      </c>
      <c r="C777">
        <v>424.209991</v>
      </c>
      <c r="I777" s="30"/>
    </row>
    <row r="778" spans="1:9">
      <c r="A778">
        <f t="shared" si="80"/>
        <v>777</v>
      </c>
      <c r="B778" s="30">
        <v>33817</v>
      </c>
      <c r="C778">
        <v>414.02999899999998</v>
      </c>
      <c r="I778" s="30"/>
    </row>
    <row r="779" spans="1:9">
      <c r="A779">
        <f t="shared" si="80"/>
        <v>778</v>
      </c>
      <c r="B779" s="30">
        <v>33848</v>
      </c>
      <c r="C779">
        <v>417.79998799999998</v>
      </c>
      <c r="I779" s="30"/>
    </row>
    <row r="780" spans="1:9">
      <c r="A780">
        <f t="shared" si="80"/>
        <v>779</v>
      </c>
      <c r="B780" s="30">
        <v>33878</v>
      </c>
      <c r="C780">
        <v>418.67999300000002</v>
      </c>
      <c r="I780" s="30"/>
    </row>
    <row r="781" spans="1:9">
      <c r="A781">
        <f t="shared" si="80"/>
        <v>780</v>
      </c>
      <c r="B781" s="30">
        <v>33909</v>
      </c>
      <c r="C781">
        <v>431.35000600000001</v>
      </c>
      <c r="I781" s="30"/>
    </row>
    <row r="782" spans="1:9">
      <c r="A782">
        <f t="shared" si="80"/>
        <v>781</v>
      </c>
      <c r="B782" s="30">
        <v>33939</v>
      </c>
      <c r="C782">
        <v>435.709991</v>
      </c>
      <c r="I782" s="30"/>
    </row>
    <row r="783" spans="1:9">
      <c r="A783">
        <f t="shared" si="80"/>
        <v>782</v>
      </c>
      <c r="B783" s="30">
        <v>33970</v>
      </c>
      <c r="C783">
        <v>438.77999899999998</v>
      </c>
      <c r="I783" s="30"/>
    </row>
    <row r="784" spans="1:9">
      <c r="A784">
        <f t="shared" si="80"/>
        <v>783</v>
      </c>
      <c r="B784" s="30">
        <v>34001</v>
      </c>
      <c r="C784">
        <v>443.38000499999998</v>
      </c>
      <c r="I784" s="30"/>
    </row>
    <row r="785" spans="1:9">
      <c r="A785">
        <f t="shared" si="80"/>
        <v>784</v>
      </c>
      <c r="B785" s="30">
        <v>34029</v>
      </c>
      <c r="C785">
        <v>451.67001299999998</v>
      </c>
      <c r="I785" s="30"/>
    </row>
    <row r="786" spans="1:9">
      <c r="A786">
        <f t="shared" si="80"/>
        <v>785</v>
      </c>
      <c r="B786" s="30">
        <v>34060</v>
      </c>
      <c r="C786">
        <v>440.19000199999999</v>
      </c>
      <c r="I786" s="30"/>
    </row>
    <row r="787" spans="1:9">
      <c r="A787">
        <f t="shared" si="80"/>
        <v>786</v>
      </c>
      <c r="B787" s="30">
        <v>34090</v>
      </c>
      <c r="C787">
        <v>450.19000199999999</v>
      </c>
      <c r="I787" s="30"/>
    </row>
    <row r="788" spans="1:9">
      <c r="A788">
        <f t="shared" si="80"/>
        <v>787</v>
      </c>
      <c r="B788" s="30">
        <v>34121</v>
      </c>
      <c r="C788">
        <v>450.52999899999998</v>
      </c>
      <c r="I788" s="30"/>
    </row>
    <row r="789" spans="1:9">
      <c r="A789">
        <f t="shared" si="80"/>
        <v>788</v>
      </c>
      <c r="B789" s="30">
        <v>34151</v>
      </c>
      <c r="C789">
        <v>448.13000499999998</v>
      </c>
      <c r="I789" s="30"/>
    </row>
    <row r="790" spans="1:9">
      <c r="A790">
        <f t="shared" si="80"/>
        <v>789</v>
      </c>
      <c r="B790" s="30">
        <v>34182</v>
      </c>
      <c r="C790">
        <v>463.55999800000001</v>
      </c>
      <c r="I790" s="30"/>
    </row>
    <row r="791" spans="1:9">
      <c r="A791">
        <f t="shared" si="80"/>
        <v>790</v>
      </c>
      <c r="B791" s="30">
        <v>34213</v>
      </c>
      <c r="C791">
        <v>458.92999300000002</v>
      </c>
      <c r="I791" s="30"/>
    </row>
    <row r="792" spans="1:9">
      <c r="A792">
        <f t="shared" si="80"/>
        <v>791</v>
      </c>
      <c r="B792" s="30">
        <v>34243</v>
      </c>
      <c r="C792">
        <v>467.82998700000002</v>
      </c>
      <c r="I792" s="30"/>
    </row>
    <row r="793" spans="1:9">
      <c r="A793">
        <f t="shared" si="80"/>
        <v>792</v>
      </c>
      <c r="B793" s="30">
        <v>34274</v>
      </c>
      <c r="C793">
        <v>461.790009</v>
      </c>
      <c r="I793" s="30"/>
    </row>
    <row r="794" spans="1:9">
      <c r="A794">
        <f t="shared" si="80"/>
        <v>793</v>
      </c>
      <c r="B794" s="30">
        <v>34304</v>
      </c>
      <c r="C794">
        <v>466.45001200000002</v>
      </c>
      <c r="I794" s="30"/>
    </row>
    <row r="795" spans="1:9">
      <c r="A795">
        <f t="shared" si="80"/>
        <v>794</v>
      </c>
      <c r="B795" s="30">
        <v>34335</v>
      </c>
      <c r="C795">
        <v>481.60998499999999</v>
      </c>
      <c r="I795" s="30"/>
    </row>
    <row r="796" spans="1:9">
      <c r="A796">
        <f t="shared" si="80"/>
        <v>795</v>
      </c>
      <c r="B796" s="30">
        <v>34366</v>
      </c>
      <c r="C796">
        <v>467.14001500000001</v>
      </c>
      <c r="I796" s="30"/>
    </row>
    <row r="797" spans="1:9">
      <c r="A797">
        <f t="shared" si="80"/>
        <v>796</v>
      </c>
      <c r="B797" s="30">
        <v>34394</v>
      </c>
      <c r="C797">
        <v>445.76998900000001</v>
      </c>
      <c r="I797" s="30"/>
    </row>
    <row r="798" spans="1:9">
      <c r="A798">
        <f t="shared" si="80"/>
        <v>797</v>
      </c>
      <c r="B798" s="30">
        <v>34425</v>
      </c>
      <c r="C798">
        <v>450.91000400000001</v>
      </c>
      <c r="I798" s="30"/>
    </row>
    <row r="799" spans="1:9">
      <c r="A799">
        <f t="shared" si="80"/>
        <v>798</v>
      </c>
      <c r="B799" s="30">
        <v>34455</v>
      </c>
      <c r="C799">
        <v>456.5</v>
      </c>
      <c r="I799" s="30"/>
    </row>
    <row r="800" spans="1:9">
      <c r="A800">
        <f t="shared" si="80"/>
        <v>799</v>
      </c>
      <c r="B800" s="30">
        <v>34486</v>
      </c>
      <c r="C800">
        <v>444.26998900000001</v>
      </c>
      <c r="I800" s="30"/>
    </row>
    <row r="801" spans="1:9">
      <c r="A801">
        <f t="shared" si="80"/>
        <v>800</v>
      </c>
      <c r="B801" s="30">
        <v>34516</v>
      </c>
      <c r="C801">
        <v>458.26001000000002</v>
      </c>
      <c r="I801" s="30"/>
    </row>
    <row r="802" spans="1:9">
      <c r="A802">
        <f t="shared" si="80"/>
        <v>801</v>
      </c>
      <c r="B802" s="30">
        <v>34547</v>
      </c>
      <c r="C802">
        <v>475.48998999999998</v>
      </c>
      <c r="I802" s="30"/>
    </row>
    <row r="803" spans="1:9">
      <c r="A803">
        <f t="shared" si="80"/>
        <v>802</v>
      </c>
      <c r="B803" s="30">
        <v>34578</v>
      </c>
      <c r="C803">
        <v>462.709991</v>
      </c>
      <c r="I803" s="30"/>
    </row>
    <row r="804" spans="1:9">
      <c r="A804">
        <f t="shared" si="80"/>
        <v>803</v>
      </c>
      <c r="B804" s="30">
        <v>34608</v>
      </c>
      <c r="C804">
        <v>472.35000600000001</v>
      </c>
      <c r="I804" s="30"/>
    </row>
    <row r="805" spans="1:9">
      <c r="A805">
        <f t="shared" si="80"/>
        <v>804</v>
      </c>
      <c r="B805" s="30">
        <v>34639</v>
      </c>
      <c r="C805">
        <v>453.69000199999999</v>
      </c>
      <c r="I805" s="30"/>
    </row>
    <row r="806" spans="1:9">
      <c r="A806">
        <f t="shared" si="80"/>
        <v>805</v>
      </c>
      <c r="B806" s="30">
        <v>34669</v>
      </c>
      <c r="C806">
        <v>459.26998900000001</v>
      </c>
      <c r="I806" s="30"/>
    </row>
    <row r="807" spans="1:9">
      <c r="A807">
        <f t="shared" si="80"/>
        <v>806</v>
      </c>
      <c r="B807" s="30">
        <v>34700</v>
      </c>
      <c r="C807">
        <v>470.42001299999998</v>
      </c>
      <c r="I807" s="30"/>
    </row>
    <row r="808" spans="1:9">
      <c r="A808">
        <f t="shared" si="80"/>
        <v>807</v>
      </c>
      <c r="B808" s="30">
        <v>34731</v>
      </c>
      <c r="C808">
        <v>487.39001500000001</v>
      </c>
      <c r="I808" s="30"/>
    </row>
    <row r="809" spans="1:9">
      <c r="A809">
        <f t="shared" si="80"/>
        <v>808</v>
      </c>
      <c r="B809" s="30">
        <v>34759</v>
      </c>
      <c r="C809">
        <v>500.709991</v>
      </c>
      <c r="I809" s="30"/>
    </row>
    <row r="810" spans="1:9">
      <c r="A810">
        <f t="shared" si="80"/>
        <v>809</v>
      </c>
      <c r="B810" s="30">
        <v>34790</v>
      </c>
      <c r="C810">
        <v>514.71002199999998</v>
      </c>
      <c r="I810" s="30"/>
    </row>
    <row r="811" spans="1:9">
      <c r="A811">
        <f t="shared" si="80"/>
        <v>810</v>
      </c>
      <c r="B811" s="30">
        <v>34820</v>
      </c>
      <c r="C811">
        <v>533.40002400000003</v>
      </c>
      <c r="I811" s="30"/>
    </row>
    <row r="812" spans="1:9">
      <c r="A812">
        <f t="shared" si="80"/>
        <v>811</v>
      </c>
      <c r="B812" s="30">
        <v>34851</v>
      </c>
      <c r="C812">
        <v>544.75</v>
      </c>
      <c r="I812" s="30"/>
    </row>
    <row r="813" spans="1:9">
      <c r="A813">
        <f t="shared" si="80"/>
        <v>812</v>
      </c>
      <c r="B813" s="30">
        <v>34881</v>
      </c>
      <c r="C813">
        <v>562.05999799999995</v>
      </c>
      <c r="I813" s="30"/>
    </row>
    <row r="814" spans="1:9">
      <c r="A814">
        <f t="shared" si="80"/>
        <v>813</v>
      </c>
      <c r="B814" s="30">
        <v>34912</v>
      </c>
      <c r="C814">
        <v>561.88000499999998</v>
      </c>
      <c r="I814" s="30"/>
    </row>
    <row r="815" spans="1:9">
      <c r="A815">
        <f t="shared" si="80"/>
        <v>814</v>
      </c>
      <c r="B815" s="30">
        <v>34943</v>
      </c>
      <c r="C815">
        <v>584.40997300000004</v>
      </c>
      <c r="I815" s="30"/>
    </row>
    <row r="816" spans="1:9">
      <c r="A816">
        <f t="shared" si="80"/>
        <v>815</v>
      </c>
      <c r="B816" s="30">
        <v>34973</v>
      </c>
      <c r="C816">
        <v>581.5</v>
      </c>
      <c r="I816" s="30"/>
    </row>
    <row r="817" spans="1:9">
      <c r="A817">
        <f t="shared" si="80"/>
        <v>816</v>
      </c>
      <c r="B817" s="30">
        <v>35004</v>
      </c>
      <c r="C817">
        <v>605.36999500000002</v>
      </c>
      <c r="I817" s="30"/>
    </row>
    <row r="818" spans="1:9">
      <c r="A818">
        <f t="shared" si="80"/>
        <v>817</v>
      </c>
      <c r="B818" s="30">
        <v>35034</v>
      </c>
      <c r="C818">
        <v>615.92999299999997</v>
      </c>
      <c r="I818" s="30"/>
    </row>
    <row r="819" spans="1:9">
      <c r="A819">
        <f t="shared" si="80"/>
        <v>818</v>
      </c>
      <c r="B819" s="30">
        <v>35065</v>
      </c>
      <c r="C819">
        <v>636.02002000000005</v>
      </c>
      <c r="I819" s="30"/>
    </row>
    <row r="820" spans="1:9">
      <c r="A820">
        <f t="shared" si="80"/>
        <v>819</v>
      </c>
      <c r="B820" s="30">
        <v>35096</v>
      </c>
      <c r="C820">
        <v>640.42999299999997</v>
      </c>
      <c r="I820" s="30"/>
    </row>
    <row r="821" spans="1:9">
      <c r="A821">
        <f t="shared" si="80"/>
        <v>820</v>
      </c>
      <c r="B821" s="30">
        <v>35125</v>
      </c>
      <c r="C821">
        <v>645.5</v>
      </c>
      <c r="I821" s="30"/>
    </row>
    <row r="822" spans="1:9">
      <c r="A822">
        <f t="shared" si="80"/>
        <v>821</v>
      </c>
      <c r="B822" s="30">
        <v>35156</v>
      </c>
      <c r="C822">
        <v>654.169983</v>
      </c>
      <c r="I822" s="30"/>
    </row>
    <row r="823" spans="1:9">
      <c r="A823">
        <f t="shared" si="80"/>
        <v>822</v>
      </c>
      <c r="B823" s="30">
        <v>35186</v>
      </c>
      <c r="C823">
        <v>669.11999500000002</v>
      </c>
      <c r="I823" s="30"/>
    </row>
    <row r="824" spans="1:9">
      <c r="A824">
        <f t="shared" si="80"/>
        <v>823</v>
      </c>
      <c r="B824" s="30">
        <v>35217</v>
      </c>
      <c r="C824">
        <v>670.63000499999998</v>
      </c>
      <c r="I824" s="30"/>
    </row>
    <row r="825" spans="1:9">
      <c r="A825">
        <f t="shared" si="80"/>
        <v>824</v>
      </c>
      <c r="B825" s="30">
        <v>35247</v>
      </c>
      <c r="C825">
        <v>639.95001200000002</v>
      </c>
      <c r="I825" s="30"/>
    </row>
    <row r="826" spans="1:9">
      <c r="A826">
        <f t="shared" si="80"/>
        <v>825</v>
      </c>
      <c r="B826" s="30">
        <v>35278</v>
      </c>
      <c r="C826">
        <v>651.98999000000003</v>
      </c>
      <c r="I826" s="30"/>
    </row>
    <row r="827" spans="1:9">
      <c r="A827">
        <f t="shared" si="80"/>
        <v>826</v>
      </c>
      <c r="B827" s="30">
        <v>35309</v>
      </c>
      <c r="C827">
        <v>687.330017</v>
      </c>
      <c r="I827" s="30"/>
    </row>
    <row r="828" spans="1:9">
      <c r="A828">
        <f t="shared" si="80"/>
        <v>827</v>
      </c>
      <c r="B828" s="30">
        <v>35339</v>
      </c>
      <c r="C828">
        <v>705.27002000000005</v>
      </c>
      <c r="I828" s="30"/>
    </row>
    <row r="829" spans="1:9">
      <c r="A829">
        <f t="shared" si="80"/>
        <v>828</v>
      </c>
      <c r="B829" s="30">
        <v>35370</v>
      </c>
      <c r="C829">
        <v>757.02002000000005</v>
      </c>
      <c r="I829" s="30"/>
    </row>
    <row r="830" spans="1:9">
      <c r="A830">
        <f t="shared" si="80"/>
        <v>829</v>
      </c>
      <c r="B830" s="30">
        <v>35400</v>
      </c>
      <c r="C830">
        <v>740.73999000000003</v>
      </c>
      <c r="I830" s="30"/>
    </row>
    <row r="831" spans="1:9">
      <c r="A831">
        <f t="shared" si="80"/>
        <v>830</v>
      </c>
      <c r="B831" s="30">
        <v>35431</v>
      </c>
      <c r="C831">
        <v>786.15997300000004</v>
      </c>
      <c r="I831" s="30"/>
    </row>
    <row r="832" spans="1:9">
      <c r="A832">
        <f t="shared" si="80"/>
        <v>831</v>
      </c>
      <c r="B832" s="30">
        <v>35462</v>
      </c>
      <c r="C832">
        <v>790.82000700000003</v>
      </c>
      <c r="I832" s="30"/>
    </row>
    <row r="833" spans="1:9">
      <c r="A833">
        <f t="shared" si="80"/>
        <v>832</v>
      </c>
      <c r="B833" s="30">
        <v>35490</v>
      </c>
      <c r="C833">
        <v>757.11999500000002</v>
      </c>
      <c r="I833" s="30"/>
    </row>
    <row r="834" spans="1:9">
      <c r="A834">
        <f t="shared" si="80"/>
        <v>833</v>
      </c>
      <c r="B834" s="30">
        <v>35521</v>
      </c>
      <c r="C834">
        <v>801.34002699999996</v>
      </c>
      <c r="I834" s="30"/>
    </row>
    <row r="835" spans="1:9">
      <c r="A835">
        <f t="shared" si="80"/>
        <v>834</v>
      </c>
      <c r="B835" s="30">
        <v>35551</v>
      </c>
      <c r="C835">
        <v>848.28002900000001</v>
      </c>
      <c r="I835" s="30"/>
    </row>
    <row r="836" spans="1:9">
      <c r="A836">
        <f t="shared" ref="A836:A899" si="81">A835+1</f>
        <v>835</v>
      </c>
      <c r="B836" s="30">
        <v>35582</v>
      </c>
      <c r="C836">
        <v>885.14001499999995</v>
      </c>
      <c r="I836" s="30"/>
    </row>
    <row r="837" spans="1:9">
      <c r="A837">
        <f t="shared" si="81"/>
        <v>836</v>
      </c>
      <c r="B837" s="30">
        <v>35612</v>
      </c>
      <c r="C837">
        <v>954.30999799999995</v>
      </c>
      <c r="I837" s="30"/>
    </row>
    <row r="838" spans="1:9">
      <c r="A838">
        <f t="shared" si="81"/>
        <v>837</v>
      </c>
      <c r="B838" s="30">
        <v>35643</v>
      </c>
      <c r="C838">
        <v>899.46997099999999</v>
      </c>
      <c r="I838" s="30"/>
    </row>
    <row r="839" spans="1:9">
      <c r="A839">
        <f t="shared" si="81"/>
        <v>838</v>
      </c>
      <c r="B839" s="30">
        <v>35674</v>
      </c>
      <c r="C839">
        <v>947.28002900000001</v>
      </c>
      <c r="I839" s="30"/>
    </row>
    <row r="840" spans="1:9">
      <c r="A840">
        <f t="shared" si="81"/>
        <v>839</v>
      </c>
      <c r="B840" s="30">
        <v>35704</v>
      </c>
      <c r="C840">
        <v>914.61999500000002</v>
      </c>
      <c r="I840" s="30"/>
    </row>
    <row r="841" spans="1:9">
      <c r="A841">
        <f t="shared" si="81"/>
        <v>840</v>
      </c>
      <c r="B841" s="30">
        <v>35735</v>
      </c>
      <c r="C841">
        <v>955.40002400000003</v>
      </c>
      <c r="I841" s="30"/>
    </row>
    <row r="842" spans="1:9">
      <c r="A842">
        <f t="shared" si="81"/>
        <v>841</v>
      </c>
      <c r="B842" s="30">
        <v>35765</v>
      </c>
      <c r="C842">
        <v>970.42999299999997</v>
      </c>
      <c r="I842" s="30"/>
    </row>
    <row r="843" spans="1:9">
      <c r="A843">
        <f t="shared" si="81"/>
        <v>842</v>
      </c>
      <c r="B843" s="30">
        <v>35796</v>
      </c>
      <c r="C843">
        <v>980.28002900000001</v>
      </c>
      <c r="I843" s="30"/>
    </row>
    <row r="844" spans="1:9">
      <c r="A844">
        <f t="shared" si="81"/>
        <v>843</v>
      </c>
      <c r="B844" s="30">
        <v>35827</v>
      </c>
      <c r="C844">
        <v>1049.339966</v>
      </c>
      <c r="I844" s="30"/>
    </row>
    <row r="845" spans="1:9">
      <c r="A845">
        <f t="shared" si="81"/>
        <v>844</v>
      </c>
      <c r="B845" s="30">
        <v>35855</v>
      </c>
      <c r="C845">
        <v>1101.75</v>
      </c>
      <c r="I845" s="30"/>
    </row>
    <row r="846" spans="1:9">
      <c r="A846">
        <f t="shared" si="81"/>
        <v>845</v>
      </c>
      <c r="B846" s="30">
        <v>35886</v>
      </c>
      <c r="C846">
        <v>1111.75</v>
      </c>
      <c r="I846" s="30"/>
    </row>
    <row r="847" spans="1:9">
      <c r="A847">
        <f t="shared" si="81"/>
        <v>846</v>
      </c>
      <c r="B847" s="30">
        <v>35916</v>
      </c>
      <c r="C847">
        <v>1090.8199460000001</v>
      </c>
      <c r="I847" s="30"/>
    </row>
    <row r="848" spans="1:9">
      <c r="A848">
        <f t="shared" si="81"/>
        <v>847</v>
      </c>
      <c r="B848" s="30">
        <v>35947</v>
      </c>
      <c r="C848">
        <v>1133.839966</v>
      </c>
      <c r="I848" s="30"/>
    </row>
    <row r="849" spans="1:9">
      <c r="A849">
        <f t="shared" si="81"/>
        <v>848</v>
      </c>
      <c r="B849" s="30">
        <v>35977</v>
      </c>
      <c r="C849">
        <v>1120.670044</v>
      </c>
      <c r="I849" s="30"/>
    </row>
    <row r="850" spans="1:9">
      <c r="A850">
        <f t="shared" si="81"/>
        <v>849</v>
      </c>
      <c r="B850" s="30">
        <v>36008</v>
      </c>
      <c r="C850">
        <v>957.28002900000001</v>
      </c>
      <c r="I850" s="30"/>
    </row>
    <row r="851" spans="1:9">
      <c r="A851">
        <f t="shared" si="81"/>
        <v>850</v>
      </c>
      <c r="B851" s="30">
        <v>36039</v>
      </c>
      <c r="C851">
        <v>1017.01001</v>
      </c>
      <c r="I851" s="30"/>
    </row>
    <row r="852" spans="1:9">
      <c r="A852">
        <f t="shared" si="81"/>
        <v>851</v>
      </c>
      <c r="B852" s="30">
        <v>36069</v>
      </c>
      <c r="C852">
        <v>1098.670044</v>
      </c>
      <c r="I852" s="30"/>
    </row>
    <row r="853" spans="1:9">
      <c r="A853">
        <f t="shared" si="81"/>
        <v>852</v>
      </c>
      <c r="B853" s="30">
        <v>36100</v>
      </c>
      <c r="C853">
        <v>1163.630005</v>
      </c>
      <c r="I853" s="30"/>
    </row>
    <row r="854" spans="1:9">
      <c r="A854">
        <f t="shared" si="81"/>
        <v>853</v>
      </c>
      <c r="B854" s="30">
        <v>36130</v>
      </c>
      <c r="C854">
        <v>1229.2299800000001</v>
      </c>
      <c r="I854" s="30"/>
    </row>
    <row r="855" spans="1:9">
      <c r="A855">
        <f t="shared" si="81"/>
        <v>854</v>
      </c>
      <c r="B855" s="30">
        <v>36161</v>
      </c>
      <c r="C855">
        <v>1279.6400149999999</v>
      </c>
      <c r="I855" s="30"/>
    </row>
    <row r="856" spans="1:9">
      <c r="A856">
        <f t="shared" si="81"/>
        <v>855</v>
      </c>
      <c r="B856" s="30">
        <v>36192</v>
      </c>
      <c r="C856">
        <v>1238.329956</v>
      </c>
      <c r="I856" s="30"/>
    </row>
    <row r="857" spans="1:9">
      <c r="A857">
        <f t="shared" si="81"/>
        <v>856</v>
      </c>
      <c r="B857" s="30">
        <v>36220</v>
      </c>
      <c r="C857">
        <v>1286.369995</v>
      </c>
      <c r="I857" s="30"/>
    </row>
    <row r="858" spans="1:9">
      <c r="A858">
        <f t="shared" si="81"/>
        <v>857</v>
      </c>
      <c r="B858" s="30">
        <v>36251</v>
      </c>
      <c r="C858">
        <v>1335.1800539999999</v>
      </c>
      <c r="I858" s="30"/>
    </row>
    <row r="859" spans="1:9">
      <c r="A859">
        <f t="shared" si="81"/>
        <v>858</v>
      </c>
      <c r="B859" s="30">
        <v>36281</v>
      </c>
      <c r="C859">
        <v>1301.839966</v>
      </c>
      <c r="I859" s="30"/>
    </row>
    <row r="860" spans="1:9">
      <c r="A860">
        <f t="shared" si="81"/>
        <v>859</v>
      </c>
      <c r="B860" s="30">
        <v>36312</v>
      </c>
      <c r="C860">
        <v>1372.709961</v>
      </c>
      <c r="I860" s="30"/>
    </row>
    <row r="861" spans="1:9">
      <c r="A861">
        <f t="shared" si="81"/>
        <v>860</v>
      </c>
      <c r="B861" s="30">
        <v>36342</v>
      </c>
      <c r="C861">
        <v>1328.719971</v>
      </c>
      <c r="I861" s="30"/>
    </row>
    <row r="862" spans="1:9">
      <c r="A862">
        <f t="shared" si="81"/>
        <v>861</v>
      </c>
      <c r="B862" s="30">
        <v>36373</v>
      </c>
      <c r="C862">
        <v>1320.410034</v>
      </c>
      <c r="I862" s="30"/>
    </row>
    <row r="863" spans="1:9">
      <c r="A863">
        <f t="shared" si="81"/>
        <v>862</v>
      </c>
      <c r="B863" s="30">
        <v>36404</v>
      </c>
      <c r="C863">
        <v>1282.709961</v>
      </c>
      <c r="I863" s="30"/>
    </row>
    <row r="864" spans="1:9">
      <c r="A864">
        <f t="shared" si="81"/>
        <v>863</v>
      </c>
      <c r="B864" s="30">
        <v>36434</v>
      </c>
      <c r="C864">
        <v>1362.9300539999999</v>
      </c>
      <c r="I864" s="30"/>
    </row>
    <row r="865" spans="1:9">
      <c r="A865">
        <f t="shared" si="81"/>
        <v>864</v>
      </c>
      <c r="B865" s="30">
        <v>36465</v>
      </c>
      <c r="C865">
        <v>1388.910034</v>
      </c>
      <c r="I865" s="30"/>
    </row>
    <row r="866" spans="1:9">
      <c r="A866">
        <f t="shared" si="81"/>
        <v>865</v>
      </c>
      <c r="B866" s="30">
        <v>36495</v>
      </c>
      <c r="C866">
        <v>1469.25</v>
      </c>
      <c r="I866" s="30"/>
    </row>
    <row r="867" spans="1:9">
      <c r="A867">
        <f t="shared" si="81"/>
        <v>866</v>
      </c>
      <c r="B867" s="30">
        <v>36526</v>
      </c>
      <c r="C867">
        <v>1394.459961</v>
      </c>
      <c r="I867" s="30"/>
    </row>
    <row r="868" spans="1:9">
      <c r="A868">
        <f t="shared" si="81"/>
        <v>867</v>
      </c>
      <c r="B868" s="30">
        <v>36557</v>
      </c>
      <c r="C868">
        <v>1366.420044</v>
      </c>
      <c r="I868" s="30"/>
    </row>
    <row r="869" spans="1:9">
      <c r="A869">
        <f t="shared" si="81"/>
        <v>868</v>
      </c>
      <c r="B869" s="30">
        <v>36586</v>
      </c>
      <c r="C869">
        <v>1498.579956</v>
      </c>
      <c r="I869" s="30"/>
    </row>
    <row r="870" spans="1:9">
      <c r="A870">
        <f t="shared" si="81"/>
        <v>869</v>
      </c>
      <c r="B870" s="30">
        <v>36617</v>
      </c>
      <c r="C870">
        <v>1452.4300539999999</v>
      </c>
      <c r="I870" s="30"/>
    </row>
    <row r="871" spans="1:9">
      <c r="A871">
        <f t="shared" si="81"/>
        <v>870</v>
      </c>
      <c r="B871" s="30">
        <v>36647</v>
      </c>
      <c r="C871">
        <v>1420.599976</v>
      </c>
      <c r="I871" s="30"/>
    </row>
    <row r="872" spans="1:9">
      <c r="A872">
        <f t="shared" si="81"/>
        <v>871</v>
      </c>
      <c r="B872" s="30">
        <v>36678</v>
      </c>
      <c r="C872">
        <v>1454.599976</v>
      </c>
      <c r="I872" s="30"/>
    </row>
    <row r="873" spans="1:9">
      <c r="A873">
        <f t="shared" si="81"/>
        <v>872</v>
      </c>
      <c r="B873" s="30">
        <v>36708</v>
      </c>
      <c r="C873">
        <v>1430.829956</v>
      </c>
      <c r="I873" s="30"/>
    </row>
    <row r="874" spans="1:9">
      <c r="A874">
        <f t="shared" si="81"/>
        <v>873</v>
      </c>
      <c r="B874" s="30">
        <v>36739</v>
      </c>
      <c r="C874">
        <v>1517.6800539999999</v>
      </c>
      <c r="I874" s="30"/>
    </row>
    <row r="875" spans="1:9">
      <c r="A875">
        <f t="shared" si="81"/>
        <v>874</v>
      </c>
      <c r="B875" s="30">
        <v>36770</v>
      </c>
      <c r="C875">
        <v>1436.51001</v>
      </c>
      <c r="I875" s="30"/>
    </row>
    <row r="876" spans="1:9">
      <c r="A876">
        <f t="shared" si="81"/>
        <v>875</v>
      </c>
      <c r="B876" s="30">
        <v>36800</v>
      </c>
      <c r="C876">
        <v>1429.400024</v>
      </c>
      <c r="I876" s="30"/>
    </row>
    <row r="877" spans="1:9">
      <c r="A877">
        <f t="shared" si="81"/>
        <v>876</v>
      </c>
      <c r="B877" s="30">
        <v>36831</v>
      </c>
      <c r="C877">
        <v>1314.9499510000001</v>
      </c>
      <c r="I877" s="30"/>
    </row>
    <row r="878" spans="1:9">
      <c r="A878">
        <f t="shared" si="81"/>
        <v>877</v>
      </c>
      <c r="B878" s="30">
        <v>36861</v>
      </c>
      <c r="C878">
        <v>1320.280029</v>
      </c>
      <c r="I878" s="30"/>
    </row>
    <row r="879" spans="1:9">
      <c r="A879">
        <f t="shared" si="81"/>
        <v>878</v>
      </c>
      <c r="B879" s="30">
        <v>36892</v>
      </c>
      <c r="C879">
        <v>1366.01001</v>
      </c>
      <c r="I879" s="30"/>
    </row>
    <row r="880" spans="1:9">
      <c r="A880">
        <f t="shared" si="81"/>
        <v>879</v>
      </c>
      <c r="B880" s="30">
        <v>36923</v>
      </c>
      <c r="C880">
        <v>1239.9399410000001</v>
      </c>
      <c r="I880" s="30"/>
    </row>
    <row r="881" spans="1:9">
      <c r="A881">
        <f t="shared" si="81"/>
        <v>880</v>
      </c>
      <c r="B881" s="30">
        <v>36951</v>
      </c>
      <c r="C881">
        <v>1160.329956</v>
      </c>
      <c r="I881" s="30"/>
    </row>
    <row r="882" spans="1:9">
      <c r="A882">
        <f t="shared" si="81"/>
        <v>881</v>
      </c>
      <c r="B882" s="30">
        <v>36982</v>
      </c>
      <c r="C882">
        <v>1249.459961</v>
      </c>
      <c r="I882" s="30"/>
    </row>
    <row r="883" spans="1:9">
      <c r="A883">
        <f t="shared" si="81"/>
        <v>882</v>
      </c>
      <c r="B883" s="30">
        <v>37012</v>
      </c>
      <c r="C883">
        <v>1255.8199460000001</v>
      </c>
      <c r="I883" s="30"/>
    </row>
    <row r="884" spans="1:9">
      <c r="A884">
        <f t="shared" si="81"/>
        <v>883</v>
      </c>
      <c r="B884" s="30">
        <v>37043</v>
      </c>
      <c r="C884">
        <v>1224.380005</v>
      </c>
      <c r="I884" s="30"/>
    </row>
    <row r="885" spans="1:9">
      <c r="A885">
        <f t="shared" si="81"/>
        <v>884</v>
      </c>
      <c r="B885" s="30">
        <v>37073</v>
      </c>
      <c r="C885">
        <v>1211.2299800000001</v>
      </c>
      <c r="I885" s="30"/>
    </row>
    <row r="886" spans="1:9">
      <c r="A886">
        <f t="shared" si="81"/>
        <v>885</v>
      </c>
      <c r="B886" s="30">
        <v>37104</v>
      </c>
      <c r="C886">
        <v>1133.579956</v>
      </c>
      <c r="I886" s="30"/>
    </row>
    <row r="887" spans="1:9">
      <c r="A887">
        <f t="shared" si="81"/>
        <v>886</v>
      </c>
      <c r="B887" s="30">
        <v>37135</v>
      </c>
      <c r="C887">
        <v>1040.9399410000001</v>
      </c>
      <c r="I887" s="30"/>
    </row>
    <row r="888" spans="1:9">
      <c r="A888">
        <f t="shared" si="81"/>
        <v>887</v>
      </c>
      <c r="B888" s="30">
        <v>37165</v>
      </c>
      <c r="C888">
        <v>1059.780029</v>
      </c>
      <c r="I888" s="30"/>
    </row>
    <row r="889" spans="1:9">
      <c r="A889">
        <f t="shared" si="81"/>
        <v>888</v>
      </c>
      <c r="B889" s="30">
        <v>37196</v>
      </c>
      <c r="C889">
        <v>1139.4499510000001</v>
      </c>
      <c r="I889" s="30"/>
    </row>
    <row r="890" spans="1:9">
      <c r="A890">
        <f t="shared" si="81"/>
        <v>889</v>
      </c>
      <c r="B890" s="30">
        <v>37226</v>
      </c>
      <c r="C890">
        <v>1148.079956</v>
      </c>
      <c r="I890" s="30"/>
    </row>
    <row r="891" spans="1:9">
      <c r="A891">
        <f t="shared" si="81"/>
        <v>890</v>
      </c>
      <c r="B891" s="30">
        <v>37257</v>
      </c>
      <c r="C891">
        <v>1130.1999510000001</v>
      </c>
      <c r="I891" s="30"/>
    </row>
    <row r="892" spans="1:9">
      <c r="A892">
        <f t="shared" si="81"/>
        <v>891</v>
      </c>
      <c r="B892" s="30">
        <v>37288</v>
      </c>
      <c r="C892">
        <v>1106.7299800000001</v>
      </c>
      <c r="I892" s="30"/>
    </row>
    <row r="893" spans="1:9">
      <c r="A893">
        <f t="shared" si="81"/>
        <v>892</v>
      </c>
      <c r="B893" s="30">
        <v>37316</v>
      </c>
      <c r="C893">
        <v>1147.3900149999999</v>
      </c>
      <c r="I893" s="30"/>
    </row>
    <row r="894" spans="1:9">
      <c r="A894">
        <f t="shared" si="81"/>
        <v>893</v>
      </c>
      <c r="B894" s="30">
        <v>37347</v>
      </c>
      <c r="C894">
        <v>1076.920044</v>
      </c>
      <c r="I894" s="30"/>
    </row>
    <row r="895" spans="1:9">
      <c r="A895">
        <f t="shared" si="81"/>
        <v>894</v>
      </c>
      <c r="B895" s="30">
        <v>37377</v>
      </c>
      <c r="C895">
        <v>1067.1400149999999</v>
      </c>
      <c r="I895" s="30"/>
    </row>
    <row r="896" spans="1:9">
      <c r="A896">
        <f t="shared" si="81"/>
        <v>895</v>
      </c>
      <c r="B896" s="30">
        <v>37408</v>
      </c>
      <c r="C896">
        <v>989.82000700000003</v>
      </c>
      <c r="I896" s="30"/>
    </row>
    <row r="897" spans="1:9">
      <c r="A897">
        <f t="shared" si="81"/>
        <v>896</v>
      </c>
      <c r="B897" s="30">
        <v>37438</v>
      </c>
      <c r="C897">
        <v>911.61999500000002</v>
      </c>
      <c r="I897" s="30"/>
    </row>
    <row r="898" spans="1:9">
      <c r="A898">
        <f t="shared" si="81"/>
        <v>897</v>
      </c>
      <c r="B898" s="30">
        <v>37469</v>
      </c>
      <c r="C898">
        <v>916.07000700000003</v>
      </c>
      <c r="I898" s="30"/>
    </row>
    <row r="899" spans="1:9">
      <c r="A899">
        <f t="shared" si="81"/>
        <v>898</v>
      </c>
      <c r="B899" s="30">
        <v>37500</v>
      </c>
      <c r="C899">
        <v>815.28002900000001</v>
      </c>
      <c r="I899" s="30"/>
    </row>
    <row r="900" spans="1:9">
      <c r="A900">
        <f t="shared" ref="A900:A963" si="82">A899+1</f>
        <v>899</v>
      </c>
      <c r="B900" s="30">
        <v>37530</v>
      </c>
      <c r="C900">
        <v>885.76000999999997</v>
      </c>
      <c r="I900" s="30"/>
    </row>
    <row r="901" spans="1:9">
      <c r="A901">
        <f t="shared" si="82"/>
        <v>900</v>
      </c>
      <c r="B901" s="30">
        <v>37561</v>
      </c>
      <c r="C901">
        <v>936.30999799999995</v>
      </c>
      <c r="I901" s="30"/>
    </row>
    <row r="902" spans="1:9">
      <c r="A902">
        <f t="shared" si="82"/>
        <v>901</v>
      </c>
      <c r="B902" s="30">
        <v>37591</v>
      </c>
      <c r="C902">
        <v>879.82000700000003</v>
      </c>
      <c r="I902" s="30"/>
    </row>
    <row r="903" spans="1:9">
      <c r="A903">
        <f t="shared" si="82"/>
        <v>902</v>
      </c>
      <c r="B903" s="30">
        <v>37622</v>
      </c>
      <c r="C903">
        <v>855.70001200000002</v>
      </c>
      <c r="I903" s="30"/>
    </row>
    <row r="904" spans="1:9">
      <c r="A904">
        <f t="shared" si="82"/>
        <v>903</v>
      </c>
      <c r="B904" s="30">
        <v>37653</v>
      </c>
      <c r="C904">
        <v>841.15002400000003</v>
      </c>
      <c r="I904" s="30"/>
    </row>
    <row r="905" spans="1:9">
      <c r="A905">
        <f t="shared" si="82"/>
        <v>904</v>
      </c>
      <c r="B905" s="30">
        <v>37681</v>
      </c>
      <c r="C905">
        <v>848.17999299999997</v>
      </c>
      <c r="I905" s="30"/>
    </row>
    <row r="906" spans="1:9">
      <c r="A906">
        <f t="shared" si="82"/>
        <v>905</v>
      </c>
      <c r="B906" s="30">
        <v>37712</v>
      </c>
      <c r="C906">
        <v>916.919983</v>
      </c>
      <c r="I906" s="30"/>
    </row>
    <row r="907" spans="1:9">
      <c r="A907">
        <f t="shared" si="82"/>
        <v>906</v>
      </c>
      <c r="B907" s="30">
        <v>37742</v>
      </c>
      <c r="C907">
        <v>963.59002699999996</v>
      </c>
      <c r="I907" s="30"/>
    </row>
    <row r="908" spans="1:9">
      <c r="A908">
        <f t="shared" si="82"/>
        <v>907</v>
      </c>
      <c r="B908" s="30">
        <v>37773</v>
      </c>
      <c r="C908">
        <v>974.5</v>
      </c>
      <c r="I908" s="30"/>
    </row>
    <row r="909" spans="1:9">
      <c r="A909">
        <f t="shared" si="82"/>
        <v>908</v>
      </c>
      <c r="B909" s="30">
        <v>37803</v>
      </c>
      <c r="C909">
        <v>990.30999799999995</v>
      </c>
      <c r="I909" s="30"/>
    </row>
    <row r="910" spans="1:9">
      <c r="A910">
        <f t="shared" si="82"/>
        <v>909</v>
      </c>
      <c r="B910" s="30">
        <v>37834</v>
      </c>
      <c r="C910">
        <v>1008.01001</v>
      </c>
      <c r="I910" s="30"/>
    </row>
    <row r="911" spans="1:9">
      <c r="A911">
        <f t="shared" si="82"/>
        <v>910</v>
      </c>
      <c r="B911" s="30">
        <v>37865</v>
      </c>
      <c r="C911">
        <v>995.96997099999999</v>
      </c>
      <c r="I911" s="30"/>
    </row>
    <row r="912" spans="1:9">
      <c r="A912">
        <f t="shared" si="82"/>
        <v>911</v>
      </c>
      <c r="B912" s="30">
        <v>37895</v>
      </c>
      <c r="C912">
        <v>1050.709961</v>
      </c>
      <c r="I912" s="30"/>
    </row>
    <row r="913" spans="1:9">
      <c r="A913">
        <f t="shared" si="82"/>
        <v>912</v>
      </c>
      <c r="B913" s="30">
        <v>37926</v>
      </c>
      <c r="C913">
        <v>1058.1999510000001</v>
      </c>
      <c r="I913" s="30"/>
    </row>
    <row r="914" spans="1:9">
      <c r="A914">
        <f t="shared" si="82"/>
        <v>913</v>
      </c>
      <c r="B914" s="30">
        <v>37956</v>
      </c>
      <c r="C914">
        <v>1111.920044</v>
      </c>
      <c r="I914" s="30"/>
    </row>
    <row r="915" spans="1:9">
      <c r="A915">
        <f t="shared" si="82"/>
        <v>914</v>
      </c>
      <c r="B915" s="30">
        <v>37987</v>
      </c>
      <c r="C915">
        <v>1131.130005</v>
      </c>
      <c r="I915" s="30"/>
    </row>
    <row r="916" spans="1:9">
      <c r="A916">
        <f t="shared" si="82"/>
        <v>915</v>
      </c>
      <c r="B916" s="30">
        <v>38018</v>
      </c>
      <c r="C916">
        <v>1144.9399410000001</v>
      </c>
      <c r="I916" s="30"/>
    </row>
    <row r="917" spans="1:9">
      <c r="A917">
        <f t="shared" si="82"/>
        <v>916</v>
      </c>
      <c r="B917" s="30">
        <v>38047</v>
      </c>
      <c r="C917">
        <v>1126.209961</v>
      </c>
      <c r="I917" s="30"/>
    </row>
    <row r="918" spans="1:9">
      <c r="A918">
        <f t="shared" si="82"/>
        <v>917</v>
      </c>
      <c r="B918" s="30">
        <v>38078</v>
      </c>
      <c r="C918">
        <v>1107.3000489999999</v>
      </c>
      <c r="I918" s="30"/>
    </row>
    <row r="919" spans="1:9">
      <c r="A919">
        <f t="shared" si="82"/>
        <v>918</v>
      </c>
      <c r="B919" s="30">
        <v>38108</v>
      </c>
      <c r="C919">
        <v>1120.6800539999999</v>
      </c>
      <c r="I919" s="30"/>
    </row>
    <row r="920" spans="1:9">
      <c r="A920">
        <f t="shared" si="82"/>
        <v>919</v>
      </c>
      <c r="B920" s="30">
        <v>38139</v>
      </c>
      <c r="C920">
        <v>1140.839966</v>
      </c>
      <c r="I920" s="30"/>
    </row>
    <row r="921" spans="1:9">
      <c r="A921">
        <f t="shared" si="82"/>
        <v>920</v>
      </c>
      <c r="B921" s="30">
        <v>38169</v>
      </c>
      <c r="C921">
        <v>1101.719971</v>
      </c>
      <c r="I921" s="30"/>
    </row>
    <row r="922" spans="1:9">
      <c r="A922">
        <f t="shared" si="82"/>
        <v>921</v>
      </c>
      <c r="B922" s="30">
        <v>38200</v>
      </c>
      <c r="C922">
        <v>1104.23999</v>
      </c>
      <c r="I922" s="30"/>
    </row>
    <row r="923" spans="1:9">
      <c r="A923">
        <f t="shared" si="82"/>
        <v>922</v>
      </c>
      <c r="B923" s="30">
        <v>38231</v>
      </c>
      <c r="C923">
        <v>1114.579956</v>
      </c>
      <c r="I923" s="30"/>
    </row>
    <row r="924" spans="1:9">
      <c r="A924">
        <f t="shared" si="82"/>
        <v>923</v>
      </c>
      <c r="B924" s="30">
        <v>38261</v>
      </c>
      <c r="C924">
        <v>1130.1999510000001</v>
      </c>
      <c r="I924" s="30"/>
    </row>
    <row r="925" spans="1:9">
      <c r="A925">
        <f t="shared" si="82"/>
        <v>924</v>
      </c>
      <c r="B925" s="30">
        <v>38292</v>
      </c>
      <c r="C925">
        <v>1173.8199460000001</v>
      </c>
      <c r="I925" s="30"/>
    </row>
    <row r="926" spans="1:9">
      <c r="A926">
        <f t="shared" si="82"/>
        <v>925</v>
      </c>
      <c r="B926" s="30">
        <v>38322</v>
      </c>
      <c r="C926">
        <v>1211.920044</v>
      </c>
      <c r="I926" s="30"/>
    </row>
    <row r="927" spans="1:9">
      <c r="A927">
        <f t="shared" si="82"/>
        <v>926</v>
      </c>
      <c r="B927" s="30">
        <v>38353</v>
      </c>
      <c r="C927">
        <v>1181.2700199999999</v>
      </c>
      <c r="I927" s="30"/>
    </row>
    <row r="928" spans="1:9">
      <c r="A928">
        <f t="shared" si="82"/>
        <v>927</v>
      </c>
      <c r="B928" s="30">
        <v>38384</v>
      </c>
      <c r="C928">
        <v>1203.599976</v>
      </c>
      <c r="I928" s="30"/>
    </row>
    <row r="929" spans="1:9">
      <c r="A929">
        <f t="shared" si="82"/>
        <v>928</v>
      </c>
      <c r="B929" s="30">
        <v>38412</v>
      </c>
      <c r="C929">
        <v>1180.589966</v>
      </c>
      <c r="I929" s="30"/>
    </row>
    <row r="930" spans="1:9">
      <c r="A930">
        <f t="shared" si="82"/>
        <v>929</v>
      </c>
      <c r="B930" s="30">
        <v>38443</v>
      </c>
      <c r="C930">
        <v>1156.849976</v>
      </c>
      <c r="I930" s="30"/>
    </row>
    <row r="931" spans="1:9">
      <c r="A931">
        <f t="shared" si="82"/>
        <v>930</v>
      </c>
      <c r="B931" s="30">
        <v>38473</v>
      </c>
      <c r="C931">
        <v>1191.5</v>
      </c>
      <c r="I931" s="30"/>
    </row>
    <row r="932" spans="1:9">
      <c r="A932">
        <f t="shared" si="82"/>
        <v>931</v>
      </c>
      <c r="B932" s="30">
        <v>38504</v>
      </c>
      <c r="C932">
        <v>1191.329956</v>
      </c>
      <c r="I932" s="30"/>
    </row>
    <row r="933" spans="1:9">
      <c r="A933">
        <f t="shared" si="82"/>
        <v>932</v>
      </c>
      <c r="B933" s="30">
        <v>38534</v>
      </c>
      <c r="C933">
        <v>1234.1800539999999</v>
      </c>
      <c r="I933" s="30"/>
    </row>
    <row r="934" spans="1:9">
      <c r="A934">
        <f t="shared" si="82"/>
        <v>933</v>
      </c>
      <c r="B934" s="30">
        <v>38565</v>
      </c>
      <c r="C934">
        <v>1220.329956</v>
      </c>
      <c r="I934" s="30"/>
    </row>
    <row r="935" spans="1:9">
      <c r="A935">
        <f t="shared" si="82"/>
        <v>934</v>
      </c>
      <c r="B935" s="30">
        <v>38596</v>
      </c>
      <c r="C935">
        <v>1228.8100589999999</v>
      </c>
      <c r="I935" s="30"/>
    </row>
    <row r="936" spans="1:9">
      <c r="A936">
        <f t="shared" si="82"/>
        <v>935</v>
      </c>
      <c r="B936" s="30">
        <v>38626</v>
      </c>
      <c r="C936">
        <v>1207.01001</v>
      </c>
      <c r="I936" s="30"/>
    </row>
    <row r="937" spans="1:9">
      <c r="A937">
        <f t="shared" si="82"/>
        <v>936</v>
      </c>
      <c r="B937" s="30">
        <v>38657</v>
      </c>
      <c r="C937">
        <v>1249.4799800000001</v>
      </c>
      <c r="I937" s="30"/>
    </row>
    <row r="938" spans="1:9">
      <c r="A938">
        <f t="shared" si="82"/>
        <v>937</v>
      </c>
      <c r="B938" s="30">
        <v>38687</v>
      </c>
      <c r="C938">
        <v>1248.290039</v>
      </c>
      <c r="I938" s="30"/>
    </row>
    <row r="939" spans="1:9">
      <c r="A939">
        <f t="shared" si="82"/>
        <v>938</v>
      </c>
      <c r="B939" s="30">
        <v>38718</v>
      </c>
      <c r="C939">
        <v>1280.079956</v>
      </c>
      <c r="I939" s="30"/>
    </row>
    <row r="940" spans="1:9">
      <c r="A940">
        <f t="shared" si="82"/>
        <v>939</v>
      </c>
      <c r="B940" s="30">
        <v>38749</v>
      </c>
      <c r="C940">
        <v>1280.660034</v>
      </c>
      <c r="I940" s="30"/>
    </row>
    <row r="941" spans="1:9">
      <c r="A941">
        <f t="shared" si="82"/>
        <v>940</v>
      </c>
      <c r="B941" s="30">
        <v>38777</v>
      </c>
      <c r="C941">
        <v>1294.869995</v>
      </c>
      <c r="I941" s="30"/>
    </row>
    <row r="942" spans="1:9">
      <c r="A942">
        <f t="shared" si="82"/>
        <v>941</v>
      </c>
      <c r="B942" s="30">
        <v>38808</v>
      </c>
      <c r="C942">
        <v>1310.6099850000001</v>
      </c>
      <c r="I942" s="30"/>
    </row>
    <row r="943" spans="1:9">
      <c r="A943">
        <f t="shared" si="82"/>
        <v>942</v>
      </c>
      <c r="B943" s="30">
        <v>38838</v>
      </c>
      <c r="C943">
        <v>1270.089966</v>
      </c>
      <c r="I943" s="30"/>
    </row>
    <row r="944" spans="1:9">
      <c r="A944">
        <f t="shared" si="82"/>
        <v>943</v>
      </c>
      <c r="B944" s="30">
        <v>38869</v>
      </c>
      <c r="C944">
        <v>1270.1999510000001</v>
      </c>
      <c r="I944" s="30"/>
    </row>
    <row r="945" spans="1:9">
      <c r="A945">
        <f t="shared" si="82"/>
        <v>944</v>
      </c>
      <c r="B945" s="30">
        <v>38899</v>
      </c>
      <c r="C945">
        <v>1276.660034</v>
      </c>
      <c r="I945" s="30"/>
    </row>
    <row r="946" spans="1:9">
      <c r="A946">
        <f t="shared" si="82"/>
        <v>945</v>
      </c>
      <c r="B946" s="30">
        <v>38930</v>
      </c>
      <c r="C946">
        <v>1303.8199460000001</v>
      </c>
      <c r="I946" s="30"/>
    </row>
    <row r="947" spans="1:9">
      <c r="A947">
        <f t="shared" si="82"/>
        <v>946</v>
      </c>
      <c r="B947" s="30">
        <v>38961</v>
      </c>
      <c r="C947">
        <v>1335.849976</v>
      </c>
      <c r="I947" s="30"/>
    </row>
    <row r="948" spans="1:9">
      <c r="A948">
        <f t="shared" si="82"/>
        <v>947</v>
      </c>
      <c r="B948" s="30">
        <v>38991</v>
      </c>
      <c r="C948">
        <v>1377.9399410000001</v>
      </c>
      <c r="I948" s="30"/>
    </row>
    <row r="949" spans="1:9">
      <c r="A949">
        <f t="shared" si="82"/>
        <v>948</v>
      </c>
      <c r="B949" s="30">
        <v>39022</v>
      </c>
      <c r="C949">
        <v>1400.630005</v>
      </c>
      <c r="I949" s="30"/>
    </row>
    <row r="950" spans="1:9">
      <c r="A950">
        <f t="shared" si="82"/>
        <v>949</v>
      </c>
      <c r="B950" s="30">
        <v>39052</v>
      </c>
      <c r="C950">
        <v>1418.3000489999999</v>
      </c>
      <c r="I950" s="30"/>
    </row>
    <row r="951" spans="1:9">
      <c r="A951">
        <f t="shared" si="82"/>
        <v>950</v>
      </c>
      <c r="B951" s="30">
        <v>39083</v>
      </c>
      <c r="C951">
        <v>1438.23999</v>
      </c>
      <c r="I951" s="30"/>
    </row>
    <row r="952" spans="1:9">
      <c r="A952">
        <f t="shared" si="82"/>
        <v>951</v>
      </c>
      <c r="B952" s="30">
        <v>39114</v>
      </c>
      <c r="C952">
        <v>1406.8199460000001</v>
      </c>
      <c r="I952" s="30"/>
    </row>
    <row r="953" spans="1:9">
      <c r="A953">
        <f t="shared" si="82"/>
        <v>952</v>
      </c>
      <c r="B953" s="30">
        <v>39142</v>
      </c>
      <c r="C953">
        <v>1420.8599850000001</v>
      </c>
      <c r="I953" s="30"/>
    </row>
    <row r="954" spans="1:9">
      <c r="A954">
        <f t="shared" si="82"/>
        <v>953</v>
      </c>
      <c r="B954" s="30">
        <v>39173</v>
      </c>
      <c r="C954">
        <v>1482.369995</v>
      </c>
      <c r="I954" s="30"/>
    </row>
    <row r="955" spans="1:9">
      <c r="A955">
        <f t="shared" si="82"/>
        <v>954</v>
      </c>
      <c r="B955" s="30">
        <v>39203</v>
      </c>
      <c r="C955">
        <v>1530.619995</v>
      </c>
      <c r="I955" s="30"/>
    </row>
    <row r="956" spans="1:9">
      <c r="A956">
        <f t="shared" si="82"/>
        <v>955</v>
      </c>
      <c r="B956" s="30">
        <v>39234</v>
      </c>
      <c r="C956">
        <v>1503.349976</v>
      </c>
      <c r="I956" s="30"/>
    </row>
    <row r="957" spans="1:9">
      <c r="A957">
        <f t="shared" si="82"/>
        <v>956</v>
      </c>
      <c r="B957" s="30">
        <v>39264</v>
      </c>
      <c r="C957">
        <v>1455.2700199999999</v>
      </c>
      <c r="I957" s="30"/>
    </row>
    <row r="958" spans="1:9">
      <c r="A958">
        <f t="shared" si="82"/>
        <v>957</v>
      </c>
      <c r="B958" s="30">
        <v>39295</v>
      </c>
      <c r="C958">
        <v>1473.98999</v>
      </c>
      <c r="I958" s="30"/>
    </row>
    <row r="959" spans="1:9">
      <c r="A959">
        <f t="shared" si="82"/>
        <v>958</v>
      </c>
      <c r="B959" s="30">
        <v>39326</v>
      </c>
      <c r="C959">
        <v>1526.75</v>
      </c>
      <c r="I959" s="30"/>
    </row>
    <row r="960" spans="1:9">
      <c r="A960">
        <f t="shared" si="82"/>
        <v>959</v>
      </c>
      <c r="B960" s="30">
        <v>39356</v>
      </c>
      <c r="C960">
        <v>1549.380005</v>
      </c>
      <c r="I960" s="30"/>
    </row>
    <row r="961" spans="1:9">
      <c r="A961">
        <f t="shared" si="82"/>
        <v>960</v>
      </c>
      <c r="B961" s="30">
        <v>39387</v>
      </c>
      <c r="C961">
        <v>1481.1400149999999</v>
      </c>
      <c r="I961" s="30"/>
    </row>
    <row r="962" spans="1:9">
      <c r="A962">
        <f t="shared" si="82"/>
        <v>961</v>
      </c>
      <c r="B962" s="30">
        <v>39417</v>
      </c>
      <c r="C962">
        <v>1468.3599850000001</v>
      </c>
      <c r="I962" s="30"/>
    </row>
    <row r="963" spans="1:9">
      <c r="A963">
        <f t="shared" si="82"/>
        <v>962</v>
      </c>
      <c r="B963" s="30">
        <v>39448</v>
      </c>
      <c r="C963">
        <v>1378.5500489999999</v>
      </c>
      <c r="I963" s="30"/>
    </row>
    <row r="964" spans="1:9">
      <c r="A964">
        <f t="shared" ref="A964:A1027" si="83">A963+1</f>
        <v>963</v>
      </c>
      <c r="B964" s="30">
        <v>39479</v>
      </c>
      <c r="C964">
        <v>1330.630005</v>
      </c>
      <c r="I964" s="30"/>
    </row>
    <row r="965" spans="1:9">
      <c r="A965">
        <f t="shared" si="83"/>
        <v>964</v>
      </c>
      <c r="B965" s="30">
        <v>39508</v>
      </c>
      <c r="C965">
        <v>1322.6999510000001</v>
      </c>
      <c r="I965" s="30"/>
    </row>
    <row r="966" spans="1:9">
      <c r="A966">
        <f t="shared" si="83"/>
        <v>965</v>
      </c>
      <c r="B966" s="30">
        <v>39539</v>
      </c>
      <c r="C966">
        <v>1385.589966</v>
      </c>
      <c r="I966" s="30"/>
    </row>
    <row r="967" spans="1:9">
      <c r="A967">
        <f t="shared" si="83"/>
        <v>966</v>
      </c>
      <c r="B967" s="30">
        <v>39569</v>
      </c>
      <c r="C967">
        <v>1400.380005</v>
      </c>
      <c r="I967" s="30"/>
    </row>
    <row r="968" spans="1:9">
      <c r="A968">
        <f t="shared" si="83"/>
        <v>967</v>
      </c>
      <c r="B968" s="30">
        <v>39600</v>
      </c>
      <c r="C968">
        <v>1280</v>
      </c>
      <c r="I968" s="30"/>
    </row>
    <row r="969" spans="1:9">
      <c r="A969">
        <f t="shared" si="83"/>
        <v>968</v>
      </c>
      <c r="B969" s="30">
        <v>39630</v>
      </c>
      <c r="C969">
        <v>1267.380005</v>
      </c>
      <c r="I969" s="30"/>
    </row>
    <row r="970" spans="1:9">
      <c r="A970">
        <f t="shared" si="83"/>
        <v>969</v>
      </c>
      <c r="B970" s="30">
        <v>39661</v>
      </c>
      <c r="C970">
        <v>1282.829956</v>
      </c>
      <c r="I970" s="30"/>
    </row>
    <row r="971" spans="1:9">
      <c r="A971">
        <f t="shared" si="83"/>
        <v>970</v>
      </c>
      <c r="B971" s="30">
        <v>39692</v>
      </c>
      <c r="C971">
        <v>1166.3599850000001</v>
      </c>
      <c r="I971" s="30"/>
    </row>
    <row r="972" spans="1:9">
      <c r="A972">
        <f t="shared" si="83"/>
        <v>971</v>
      </c>
      <c r="B972" s="30">
        <v>39722</v>
      </c>
      <c r="C972">
        <v>968.75</v>
      </c>
      <c r="I972" s="30"/>
    </row>
    <row r="973" spans="1:9">
      <c r="A973">
        <f t="shared" si="83"/>
        <v>972</v>
      </c>
      <c r="B973" s="30">
        <v>39753</v>
      </c>
      <c r="C973">
        <v>896.23999000000003</v>
      </c>
      <c r="I973" s="30"/>
    </row>
    <row r="974" spans="1:9">
      <c r="A974">
        <f t="shared" si="83"/>
        <v>973</v>
      </c>
      <c r="B974" s="30">
        <v>39783</v>
      </c>
      <c r="C974">
        <v>903.25</v>
      </c>
      <c r="I974" s="30"/>
    </row>
    <row r="975" spans="1:9">
      <c r="A975">
        <f t="shared" si="83"/>
        <v>974</v>
      </c>
      <c r="B975" s="30">
        <v>39814</v>
      </c>
      <c r="C975">
        <v>825.88000499999998</v>
      </c>
      <c r="I975" s="30"/>
    </row>
    <row r="976" spans="1:9">
      <c r="A976">
        <f t="shared" si="83"/>
        <v>975</v>
      </c>
      <c r="B976" s="30">
        <v>39845</v>
      </c>
      <c r="C976">
        <v>735.09002699999996</v>
      </c>
      <c r="I976" s="30"/>
    </row>
    <row r="977" spans="1:9">
      <c r="A977">
        <f t="shared" si="83"/>
        <v>976</v>
      </c>
      <c r="B977" s="30">
        <v>39873</v>
      </c>
      <c r="C977">
        <v>797.86999500000002</v>
      </c>
      <c r="I977" s="30"/>
    </row>
    <row r="978" spans="1:9">
      <c r="A978">
        <f t="shared" si="83"/>
        <v>977</v>
      </c>
      <c r="B978" s="30">
        <v>39904</v>
      </c>
      <c r="C978">
        <v>872.80999799999995</v>
      </c>
      <c r="I978" s="30"/>
    </row>
    <row r="979" spans="1:9">
      <c r="A979">
        <f t="shared" si="83"/>
        <v>978</v>
      </c>
      <c r="B979" s="30">
        <v>39934</v>
      </c>
      <c r="C979">
        <v>919.14001499999995</v>
      </c>
      <c r="I979" s="30"/>
    </row>
    <row r="980" spans="1:9">
      <c r="A980">
        <f t="shared" si="83"/>
        <v>979</v>
      </c>
      <c r="B980" s="30">
        <v>39965</v>
      </c>
      <c r="C980">
        <v>919.32000700000003</v>
      </c>
      <c r="I980" s="30"/>
    </row>
    <row r="981" spans="1:9">
      <c r="A981">
        <f t="shared" si="83"/>
        <v>980</v>
      </c>
      <c r="B981" s="30">
        <v>39995</v>
      </c>
      <c r="C981">
        <v>987.47997999999995</v>
      </c>
      <c r="I981" s="30"/>
    </row>
    <row r="982" spans="1:9">
      <c r="A982">
        <f t="shared" si="83"/>
        <v>981</v>
      </c>
      <c r="B982" s="30">
        <v>40026</v>
      </c>
      <c r="C982">
        <v>1020.619995</v>
      </c>
      <c r="I982" s="30"/>
    </row>
    <row r="983" spans="1:9">
      <c r="A983">
        <f t="shared" si="83"/>
        <v>982</v>
      </c>
      <c r="B983" s="30">
        <v>40057</v>
      </c>
      <c r="C983">
        <v>1057.079956</v>
      </c>
      <c r="I983" s="30"/>
    </row>
    <row r="984" spans="1:9">
      <c r="A984">
        <f t="shared" si="83"/>
        <v>983</v>
      </c>
      <c r="B984" s="30">
        <v>40087</v>
      </c>
      <c r="C984">
        <v>1036.1899410000001</v>
      </c>
      <c r="I984" s="30"/>
    </row>
    <row r="985" spans="1:9">
      <c r="A985">
        <f t="shared" si="83"/>
        <v>984</v>
      </c>
      <c r="B985" s="30">
        <v>40118</v>
      </c>
      <c r="C985">
        <v>1095.630005</v>
      </c>
      <c r="I985" s="30"/>
    </row>
    <row r="986" spans="1:9">
      <c r="A986">
        <f t="shared" si="83"/>
        <v>985</v>
      </c>
      <c r="B986" s="30">
        <v>40148</v>
      </c>
      <c r="C986">
        <v>1115.099976</v>
      </c>
      <c r="I986" s="30"/>
    </row>
    <row r="987" spans="1:9">
      <c r="A987">
        <f t="shared" si="83"/>
        <v>986</v>
      </c>
      <c r="B987" s="30">
        <v>40179</v>
      </c>
      <c r="C987">
        <v>1073.869995</v>
      </c>
      <c r="I987" s="30"/>
    </row>
    <row r="988" spans="1:9">
      <c r="A988">
        <f t="shared" si="83"/>
        <v>987</v>
      </c>
      <c r="B988" s="30">
        <v>40210</v>
      </c>
      <c r="C988">
        <v>1104.48999</v>
      </c>
      <c r="I988" s="30"/>
    </row>
    <row r="989" spans="1:9">
      <c r="A989">
        <f t="shared" si="83"/>
        <v>988</v>
      </c>
      <c r="B989" s="30">
        <v>40238</v>
      </c>
      <c r="C989">
        <v>1169.4300539999999</v>
      </c>
      <c r="I989" s="30"/>
    </row>
    <row r="990" spans="1:9">
      <c r="A990">
        <f t="shared" si="83"/>
        <v>989</v>
      </c>
      <c r="B990" s="30">
        <v>40269</v>
      </c>
      <c r="C990">
        <v>1186.6899410000001</v>
      </c>
      <c r="I990" s="30"/>
    </row>
    <row r="991" spans="1:9">
      <c r="A991">
        <f t="shared" si="83"/>
        <v>990</v>
      </c>
      <c r="B991" s="30">
        <v>40299</v>
      </c>
      <c r="C991">
        <v>1089.410034</v>
      </c>
      <c r="I991" s="30"/>
    </row>
    <row r="992" spans="1:9">
      <c r="A992">
        <f t="shared" si="83"/>
        <v>991</v>
      </c>
      <c r="B992" s="30">
        <v>40330</v>
      </c>
      <c r="C992">
        <v>1030.709961</v>
      </c>
      <c r="I992" s="30"/>
    </row>
    <row r="993" spans="1:9">
      <c r="A993">
        <f t="shared" si="83"/>
        <v>992</v>
      </c>
      <c r="B993" s="30">
        <v>40360</v>
      </c>
      <c r="C993">
        <v>1101.599976</v>
      </c>
      <c r="I993" s="30"/>
    </row>
    <row r="994" spans="1:9">
      <c r="A994">
        <f t="shared" si="83"/>
        <v>993</v>
      </c>
      <c r="B994" s="30">
        <v>40391</v>
      </c>
      <c r="C994">
        <v>1049.329956</v>
      </c>
      <c r="I994" s="30"/>
    </row>
    <row r="995" spans="1:9">
      <c r="A995">
        <f t="shared" si="83"/>
        <v>994</v>
      </c>
      <c r="B995" s="30">
        <v>40422</v>
      </c>
      <c r="C995">
        <v>1141.1999510000001</v>
      </c>
      <c r="I995" s="30"/>
    </row>
    <row r="996" spans="1:9">
      <c r="A996">
        <f t="shared" si="83"/>
        <v>995</v>
      </c>
      <c r="B996" s="30">
        <v>40452</v>
      </c>
      <c r="C996">
        <v>1183.26001</v>
      </c>
      <c r="I996" s="30"/>
    </row>
    <row r="997" spans="1:9">
      <c r="A997">
        <f t="shared" si="83"/>
        <v>996</v>
      </c>
      <c r="B997" s="30">
        <v>40483</v>
      </c>
      <c r="C997">
        <v>1180.5500489999999</v>
      </c>
      <c r="I997" s="30"/>
    </row>
    <row r="998" spans="1:9">
      <c r="A998">
        <f t="shared" si="83"/>
        <v>997</v>
      </c>
      <c r="B998" s="30">
        <v>40513</v>
      </c>
      <c r="C998">
        <v>1257.6400149999999</v>
      </c>
      <c r="I998" s="30"/>
    </row>
    <row r="999" spans="1:9">
      <c r="A999">
        <f t="shared" si="83"/>
        <v>998</v>
      </c>
      <c r="B999" s="30">
        <v>40544</v>
      </c>
      <c r="C999">
        <v>1286.119995</v>
      </c>
      <c r="I999" s="30"/>
    </row>
    <row r="1000" spans="1:9">
      <c r="A1000">
        <f t="shared" si="83"/>
        <v>999</v>
      </c>
      <c r="B1000" s="30">
        <v>40575</v>
      </c>
      <c r="C1000">
        <v>1327.219971</v>
      </c>
      <c r="I1000" s="30"/>
    </row>
    <row r="1001" spans="1:9">
      <c r="A1001">
        <f t="shared" si="83"/>
        <v>1000</v>
      </c>
      <c r="B1001" s="30">
        <v>40603</v>
      </c>
      <c r="C1001">
        <v>1325.829956</v>
      </c>
      <c r="I1001" s="30"/>
    </row>
    <row r="1002" spans="1:9">
      <c r="A1002">
        <f t="shared" si="83"/>
        <v>1001</v>
      </c>
      <c r="B1002" s="30">
        <v>40634</v>
      </c>
      <c r="C1002">
        <v>1363.6099850000001</v>
      </c>
      <c r="I1002" s="30"/>
    </row>
    <row r="1003" spans="1:9">
      <c r="A1003">
        <f t="shared" si="83"/>
        <v>1002</v>
      </c>
      <c r="B1003" s="30">
        <v>40664</v>
      </c>
      <c r="C1003">
        <v>1345.1999510000001</v>
      </c>
      <c r="I1003" s="30"/>
    </row>
    <row r="1004" spans="1:9">
      <c r="A1004">
        <f t="shared" si="83"/>
        <v>1003</v>
      </c>
      <c r="B1004" s="30">
        <v>40695</v>
      </c>
      <c r="C1004">
        <v>1320.6400149999999</v>
      </c>
      <c r="I1004" s="30"/>
    </row>
    <row r="1005" spans="1:9">
      <c r="A1005">
        <f t="shared" si="83"/>
        <v>1004</v>
      </c>
      <c r="B1005" s="30">
        <v>40725</v>
      </c>
      <c r="C1005">
        <v>1292.280029</v>
      </c>
      <c r="I1005" s="30"/>
    </row>
    <row r="1006" spans="1:9">
      <c r="A1006">
        <f t="shared" si="83"/>
        <v>1005</v>
      </c>
      <c r="B1006" s="30">
        <v>40756</v>
      </c>
      <c r="C1006">
        <v>1218.8900149999999</v>
      </c>
      <c r="I1006" s="30"/>
    </row>
    <row r="1007" spans="1:9">
      <c r="A1007">
        <f t="shared" si="83"/>
        <v>1006</v>
      </c>
      <c r="B1007" s="30">
        <v>40787</v>
      </c>
      <c r="C1007">
        <v>1131.420044</v>
      </c>
      <c r="I1007" s="30"/>
    </row>
    <row r="1008" spans="1:9">
      <c r="A1008">
        <f t="shared" si="83"/>
        <v>1007</v>
      </c>
      <c r="B1008" s="30">
        <v>40817</v>
      </c>
      <c r="C1008">
        <v>1253.3000489999999</v>
      </c>
      <c r="I1008" s="30"/>
    </row>
    <row r="1009" spans="1:9">
      <c r="A1009">
        <f t="shared" si="83"/>
        <v>1008</v>
      </c>
      <c r="B1009" s="30">
        <v>40848</v>
      </c>
      <c r="C1009">
        <v>1246.959961</v>
      </c>
      <c r="I1009" s="30"/>
    </row>
    <row r="1010" spans="1:9">
      <c r="A1010">
        <f t="shared" si="83"/>
        <v>1009</v>
      </c>
      <c r="B1010" s="30">
        <v>40878</v>
      </c>
      <c r="C1010">
        <v>1257.599976</v>
      </c>
      <c r="I1010" s="30"/>
    </row>
    <row r="1011" spans="1:9">
      <c r="A1011">
        <f t="shared" si="83"/>
        <v>1010</v>
      </c>
      <c r="B1011" s="30">
        <v>40909</v>
      </c>
      <c r="C1011">
        <v>1312.410034</v>
      </c>
      <c r="I1011" s="30"/>
    </row>
    <row r="1012" spans="1:9">
      <c r="A1012">
        <f t="shared" si="83"/>
        <v>1011</v>
      </c>
      <c r="B1012" s="30">
        <v>40940</v>
      </c>
      <c r="C1012">
        <v>1365.6800539999999</v>
      </c>
      <c r="I1012" s="30"/>
    </row>
    <row r="1013" spans="1:9">
      <c r="A1013">
        <f t="shared" si="83"/>
        <v>1012</v>
      </c>
      <c r="B1013" s="30">
        <v>40969</v>
      </c>
      <c r="C1013">
        <v>1408.469971</v>
      </c>
      <c r="I1013" s="30"/>
    </row>
    <row r="1014" spans="1:9">
      <c r="A1014">
        <f t="shared" si="83"/>
        <v>1013</v>
      </c>
      <c r="B1014" s="30">
        <v>41000</v>
      </c>
      <c r="C1014">
        <v>1397.910034</v>
      </c>
      <c r="I1014" s="30"/>
    </row>
    <row r="1015" spans="1:9">
      <c r="A1015">
        <f t="shared" si="83"/>
        <v>1014</v>
      </c>
      <c r="B1015" s="30">
        <v>41030</v>
      </c>
      <c r="C1015">
        <v>1310.329956</v>
      </c>
      <c r="I1015" s="30"/>
    </row>
    <row r="1016" spans="1:9">
      <c r="A1016">
        <f t="shared" si="83"/>
        <v>1015</v>
      </c>
      <c r="B1016" s="30">
        <v>41061</v>
      </c>
      <c r="C1016">
        <v>1362.160034</v>
      </c>
      <c r="I1016" s="30"/>
    </row>
    <row r="1017" spans="1:9">
      <c r="A1017">
        <f t="shared" si="83"/>
        <v>1016</v>
      </c>
      <c r="B1017" s="30">
        <v>41091</v>
      </c>
      <c r="C1017">
        <v>1379.3199460000001</v>
      </c>
      <c r="I1017" s="30"/>
    </row>
    <row r="1018" spans="1:9">
      <c r="A1018">
        <f t="shared" si="83"/>
        <v>1017</v>
      </c>
      <c r="B1018" s="30">
        <v>41122</v>
      </c>
      <c r="C1018">
        <v>1406.579956</v>
      </c>
      <c r="I1018" s="30"/>
    </row>
    <row r="1019" spans="1:9">
      <c r="A1019">
        <f t="shared" si="83"/>
        <v>1018</v>
      </c>
      <c r="B1019" s="30">
        <v>41153</v>
      </c>
      <c r="C1019">
        <v>1440.670044</v>
      </c>
      <c r="I1019" s="30"/>
    </row>
    <row r="1020" spans="1:9">
      <c r="A1020">
        <f t="shared" si="83"/>
        <v>1019</v>
      </c>
      <c r="B1020" s="30">
        <v>41183</v>
      </c>
      <c r="C1020">
        <v>1412.160034</v>
      </c>
      <c r="I1020" s="30"/>
    </row>
    <row r="1021" spans="1:9">
      <c r="A1021">
        <f t="shared" si="83"/>
        <v>1020</v>
      </c>
      <c r="B1021" s="30">
        <v>41214</v>
      </c>
      <c r="C1021">
        <v>1416.1800539999999</v>
      </c>
      <c r="I1021" s="30"/>
    </row>
    <row r="1022" spans="1:9">
      <c r="A1022">
        <f t="shared" si="83"/>
        <v>1021</v>
      </c>
      <c r="B1022" s="30">
        <v>41244</v>
      </c>
      <c r="C1022">
        <v>1426.1899410000001</v>
      </c>
      <c r="I1022" s="30"/>
    </row>
    <row r="1023" spans="1:9">
      <c r="A1023">
        <f t="shared" si="83"/>
        <v>1022</v>
      </c>
      <c r="B1023" s="30">
        <v>41275</v>
      </c>
      <c r="C1023">
        <v>1498.1099850000001</v>
      </c>
      <c r="I1023" s="30"/>
    </row>
    <row r="1024" spans="1:9">
      <c r="A1024">
        <f t="shared" si="83"/>
        <v>1023</v>
      </c>
      <c r="B1024" s="30">
        <v>41306</v>
      </c>
      <c r="C1024">
        <v>1514.6800539999999</v>
      </c>
      <c r="I1024" s="30"/>
    </row>
    <row r="1025" spans="1:9">
      <c r="A1025">
        <f t="shared" si="83"/>
        <v>1024</v>
      </c>
      <c r="B1025" s="30">
        <v>41334</v>
      </c>
      <c r="C1025">
        <v>1569.1899410000001</v>
      </c>
      <c r="I1025" s="30"/>
    </row>
    <row r="1026" spans="1:9">
      <c r="A1026">
        <f t="shared" si="83"/>
        <v>1025</v>
      </c>
      <c r="B1026" s="30">
        <v>41365</v>
      </c>
      <c r="C1026">
        <v>1597.5699460000001</v>
      </c>
      <c r="I1026" s="30"/>
    </row>
    <row r="1027" spans="1:9">
      <c r="A1027">
        <f t="shared" si="83"/>
        <v>1026</v>
      </c>
      <c r="B1027" s="30">
        <v>41395</v>
      </c>
      <c r="C1027">
        <v>1630.73999</v>
      </c>
      <c r="I1027" s="30"/>
    </row>
    <row r="1028" spans="1:9">
      <c r="A1028">
        <f t="shared" ref="A1028:A1091" si="84">A1027+1</f>
        <v>1027</v>
      </c>
      <c r="B1028" s="30">
        <v>41426</v>
      </c>
      <c r="C1028">
        <v>1606.280029</v>
      </c>
      <c r="I1028" s="30"/>
    </row>
    <row r="1029" spans="1:9">
      <c r="A1029">
        <f t="shared" si="84"/>
        <v>1028</v>
      </c>
      <c r="B1029" s="30">
        <v>41456</v>
      </c>
      <c r="C1029">
        <v>1685.7299800000001</v>
      </c>
      <c r="I1029" s="30"/>
    </row>
    <row r="1030" spans="1:9">
      <c r="A1030">
        <f t="shared" si="84"/>
        <v>1029</v>
      </c>
      <c r="B1030" s="30">
        <v>41487</v>
      </c>
      <c r="C1030">
        <v>1632.969971</v>
      </c>
      <c r="I1030" s="30"/>
    </row>
    <row r="1031" spans="1:9">
      <c r="A1031">
        <f t="shared" si="84"/>
        <v>1030</v>
      </c>
      <c r="B1031" s="30">
        <v>41518</v>
      </c>
      <c r="C1031">
        <v>1681.5500489999999</v>
      </c>
      <c r="I1031" s="30"/>
    </row>
    <row r="1032" spans="1:9">
      <c r="A1032">
        <f t="shared" si="84"/>
        <v>1031</v>
      </c>
      <c r="B1032" s="30">
        <v>41548</v>
      </c>
      <c r="C1032">
        <v>1756.540039</v>
      </c>
      <c r="I1032" s="30"/>
    </row>
    <row r="1033" spans="1:9">
      <c r="A1033">
        <f t="shared" si="84"/>
        <v>1032</v>
      </c>
      <c r="B1033" s="30">
        <v>41579</v>
      </c>
      <c r="C1033">
        <v>1805.8100589999999</v>
      </c>
      <c r="I1033" s="30"/>
    </row>
    <row r="1034" spans="1:9">
      <c r="A1034">
        <f t="shared" si="84"/>
        <v>1033</v>
      </c>
      <c r="B1034" s="30">
        <v>41609</v>
      </c>
      <c r="C1034">
        <v>1848.3599850000001</v>
      </c>
      <c r="I1034" s="30"/>
    </row>
    <row r="1035" spans="1:9">
      <c r="A1035">
        <f t="shared" si="84"/>
        <v>1034</v>
      </c>
      <c r="B1035" s="30">
        <v>41640</v>
      </c>
      <c r="C1035">
        <v>1782.589966</v>
      </c>
      <c r="I1035" s="30"/>
    </row>
    <row r="1036" spans="1:9">
      <c r="A1036">
        <f t="shared" si="84"/>
        <v>1035</v>
      </c>
      <c r="B1036" s="30">
        <v>41671</v>
      </c>
      <c r="C1036">
        <v>1859.4499510000001</v>
      </c>
      <c r="I1036" s="30"/>
    </row>
    <row r="1037" spans="1:9">
      <c r="A1037">
        <f t="shared" si="84"/>
        <v>1036</v>
      </c>
      <c r="B1037" s="30">
        <v>41699</v>
      </c>
      <c r="C1037">
        <v>1872.339966</v>
      </c>
      <c r="I1037" s="30"/>
    </row>
    <row r="1038" spans="1:9">
      <c r="A1038">
        <f t="shared" si="84"/>
        <v>1037</v>
      </c>
      <c r="B1038" s="30">
        <v>41730</v>
      </c>
      <c r="C1038">
        <v>1883.9499510000001</v>
      </c>
      <c r="I1038" s="30"/>
    </row>
    <row r="1039" spans="1:9">
      <c r="A1039">
        <f t="shared" si="84"/>
        <v>1038</v>
      </c>
      <c r="B1039" s="30">
        <v>41760</v>
      </c>
      <c r="C1039">
        <v>1923.5699460000001</v>
      </c>
      <c r="I1039" s="30"/>
    </row>
    <row r="1040" spans="1:9">
      <c r="A1040">
        <f t="shared" si="84"/>
        <v>1039</v>
      </c>
      <c r="B1040" s="30">
        <v>41791</v>
      </c>
      <c r="C1040">
        <v>1960.2299800000001</v>
      </c>
      <c r="I1040" s="30"/>
    </row>
    <row r="1041" spans="1:9">
      <c r="A1041">
        <f t="shared" si="84"/>
        <v>1040</v>
      </c>
      <c r="B1041" s="30">
        <v>41821</v>
      </c>
      <c r="C1041">
        <v>1930.670044</v>
      </c>
      <c r="I1041" s="30"/>
    </row>
    <row r="1042" spans="1:9">
      <c r="A1042">
        <f t="shared" si="84"/>
        <v>1041</v>
      </c>
      <c r="B1042" s="30">
        <v>41852</v>
      </c>
      <c r="C1042">
        <v>2003.369995</v>
      </c>
      <c r="I1042" s="30"/>
    </row>
    <row r="1043" spans="1:9">
      <c r="A1043">
        <f t="shared" si="84"/>
        <v>1042</v>
      </c>
      <c r="B1043" s="30">
        <v>41883</v>
      </c>
      <c r="C1043">
        <v>1972.290039</v>
      </c>
      <c r="I1043" s="30"/>
    </row>
    <row r="1044" spans="1:9">
      <c r="A1044">
        <f t="shared" si="84"/>
        <v>1043</v>
      </c>
      <c r="B1044" s="30">
        <v>41913</v>
      </c>
      <c r="C1044">
        <v>2018.0500489999999</v>
      </c>
      <c r="I1044" s="30"/>
    </row>
    <row r="1045" spans="1:9">
      <c r="A1045">
        <f t="shared" si="84"/>
        <v>1044</v>
      </c>
      <c r="B1045" s="30">
        <v>41944</v>
      </c>
      <c r="C1045">
        <v>2067.5600589999999</v>
      </c>
      <c r="I1045" s="30"/>
    </row>
    <row r="1046" spans="1:9">
      <c r="A1046">
        <f t="shared" si="84"/>
        <v>1045</v>
      </c>
      <c r="B1046" s="30">
        <v>41974</v>
      </c>
      <c r="C1046">
        <v>2058.8999020000001</v>
      </c>
      <c r="I1046" s="30"/>
    </row>
    <row r="1047" spans="1:9">
      <c r="A1047">
        <f t="shared" si="84"/>
        <v>1046</v>
      </c>
      <c r="B1047" s="30">
        <v>42005</v>
      </c>
      <c r="C1047">
        <v>1994.98999</v>
      </c>
      <c r="I1047" s="30"/>
    </row>
    <row r="1048" spans="1:9">
      <c r="A1048">
        <f t="shared" si="84"/>
        <v>1047</v>
      </c>
      <c r="B1048" s="30">
        <v>42036</v>
      </c>
      <c r="C1048">
        <v>2104.5</v>
      </c>
      <c r="I1048" s="30"/>
    </row>
    <row r="1049" spans="1:9">
      <c r="A1049">
        <f t="shared" si="84"/>
        <v>1048</v>
      </c>
      <c r="B1049" s="30">
        <v>42064</v>
      </c>
      <c r="C1049">
        <v>2067.889893</v>
      </c>
      <c r="I1049" s="30"/>
    </row>
    <row r="1050" spans="1:9">
      <c r="A1050">
        <f t="shared" si="84"/>
        <v>1049</v>
      </c>
      <c r="B1050" s="30">
        <v>42095</v>
      </c>
      <c r="C1050">
        <v>2085.51001</v>
      </c>
      <c r="I1050" s="30"/>
    </row>
    <row r="1051" spans="1:9">
      <c r="A1051">
        <f t="shared" si="84"/>
        <v>1050</v>
      </c>
      <c r="B1051" s="30">
        <v>42125</v>
      </c>
      <c r="C1051">
        <v>2107.389893</v>
      </c>
      <c r="I1051" s="30"/>
    </row>
    <row r="1052" spans="1:9">
      <c r="A1052">
        <f t="shared" si="84"/>
        <v>1051</v>
      </c>
      <c r="B1052" s="30">
        <v>42156</v>
      </c>
      <c r="C1052">
        <v>2063.110107</v>
      </c>
      <c r="I1052" s="30"/>
    </row>
    <row r="1053" spans="1:9">
      <c r="A1053">
        <f t="shared" si="84"/>
        <v>1052</v>
      </c>
      <c r="B1053" s="30">
        <v>42186</v>
      </c>
      <c r="C1053">
        <v>2103.8400879999999</v>
      </c>
      <c r="I1053" s="30"/>
    </row>
    <row r="1054" spans="1:9">
      <c r="A1054">
        <f t="shared" si="84"/>
        <v>1053</v>
      </c>
      <c r="B1054" s="30">
        <v>42217</v>
      </c>
      <c r="C1054">
        <v>1972.1800539999999</v>
      </c>
      <c r="I1054" s="30"/>
    </row>
    <row r="1055" spans="1:9">
      <c r="A1055">
        <f t="shared" si="84"/>
        <v>1054</v>
      </c>
      <c r="B1055" s="30">
        <v>42248</v>
      </c>
      <c r="C1055">
        <v>1920.030029</v>
      </c>
      <c r="I1055" s="30"/>
    </row>
    <row r="1056" spans="1:9">
      <c r="A1056">
        <f t="shared" si="84"/>
        <v>1055</v>
      </c>
      <c r="B1056" s="30">
        <v>42278</v>
      </c>
      <c r="C1056">
        <v>2079.360107</v>
      </c>
      <c r="I1056" s="30"/>
    </row>
    <row r="1057" spans="1:9">
      <c r="A1057">
        <f t="shared" si="84"/>
        <v>1056</v>
      </c>
      <c r="B1057" s="30">
        <v>42309</v>
      </c>
      <c r="C1057">
        <v>2080.4099120000001</v>
      </c>
      <c r="I1057" s="30"/>
    </row>
    <row r="1058" spans="1:9">
      <c r="A1058">
        <f t="shared" si="84"/>
        <v>1057</v>
      </c>
      <c r="B1058" s="30">
        <v>42339</v>
      </c>
      <c r="C1058">
        <v>2043.9399410000001</v>
      </c>
      <c r="I1058" s="30"/>
    </row>
    <row r="1059" spans="1:9">
      <c r="A1059">
        <f t="shared" si="84"/>
        <v>1058</v>
      </c>
      <c r="B1059" s="30">
        <v>42370</v>
      </c>
      <c r="C1059">
        <v>1940.23999</v>
      </c>
      <c r="I1059" s="30"/>
    </row>
    <row r="1060" spans="1:9">
      <c r="A1060">
        <f t="shared" si="84"/>
        <v>1059</v>
      </c>
      <c r="B1060" s="30">
        <v>42401</v>
      </c>
      <c r="C1060">
        <v>1932.2299800000001</v>
      </c>
      <c r="I1060" s="30"/>
    </row>
    <row r="1061" spans="1:9">
      <c r="A1061">
        <f t="shared" si="84"/>
        <v>1060</v>
      </c>
      <c r="B1061" s="30">
        <v>42430</v>
      </c>
      <c r="C1061">
        <v>2059.73999</v>
      </c>
      <c r="I1061" s="30"/>
    </row>
    <row r="1062" spans="1:9">
      <c r="A1062">
        <f t="shared" si="84"/>
        <v>1061</v>
      </c>
      <c r="B1062" s="30">
        <v>42461</v>
      </c>
      <c r="C1062">
        <v>2065.3000489999999</v>
      </c>
      <c r="I1062" s="30"/>
    </row>
    <row r="1063" spans="1:9">
      <c r="A1063">
        <f t="shared" si="84"/>
        <v>1062</v>
      </c>
      <c r="B1063" s="30">
        <v>42491</v>
      </c>
      <c r="C1063">
        <v>2096.9499510000001</v>
      </c>
      <c r="I1063" s="30"/>
    </row>
    <row r="1064" spans="1:9">
      <c r="A1064">
        <f t="shared" si="84"/>
        <v>1063</v>
      </c>
      <c r="B1064" s="30">
        <v>42522</v>
      </c>
      <c r="C1064">
        <v>2098.860107</v>
      </c>
      <c r="I1064" s="30"/>
    </row>
    <row r="1065" spans="1:9">
      <c r="A1065">
        <f t="shared" si="84"/>
        <v>1064</v>
      </c>
      <c r="B1065" s="30">
        <v>42552</v>
      </c>
      <c r="C1065">
        <v>2173.6000979999999</v>
      </c>
      <c r="I1065" s="30"/>
    </row>
    <row r="1066" spans="1:9">
      <c r="A1066">
        <f t="shared" si="84"/>
        <v>1065</v>
      </c>
      <c r="B1066" s="30">
        <v>42583</v>
      </c>
      <c r="C1066">
        <v>2170.9499510000001</v>
      </c>
      <c r="I1066" s="30"/>
    </row>
    <row r="1067" spans="1:9">
      <c r="A1067">
        <f t="shared" si="84"/>
        <v>1066</v>
      </c>
      <c r="B1067" s="30">
        <v>42614</v>
      </c>
      <c r="C1067">
        <v>2168.2700199999999</v>
      </c>
      <c r="I1067" s="30"/>
    </row>
    <row r="1068" spans="1:9">
      <c r="A1068">
        <f t="shared" si="84"/>
        <v>1067</v>
      </c>
      <c r="B1068" s="30">
        <v>42644</v>
      </c>
      <c r="C1068">
        <v>2126.1499020000001</v>
      </c>
      <c r="I1068" s="30"/>
    </row>
    <row r="1069" spans="1:9">
      <c r="A1069">
        <f t="shared" si="84"/>
        <v>1068</v>
      </c>
      <c r="B1069" s="30">
        <v>42675</v>
      </c>
      <c r="C1069">
        <v>2198.8100589999999</v>
      </c>
      <c r="I1069" s="30"/>
    </row>
    <row r="1070" spans="1:9">
      <c r="A1070">
        <f t="shared" si="84"/>
        <v>1069</v>
      </c>
      <c r="B1070" s="30">
        <v>42705</v>
      </c>
      <c r="C1070">
        <v>2238.830078</v>
      </c>
      <c r="I1070" s="30"/>
    </row>
    <row r="1071" spans="1:9">
      <c r="A1071">
        <f t="shared" si="84"/>
        <v>1070</v>
      </c>
      <c r="B1071" s="30">
        <v>42736</v>
      </c>
      <c r="C1071">
        <v>2278.8701169999999</v>
      </c>
      <c r="I1071" s="30"/>
    </row>
    <row r="1072" spans="1:9">
      <c r="A1072">
        <f t="shared" si="84"/>
        <v>1071</v>
      </c>
      <c r="B1072" s="30">
        <v>42767</v>
      </c>
      <c r="C1072">
        <v>2363.639893</v>
      </c>
      <c r="I1072" s="30"/>
    </row>
    <row r="1073" spans="1:9">
      <c r="A1073">
        <f t="shared" si="84"/>
        <v>1072</v>
      </c>
      <c r="B1073" s="30">
        <v>42795</v>
      </c>
      <c r="C1073">
        <v>2362.719971</v>
      </c>
      <c r="I1073" s="30"/>
    </row>
    <row r="1074" spans="1:9">
      <c r="A1074">
        <f t="shared" si="84"/>
        <v>1073</v>
      </c>
      <c r="B1074" s="30">
        <v>42826</v>
      </c>
      <c r="C1074">
        <v>2384.1999510000001</v>
      </c>
      <c r="I1074" s="30"/>
    </row>
    <row r="1075" spans="1:9">
      <c r="A1075">
        <f t="shared" si="84"/>
        <v>1074</v>
      </c>
      <c r="B1075" s="30">
        <v>42856</v>
      </c>
      <c r="C1075">
        <v>2411.8000489999999</v>
      </c>
      <c r="I1075" s="30"/>
    </row>
    <row r="1076" spans="1:9">
      <c r="A1076">
        <f t="shared" si="84"/>
        <v>1075</v>
      </c>
      <c r="B1076" s="30">
        <v>42887</v>
      </c>
      <c r="C1076">
        <v>2423.4099120000001</v>
      </c>
      <c r="I1076" s="30"/>
    </row>
    <row r="1077" spans="1:9">
      <c r="A1077">
        <f t="shared" si="84"/>
        <v>1076</v>
      </c>
      <c r="B1077" s="30">
        <v>42917</v>
      </c>
      <c r="C1077">
        <v>2470.3000489999999</v>
      </c>
      <c r="I1077" s="30"/>
    </row>
    <row r="1078" spans="1:9">
      <c r="A1078">
        <f t="shared" si="84"/>
        <v>1077</v>
      </c>
      <c r="B1078" s="30">
        <v>42948</v>
      </c>
      <c r="C1078">
        <v>2471.6499020000001</v>
      </c>
      <c r="I1078" s="30"/>
    </row>
    <row r="1079" spans="1:9">
      <c r="A1079">
        <f t="shared" si="84"/>
        <v>1078</v>
      </c>
      <c r="B1079" s="30">
        <v>42979</v>
      </c>
      <c r="C1079">
        <v>2519.360107</v>
      </c>
      <c r="I1079" s="30"/>
    </row>
    <row r="1080" spans="1:9">
      <c r="A1080">
        <f t="shared" si="84"/>
        <v>1079</v>
      </c>
      <c r="B1080" s="30">
        <v>43009</v>
      </c>
      <c r="C1080">
        <v>2575.26001</v>
      </c>
      <c r="I1080" s="30"/>
    </row>
    <row r="1081" spans="1:9">
      <c r="A1081">
        <f t="shared" si="84"/>
        <v>1080</v>
      </c>
      <c r="B1081" s="30">
        <v>43040</v>
      </c>
      <c r="C1081">
        <v>2584.8400879999999</v>
      </c>
      <c r="I1081" s="30"/>
    </row>
    <row r="1082" spans="1:9">
      <c r="A1082">
        <f t="shared" si="84"/>
        <v>1081</v>
      </c>
      <c r="B1082" s="30">
        <v>43070</v>
      </c>
      <c r="C1082">
        <v>2673.610107</v>
      </c>
      <c r="I1082" s="30"/>
    </row>
    <row r="1083" spans="1:9">
      <c r="A1083">
        <f t="shared" si="84"/>
        <v>1082</v>
      </c>
      <c r="B1083" s="30">
        <v>43101</v>
      </c>
      <c r="C1083">
        <v>2823.8100589999999</v>
      </c>
      <c r="I1083" s="30"/>
    </row>
    <row r="1084" spans="1:9">
      <c r="A1084">
        <f t="shared" si="84"/>
        <v>1083</v>
      </c>
      <c r="B1084" s="30">
        <v>43132</v>
      </c>
      <c r="C1084">
        <v>2713.830078</v>
      </c>
      <c r="I1084" s="30"/>
    </row>
    <row r="1085" spans="1:9">
      <c r="A1085">
        <f t="shared" si="84"/>
        <v>1084</v>
      </c>
      <c r="B1085" s="30">
        <v>43160</v>
      </c>
      <c r="C1085">
        <v>2640.8701169999999</v>
      </c>
      <c r="I1085" s="30"/>
    </row>
    <row r="1086" spans="1:9">
      <c r="A1086">
        <f t="shared" si="84"/>
        <v>1085</v>
      </c>
      <c r="B1086" s="30">
        <v>43191</v>
      </c>
      <c r="C1086">
        <v>2648.0500489999999</v>
      </c>
      <c r="I1086" s="30"/>
    </row>
    <row r="1087" spans="1:9">
      <c r="A1087">
        <f t="shared" si="84"/>
        <v>1086</v>
      </c>
      <c r="B1087" s="30">
        <v>43221</v>
      </c>
      <c r="C1087">
        <v>2705.2700199999999</v>
      </c>
      <c r="I1087" s="30"/>
    </row>
    <row r="1088" spans="1:9">
      <c r="A1088">
        <f t="shared" si="84"/>
        <v>1087</v>
      </c>
      <c r="B1088" s="30">
        <v>43252</v>
      </c>
      <c r="C1088">
        <v>2718.3701169999999</v>
      </c>
      <c r="I1088" s="30"/>
    </row>
    <row r="1089" spans="1:9">
      <c r="A1089">
        <f t="shared" si="84"/>
        <v>1088</v>
      </c>
      <c r="B1089" s="30">
        <v>43282</v>
      </c>
      <c r="C1089">
        <v>2816.290039</v>
      </c>
      <c r="I1089" s="30"/>
    </row>
    <row r="1090" spans="1:9">
      <c r="A1090">
        <f t="shared" si="84"/>
        <v>1089</v>
      </c>
      <c r="B1090" s="30">
        <v>43313</v>
      </c>
      <c r="C1090">
        <v>2901.5200199999999</v>
      </c>
      <c r="I1090" s="30"/>
    </row>
    <row r="1091" spans="1:9">
      <c r="A1091">
        <f t="shared" si="84"/>
        <v>1090</v>
      </c>
      <c r="B1091" s="30">
        <v>43344</v>
      </c>
      <c r="C1091">
        <v>2913.9799800000001</v>
      </c>
      <c r="I1091" s="30"/>
    </row>
    <row r="1092" spans="1:9">
      <c r="A1092">
        <f t="shared" ref="A1092:A1120" si="85">A1091+1</f>
        <v>1091</v>
      </c>
      <c r="B1092" s="30">
        <v>43374</v>
      </c>
      <c r="C1092">
        <v>2711.73999</v>
      </c>
      <c r="I1092" s="30"/>
    </row>
    <row r="1093" spans="1:9">
      <c r="A1093">
        <f t="shared" si="85"/>
        <v>1092</v>
      </c>
      <c r="B1093" s="30">
        <v>43405</v>
      </c>
      <c r="C1093">
        <v>2760.169922</v>
      </c>
      <c r="I1093" s="30"/>
    </row>
    <row r="1094" spans="1:9">
      <c r="A1094">
        <f t="shared" si="85"/>
        <v>1093</v>
      </c>
      <c r="B1094" s="30">
        <v>43435</v>
      </c>
      <c r="C1094">
        <v>2506.8500979999999</v>
      </c>
      <c r="I1094" s="30"/>
    </row>
    <row r="1095" spans="1:9">
      <c r="A1095">
        <f t="shared" si="85"/>
        <v>1094</v>
      </c>
      <c r="B1095" s="30">
        <v>43466</v>
      </c>
      <c r="C1095">
        <v>2704.1000979999999</v>
      </c>
      <c r="I1095" s="30"/>
    </row>
    <row r="1096" spans="1:9">
      <c r="A1096">
        <f t="shared" si="85"/>
        <v>1095</v>
      </c>
      <c r="B1096" s="30">
        <v>43497</v>
      </c>
      <c r="C1096">
        <v>2784.48999</v>
      </c>
      <c r="I1096" s="30"/>
    </row>
    <row r="1097" spans="1:9">
      <c r="A1097">
        <f t="shared" si="85"/>
        <v>1096</v>
      </c>
      <c r="B1097" s="30">
        <v>43525</v>
      </c>
      <c r="C1097">
        <v>2834.3999020000001</v>
      </c>
      <c r="I1097" s="30"/>
    </row>
    <row r="1098" spans="1:9">
      <c r="A1098">
        <f t="shared" si="85"/>
        <v>1097</v>
      </c>
      <c r="B1098" s="30">
        <v>43556</v>
      </c>
      <c r="C1098">
        <v>2945.830078</v>
      </c>
      <c r="I1098" s="30"/>
    </row>
    <row r="1099" spans="1:9">
      <c r="A1099">
        <f t="shared" si="85"/>
        <v>1098</v>
      </c>
      <c r="B1099" s="30">
        <v>43586</v>
      </c>
      <c r="C1099">
        <v>2752.0600589999999</v>
      </c>
      <c r="I1099" s="30"/>
    </row>
    <row r="1100" spans="1:9">
      <c r="A1100">
        <f t="shared" si="85"/>
        <v>1099</v>
      </c>
      <c r="B1100" s="30">
        <v>43617</v>
      </c>
      <c r="C1100">
        <v>2941.76001</v>
      </c>
      <c r="I1100" s="30"/>
    </row>
    <row r="1101" spans="1:9">
      <c r="A1101">
        <f t="shared" si="85"/>
        <v>1100</v>
      </c>
      <c r="B1101" s="30">
        <v>43647</v>
      </c>
      <c r="C1101">
        <v>2980.3798830000001</v>
      </c>
      <c r="I1101" s="30"/>
    </row>
    <row r="1102" spans="1:9">
      <c r="A1102">
        <f t="shared" si="85"/>
        <v>1101</v>
      </c>
      <c r="B1102" s="30">
        <v>43678</v>
      </c>
      <c r="C1102">
        <v>2926.459961</v>
      </c>
      <c r="I1102" s="30"/>
    </row>
    <row r="1103" spans="1:9">
      <c r="A1103">
        <f t="shared" si="85"/>
        <v>1102</v>
      </c>
      <c r="B1103" s="30">
        <v>43709</v>
      </c>
      <c r="C1103">
        <v>2976.73999</v>
      </c>
      <c r="I1103" s="30"/>
    </row>
    <row r="1104" spans="1:9">
      <c r="A1104">
        <f t="shared" si="85"/>
        <v>1103</v>
      </c>
      <c r="B1104" s="30">
        <v>43739</v>
      </c>
      <c r="C1104">
        <v>3037.5600589999999</v>
      </c>
      <c r="I1104" s="30"/>
    </row>
    <row r="1105" spans="1:9">
      <c r="A1105">
        <f t="shared" si="85"/>
        <v>1104</v>
      </c>
      <c r="B1105" s="30">
        <v>43770</v>
      </c>
      <c r="C1105">
        <v>3140.9799800000001</v>
      </c>
      <c r="I1105" s="30"/>
    </row>
    <row r="1106" spans="1:9">
      <c r="A1106">
        <f t="shared" si="85"/>
        <v>1105</v>
      </c>
      <c r="B1106" s="30">
        <v>43800</v>
      </c>
      <c r="C1106">
        <v>3230.780029</v>
      </c>
      <c r="I1106" s="30"/>
    </row>
    <row r="1107" spans="1:9">
      <c r="A1107">
        <f t="shared" si="85"/>
        <v>1106</v>
      </c>
      <c r="B1107" s="30">
        <v>43831</v>
      </c>
      <c r="C1107">
        <v>3225.5200199999999</v>
      </c>
      <c r="I1107" s="30"/>
    </row>
    <row r="1108" spans="1:9">
      <c r="A1108">
        <f t="shared" si="85"/>
        <v>1107</v>
      </c>
      <c r="B1108" s="30">
        <v>43862</v>
      </c>
      <c r="C1108">
        <v>2954.219971</v>
      </c>
      <c r="I1108" s="30"/>
    </row>
    <row r="1109" spans="1:9">
      <c r="A1109">
        <f t="shared" si="85"/>
        <v>1108</v>
      </c>
      <c r="B1109" s="30">
        <v>43891</v>
      </c>
      <c r="C1109">
        <v>2584.5900879999999</v>
      </c>
      <c r="I1109" s="30"/>
    </row>
    <row r="1110" spans="1:9">
      <c r="A1110">
        <f t="shared" si="85"/>
        <v>1109</v>
      </c>
      <c r="B1110" s="30">
        <v>43922</v>
      </c>
      <c r="C1110">
        <v>2912.429932</v>
      </c>
      <c r="I1110" s="30"/>
    </row>
    <row r="1111" spans="1:9">
      <c r="A1111">
        <f t="shared" si="85"/>
        <v>1110</v>
      </c>
      <c r="B1111" s="30">
        <v>43952</v>
      </c>
      <c r="C1111">
        <v>3044.3100589999999</v>
      </c>
      <c r="I1111" s="30"/>
    </row>
    <row r="1112" spans="1:9">
      <c r="A1112">
        <f t="shared" si="85"/>
        <v>1111</v>
      </c>
      <c r="B1112" s="30">
        <v>43983</v>
      </c>
      <c r="C1112">
        <v>3100.290039</v>
      </c>
      <c r="I1112" s="30"/>
    </row>
    <row r="1113" spans="1:9">
      <c r="A1113">
        <f t="shared" si="85"/>
        <v>1112</v>
      </c>
      <c r="B1113" s="30">
        <v>44013</v>
      </c>
      <c r="C1113">
        <v>3271.1201169999999</v>
      </c>
      <c r="I1113" s="30"/>
    </row>
    <row r="1114" spans="1:9">
      <c r="A1114">
        <f t="shared" si="85"/>
        <v>1113</v>
      </c>
      <c r="B1114" s="30">
        <v>44044</v>
      </c>
      <c r="C1114">
        <v>3500.3100589999999</v>
      </c>
      <c r="I1114" s="30"/>
    </row>
    <row r="1115" spans="1:9">
      <c r="A1115">
        <f t="shared" si="85"/>
        <v>1114</v>
      </c>
      <c r="B1115" s="30">
        <v>44075</v>
      </c>
      <c r="C1115">
        <v>3363</v>
      </c>
      <c r="I1115" s="30"/>
    </row>
    <row r="1116" spans="1:9">
      <c r="A1116">
        <f t="shared" si="85"/>
        <v>1115</v>
      </c>
      <c r="B1116" s="30">
        <v>44105</v>
      </c>
      <c r="C1116">
        <v>3269.959961</v>
      </c>
      <c r="I1116" s="30"/>
    </row>
    <row r="1117" spans="1:9">
      <c r="A1117">
        <f t="shared" si="85"/>
        <v>1116</v>
      </c>
      <c r="B1117" s="30">
        <v>44136</v>
      </c>
      <c r="C1117">
        <v>3621.6298830000001</v>
      </c>
      <c r="I1117" s="30"/>
    </row>
    <row r="1118" spans="1:9">
      <c r="A1118">
        <f t="shared" si="85"/>
        <v>1117</v>
      </c>
      <c r="B1118" s="30">
        <v>44166</v>
      </c>
      <c r="C1118">
        <v>3756.070068</v>
      </c>
      <c r="I1118" s="30"/>
    </row>
    <row r="1119" spans="1:9">
      <c r="A1119">
        <f t="shared" si="85"/>
        <v>1118</v>
      </c>
      <c r="B1119" s="30">
        <v>44197</v>
      </c>
      <c r="C1119">
        <v>3853.070068</v>
      </c>
      <c r="I1119" s="30"/>
    </row>
    <row r="1120" spans="1:9">
      <c r="A1120">
        <f t="shared" si="85"/>
        <v>1119</v>
      </c>
      <c r="B1120" s="30">
        <v>44217</v>
      </c>
      <c r="C1120">
        <v>3853.070068</v>
      </c>
      <c r="I1120" s="30"/>
    </row>
  </sheetData>
  <autoFilter ref="B1:B1120" xr:uid="{4A1254E6-F1E1-41E2-92D6-3908AB7BE050}"/>
  <conditionalFormatting sqref="D2:D1119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2D7AD-A419-4703-9D4B-30CFA0428F62}">
  <sheetPr codeName="Sheet20"/>
  <dimension ref="A1:P426"/>
  <sheetViews>
    <sheetView workbookViewId="0">
      <selection activeCell="N1" sqref="N1:P1048576"/>
    </sheetView>
  </sheetViews>
  <sheetFormatPr defaultColWidth="8.69140625" defaultRowHeight="14.6"/>
  <cols>
    <col min="2" max="2" width="9.69140625" bestFit="1" customWidth="1"/>
    <col min="5" max="5" width="11.3828125" bestFit="1" customWidth="1"/>
    <col min="6" max="7" width="9.69140625" bestFit="1" customWidth="1"/>
    <col min="10" max="10" width="10.3046875" bestFit="1" customWidth="1"/>
  </cols>
  <sheetData>
    <row r="1" spans="1:16">
      <c r="A1" t="s">
        <v>102</v>
      </c>
      <c r="B1" t="s">
        <v>103</v>
      </c>
      <c r="C1" t="s">
        <v>104</v>
      </c>
      <c r="E1" t="s">
        <v>105</v>
      </c>
      <c r="F1" t="s">
        <v>102</v>
      </c>
      <c r="G1" t="s">
        <v>103</v>
      </c>
      <c r="H1" t="s">
        <v>104</v>
      </c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1:16">
      <c r="A2">
        <v>1</v>
      </c>
      <c r="B2" s="30">
        <v>31321</v>
      </c>
      <c r="C2">
        <v>115.480003</v>
      </c>
      <c r="E2">
        <v>10</v>
      </c>
      <c r="F2" s="43">
        <f>F3-12</f>
        <v>305</v>
      </c>
      <c r="G2" s="30">
        <f t="shared" ref="G2:G12" si="0">VLOOKUP(F2,A:C,2,FALSE)</f>
        <v>40575</v>
      </c>
      <c r="H2">
        <f t="shared" ref="H2:H12" si="1">VLOOKUP(F2,A:C,3,FALSE)</f>
        <v>2350.98999</v>
      </c>
      <c r="I2" s="30"/>
      <c r="J2">
        <v>1</v>
      </c>
      <c r="K2">
        <f t="shared" ref="K2:K12" si="2">H2</f>
        <v>2350.98999</v>
      </c>
      <c r="L2" s="59">
        <f t="shared" ref="L2:L7" si="3">(K3-K2)/K2</f>
        <v>0.11574277608897852</v>
      </c>
      <c r="N2">
        <v>1</v>
      </c>
      <c r="O2">
        <f>K2</f>
        <v>2350.98999</v>
      </c>
      <c r="P2">
        <f>0</f>
        <v>0</v>
      </c>
    </row>
    <row r="3" spans="1:16">
      <c r="A3">
        <f>A2+1</f>
        <v>2</v>
      </c>
      <c r="B3" s="30">
        <v>31352</v>
      </c>
      <c r="C3">
        <v>126.05999799999999</v>
      </c>
      <c r="E3">
        <v>9</v>
      </c>
      <c r="F3" s="43">
        <f>F4-12</f>
        <v>317</v>
      </c>
      <c r="G3" s="30">
        <f t="shared" si="0"/>
        <v>40940</v>
      </c>
      <c r="H3">
        <f t="shared" si="1"/>
        <v>2623.1000979999999</v>
      </c>
      <c r="I3" s="30"/>
      <c r="J3">
        <v>2</v>
      </c>
      <c r="K3">
        <f t="shared" si="2"/>
        <v>2623.1000979999999</v>
      </c>
      <c r="L3" s="59">
        <f t="shared" si="3"/>
        <v>4.4024236851673539E-2</v>
      </c>
      <c r="N3">
        <v>2</v>
      </c>
      <c r="O3">
        <f t="shared" ref="O3:O66" si="4">K3</f>
        <v>2623.1000979999999</v>
      </c>
      <c r="P3">
        <f>(O4-O2)/O2</f>
        <v>0.16486250032906347</v>
      </c>
    </row>
    <row r="4" spans="1:16">
      <c r="A4">
        <f t="shared" ref="A4:A67" si="5">A3+1</f>
        <v>3</v>
      </c>
      <c r="B4" s="30">
        <v>31382</v>
      </c>
      <c r="C4">
        <v>132.29499799999999</v>
      </c>
      <c r="E4">
        <v>8</v>
      </c>
      <c r="F4" s="43">
        <f>F5-12</f>
        <v>329</v>
      </c>
      <c r="G4" s="30">
        <f t="shared" si="0"/>
        <v>41306</v>
      </c>
      <c r="H4">
        <f>VLOOKUP(F4,A:C,3,FALSE)</f>
        <v>2738.580078</v>
      </c>
      <c r="I4" s="30"/>
      <c r="J4">
        <v>3</v>
      </c>
      <c r="K4">
        <f t="shared" si="2"/>
        <v>2738.580078</v>
      </c>
      <c r="L4" s="59">
        <f t="shared" si="3"/>
        <v>0.34964105219785357</v>
      </c>
      <c r="N4">
        <v>3</v>
      </c>
      <c r="O4">
        <f t="shared" si="4"/>
        <v>2738.580078</v>
      </c>
      <c r="P4">
        <f>0</f>
        <v>0</v>
      </c>
    </row>
    <row r="5" spans="1:16">
      <c r="A5">
        <f t="shared" si="5"/>
        <v>4</v>
      </c>
      <c r="B5" s="30">
        <v>31413</v>
      </c>
      <c r="C5">
        <v>132.925003</v>
      </c>
      <c r="E5">
        <v>7</v>
      </c>
      <c r="F5" s="43">
        <f t="shared" ref="F5:F10" si="6">F6-12</f>
        <v>341</v>
      </c>
      <c r="G5" s="30">
        <f t="shared" si="0"/>
        <v>41671</v>
      </c>
      <c r="H5">
        <f t="shared" si="1"/>
        <v>3696.1000979999999</v>
      </c>
      <c r="I5" s="30"/>
      <c r="J5">
        <v>4</v>
      </c>
      <c r="K5">
        <f t="shared" si="2"/>
        <v>3696.1000979999999</v>
      </c>
      <c r="L5" s="59">
        <f t="shared" si="3"/>
        <v>0.20144741870029306</v>
      </c>
      <c r="N5">
        <v>4</v>
      </c>
      <c r="O5">
        <f t="shared" si="4"/>
        <v>3696.1000979999999</v>
      </c>
      <c r="P5">
        <f>(O6-O4)/O4</f>
        <v>0.62152275833505866</v>
      </c>
    </row>
    <row r="6" spans="1:16">
      <c r="A6">
        <f t="shared" si="5"/>
        <v>5</v>
      </c>
      <c r="B6" s="30">
        <v>31444</v>
      </c>
      <c r="C6">
        <v>140.425003</v>
      </c>
      <c r="E6">
        <v>6</v>
      </c>
      <c r="F6" s="43">
        <f t="shared" si="6"/>
        <v>353</v>
      </c>
      <c r="G6" s="30">
        <f t="shared" si="0"/>
        <v>42036</v>
      </c>
      <c r="H6">
        <f t="shared" si="1"/>
        <v>4440.669922</v>
      </c>
      <c r="I6" s="30"/>
      <c r="J6">
        <v>5</v>
      </c>
      <c r="K6">
        <f t="shared" si="2"/>
        <v>4440.669922</v>
      </c>
      <c r="L6" s="59">
        <f t="shared" si="3"/>
        <v>-5.3944519454873288E-2</v>
      </c>
      <c r="N6">
        <v>5</v>
      </c>
      <c r="O6">
        <f t="shared" si="4"/>
        <v>4440.669922</v>
      </c>
      <c r="P6">
        <f>0</f>
        <v>0</v>
      </c>
    </row>
    <row r="7" spans="1:16">
      <c r="A7">
        <f t="shared" si="5"/>
        <v>6</v>
      </c>
      <c r="B7" s="30">
        <v>31472</v>
      </c>
      <c r="C7">
        <v>148.86000100000001</v>
      </c>
      <c r="E7">
        <v>5</v>
      </c>
      <c r="F7" s="43">
        <f t="shared" si="6"/>
        <v>365</v>
      </c>
      <c r="G7" s="30">
        <f t="shared" si="0"/>
        <v>42401</v>
      </c>
      <c r="H7">
        <f t="shared" si="1"/>
        <v>4201.1201170000004</v>
      </c>
      <c r="I7" s="30"/>
      <c r="J7">
        <v>6</v>
      </c>
      <c r="K7">
        <f t="shared" si="2"/>
        <v>4201.1201170000004</v>
      </c>
      <c r="L7" s="59">
        <f t="shared" si="3"/>
        <v>0.26878306512367683</v>
      </c>
      <c r="N7">
        <v>6</v>
      </c>
      <c r="O7">
        <f t="shared" si="4"/>
        <v>4201.1201170000004</v>
      </c>
      <c r="P7">
        <f t="shared" ref="P7" si="7">(O8-O6)/O6</f>
        <v>0.2003391723830989</v>
      </c>
    </row>
    <row r="8" spans="1:16">
      <c r="A8">
        <f t="shared" si="5"/>
        <v>7</v>
      </c>
      <c r="B8" s="30">
        <v>31503</v>
      </c>
      <c r="C8">
        <v>154.91000399999999</v>
      </c>
      <c r="E8">
        <v>4</v>
      </c>
      <c r="F8" s="43">
        <f t="shared" si="6"/>
        <v>377</v>
      </c>
      <c r="G8" s="30">
        <f t="shared" si="0"/>
        <v>42767</v>
      </c>
      <c r="H8">
        <f t="shared" si="1"/>
        <v>5330.3100590000004</v>
      </c>
      <c r="I8" s="30"/>
      <c r="J8">
        <v>7</v>
      </c>
      <c r="K8">
        <f t="shared" si="2"/>
        <v>5330.3100590000004</v>
      </c>
      <c r="L8" s="59">
        <f t="shared" ref="L8:L71" si="8">(K9-K8)/K8</f>
        <v>0.28593268423974799</v>
      </c>
      <c r="N8">
        <v>7</v>
      </c>
      <c r="O8">
        <f t="shared" si="4"/>
        <v>5330.3100590000004</v>
      </c>
      <c r="P8">
        <f>0</f>
        <v>0</v>
      </c>
    </row>
    <row r="9" spans="1:16">
      <c r="A9">
        <f t="shared" si="5"/>
        <v>8</v>
      </c>
      <c r="B9" s="30">
        <v>31533</v>
      </c>
      <c r="C9">
        <v>163.16000399999999</v>
      </c>
      <c r="E9">
        <v>3</v>
      </c>
      <c r="F9" s="43">
        <f t="shared" si="6"/>
        <v>389</v>
      </c>
      <c r="G9" s="30">
        <f t="shared" si="0"/>
        <v>43132</v>
      </c>
      <c r="H9">
        <f t="shared" si="1"/>
        <v>6854.419922</v>
      </c>
      <c r="I9" s="30"/>
      <c r="J9">
        <v>8</v>
      </c>
      <c r="K9">
        <f t="shared" si="2"/>
        <v>6854.419922</v>
      </c>
      <c r="L9" s="59">
        <f t="shared" si="8"/>
        <v>3.5467605686035131E-2</v>
      </c>
      <c r="N9">
        <v>8</v>
      </c>
      <c r="O9">
        <f t="shared" si="4"/>
        <v>6854.419922</v>
      </c>
      <c r="P9">
        <f t="shared" ref="P9" si="9">(O10-O8)/O8</f>
        <v>0.33154163762314809</v>
      </c>
    </row>
    <row r="10" spans="1:16">
      <c r="A10">
        <f t="shared" si="5"/>
        <v>9</v>
      </c>
      <c r="B10" s="30">
        <v>31564</v>
      </c>
      <c r="C10">
        <v>162.615005</v>
      </c>
      <c r="E10">
        <v>2</v>
      </c>
      <c r="F10" s="43">
        <f t="shared" si="6"/>
        <v>401</v>
      </c>
      <c r="G10" s="30">
        <f t="shared" si="0"/>
        <v>43497</v>
      </c>
      <c r="H10">
        <f t="shared" si="1"/>
        <v>7097.5297849999997</v>
      </c>
      <c r="J10">
        <v>9</v>
      </c>
      <c r="K10">
        <f t="shared" si="2"/>
        <v>7097.5297849999997</v>
      </c>
      <c r="L10" s="59">
        <f t="shared" si="8"/>
        <v>0.1922218482102504</v>
      </c>
      <c r="N10">
        <v>9</v>
      </c>
      <c r="O10">
        <f t="shared" si="4"/>
        <v>7097.5297849999997</v>
      </c>
      <c r="P10">
        <f>0</f>
        <v>0</v>
      </c>
    </row>
    <row r="11" spans="1:16">
      <c r="A11">
        <f t="shared" si="5"/>
        <v>10</v>
      </c>
      <c r="B11" s="30">
        <v>31594</v>
      </c>
      <c r="C11">
        <v>144.70500200000001</v>
      </c>
      <c r="E11">
        <v>1</v>
      </c>
      <c r="F11" s="43">
        <f>F12-12</f>
        <v>413</v>
      </c>
      <c r="G11" s="30">
        <f t="shared" si="0"/>
        <v>43862</v>
      </c>
      <c r="H11">
        <f t="shared" si="1"/>
        <v>8461.8300780000009</v>
      </c>
      <c r="J11">
        <v>10</v>
      </c>
      <c r="K11">
        <f t="shared" si="2"/>
        <v>8461.8300780000009</v>
      </c>
      <c r="L11" s="59">
        <f t="shared" si="8"/>
        <v>0.58417106044846767</v>
      </c>
      <c r="N11">
        <v>10</v>
      </c>
      <c r="O11">
        <f t="shared" si="4"/>
        <v>8461.8300780000009</v>
      </c>
      <c r="P11">
        <f t="shared" ref="P11" si="10">(O12-O10)/O10</f>
        <v>0.88868334956906436</v>
      </c>
    </row>
    <row r="12" spans="1:16">
      <c r="A12">
        <f t="shared" si="5"/>
        <v>11</v>
      </c>
      <c r="B12" s="30">
        <v>31625</v>
      </c>
      <c r="C12">
        <v>151.699997</v>
      </c>
      <c r="E12">
        <v>0</v>
      </c>
      <c r="F12" s="43">
        <f>MAX(A:A)</f>
        <v>425</v>
      </c>
      <c r="G12" s="30">
        <f t="shared" si="0"/>
        <v>44217</v>
      </c>
      <c r="H12">
        <f t="shared" si="1"/>
        <v>13404.986328000001</v>
      </c>
      <c r="J12">
        <v>11</v>
      </c>
      <c r="K12">
        <f t="shared" si="2"/>
        <v>13404.986328000001</v>
      </c>
      <c r="L12" s="59">
        <f t="shared" si="8"/>
        <v>-0.82461824783145721</v>
      </c>
      <c r="N12">
        <v>11</v>
      </c>
      <c r="O12">
        <f t="shared" si="4"/>
        <v>13404.986328000001</v>
      </c>
      <c r="P12">
        <f>0</f>
        <v>0</v>
      </c>
    </row>
    <row r="13" spans="1:16">
      <c r="A13">
        <f t="shared" si="5"/>
        <v>12</v>
      </c>
      <c r="B13" s="30">
        <v>31656</v>
      </c>
      <c r="C13">
        <v>137.49499499999999</v>
      </c>
      <c r="J13">
        <v>12</v>
      </c>
      <c r="K13">
        <f>K2</f>
        <v>2350.98999</v>
      </c>
      <c r="L13" s="59">
        <f t="shared" si="8"/>
        <v>0.11574277608897852</v>
      </c>
      <c r="N13">
        <v>12</v>
      </c>
      <c r="O13">
        <f t="shared" si="4"/>
        <v>2350.98999</v>
      </c>
      <c r="P13">
        <f t="shared" ref="P13" si="11">(O14-O12)/O12</f>
        <v>-0.80431907696012084</v>
      </c>
    </row>
    <row r="14" spans="1:16">
      <c r="A14">
        <f t="shared" si="5"/>
        <v>13</v>
      </c>
      <c r="B14" s="30">
        <v>31686</v>
      </c>
      <c r="C14">
        <v>144.479996</v>
      </c>
      <c r="J14">
        <v>13</v>
      </c>
      <c r="K14">
        <f t="shared" ref="K14:K77" si="12">K3</f>
        <v>2623.1000979999999</v>
      </c>
      <c r="L14" s="59">
        <f t="shared" si="8"/>
        <v>4.4024236851673539E-2</v>
      </c>
      <c r="N14">
        <v>13</v>
      </c>
      <c r="O14">
        <f t="shared" si="4"/>
        <v>2623.1000979999999</v>
      </c>
      <c r="P14">
        <f>0</f>
        <v>0</v>
      </c>
    </row>
    <row r="15" spans="1:16">
      <c r="A15">
        <f t="shared" si="5"/>
        <v>14</v>
      </c>
      <c r="B15" s="30">
        <v>31717</v>
      </c>
      <c r="C15">
        <v>147.94000199999999</v>
      </c>
      <c r="J15">
        <v>14</v>
      </c>
      <c r="K15">
        <f t="shared" si="12"/>
        <v>2738.580078</v>
      </c>
      <c r="L15" s="59">
        <f t="shared" si="8"/>
        <v>0.34964105219785357</v>
      </c>
      <c r="N15">
        <v>14</v>
      </c>
      <c r="O15">
        <f t="shared" si="4"/>
        <v>2738.580078</v>
      </c>
      <c r="P15">
        <f t="shared" ref="P15" si="13">(O16-O14)/O14</f>
        <v>0.40905796954455376</v>
      </c>
    </row>
    <row r="16" spans="1:16">
      <c r="A16">
        <f t="shared" si="5"/>
        <v>15</v>
      </c>
      <c r="B16" s="30">
        <v>31747</v>
      </c>
      <c r="C16">
        <v>141.404999</v>
      </c>
      <c r="J16">
        <v>15</v>
      </c>
      <c r="K16">
        <f t="shared" si="12"/>
        <v>3696.1000979999999</v>
      </c>
      <c r="L16" s="59">
        <f t="shared" si="8"/>
        <v>0.20144741870029306</v>
      </c>
      <c r="N16">
        <v>15</v>
      </c>
      <c r="O16">
        <f t="shared" si="4"/>
        <v>3696.1000979999999</v>
      </c>
      <c r="P16">
        <f>0</f>
        <v>0</v>
      </c>
    </row>
    <row r="17" spans="1:16">
      <c r="A17">
        <f t="shared" si="5"/>
        <v>16</v>
      </c>
      <c r="B17" s="30">
        <v>31778</v>
      </c>
      <c r="C17">
        <v>166.675003</v>
      </c>
      <c r="J17">
        <v>16</v>
      </c>
      <c r="K17">
        <f t="shared" si="12"/>
        <v>4440.669922</v>
      </c>
      <c r="L17" s="59">
        <f t="shared" si="8"/>
        <v>-5.3944519454873288E-2</v>
      </c>
      <c r="N17">
        <v>16</v>
      </c>
      <c r="O17">
        <f t="shared" si="4"/>
        <v>4440.669922</v>
      </c>
      <c r="P17">
        <f t="shared" ref="P17" si="14">(O18-O16)/O16</f>
        <v>0.1366359150482078</v>
      </c>
    </row>
    <row r="18" spans="1:16">
      <c r="A18">
        <f t="shared" si="5"/>
        <v>17</v>
      </c>
      <c r="B18" s="30">
        <v>31809</v>
      </c>
      <c r="C18">
        <v>182.75</v>
      </c>
      <c r="J18">
        <v>17</v>
      </c>
      <c r="K18">
        <f t="shared" si="12"/>
        <v>4201.1201170000004</v>
      </c>
      <c r="L18" s="59">
        <f t="shared" si="8"/>
        <v>0.26878306512367683</v>
      </c>
      <c r="N18">
        <v>17</v>
      </c>
      <c r="O18">
        <f t="shared" si="4"/>
        <v>4201.1201170000004</v>
      </c>
      <c r="P18">
        <f>0</f>
        <v>0</v>
      </c>
    </row>
    <row r="19" spans="1:16">
      <c r="A19">
        <f t="shared" si="5"/>
        <v>18</v>
      </c>
      <c r="B19" s="30">
        <v>31837</v>
      </c>
      <c r="C19">
        <v>186.03999300000001</v>
      </c>
      <c r="J19">
        <v>18</v>
      </c>
      <c r="K19">
        <f t="shared" si="12"/>
        <v>5330.3100590000004</v>
      </c>
      <c r="L19" s="59">
        <f t="shared" si="8"/>
        <v>0.28593268423974799</v>
      </c>
      <c r="N19">
        <v>18</v>
      </c>
      <c r="O19">
        <f t="shared" si="4"/>
        <v>5330.3100590000004</v>
      </c>
      <c r="P19">
        <f t="shared" ref="P19" si="15">(O20-O18)/O18</f>
        <v>0.63156961265242473</v>
      </c>
    </row>
    <row r="20" spans="1:16">
      <c r="A20">
        <f t="shared" si="5"/>
        <v>19</v>
      </c>
      <c r="B20" s="30">
        <v>31868</v>
      </c>
      <c r="C20">
        <v>184.83000200000001</v>
      </c>
      <c r="J20">
        <v>19</v>
      </c>
      <c r="K20">
        <f t="shared" si="12"/>
        <v>6854.419922</v>
      </c>
      <c r="L20" s="59">
        <f t="shared" si="8"/>
        <v>3.5467605686035131E-2</v>
      </c>
      <c r="N20">
        <v>19</v>
      </c>
      <c r="O20">
        <f t="shared" si="4"/>
        <v>6854.419922</v>
      </c>
      <c r="P20">
        <f>0</f>
        <v>0</v>
      </c>
    </row>
    <row r="21" spans="1:16">
      <c r="A21">
        <f t="shared" si="5"/>
        <v>20</v>
      </c>
      <c r="B21" s="30">
        <v>31898</v>
      </c>
      <c r="C21">
        <v>188.770004</v>
      </c>
      <c r="J21">
        <v>20</v>
      </c>
      <c r="K21">
        <f t="shared" si="12"/>
        <v>7097.5297849999997</v>
      </c>
      <c r="L21" s="59">
        <f t="shared" si="8"/>
        <v>0.1922218482102504</v>
      </c>
      <c r="N21">
        <v>20</v>
      </c>
      <c r="O21">
        <f t="shared" si="4"/>
        <v>7097.5297849999997</v>
      </c>
      <c r="P21">
        <f t="shared" ref="P21" si="16">(O22-O20)/O20</f>
        <v>0.2345071026128476</v>
      </c>
    </row>
    <row r="22" spans="1:16">
      <c r="A22">
        <f t="shared" si="5"/>
        <v>21</v>
      </c>
      <c r="B22" s="30">
        <v>31929</v>
      </c>
      <c r="C22">
        <v>189.240005</v>
      </c>
      <c r="J22">
        <v>21</v>
      </c>
      <c r="K22">
        <f t="shared" si="12"/>
        <v>8461.8300780000009</v>
      </c>
      <c r="L22" s="59">
        <f t="shared" si="8"/>
        <v>0.58417106044846767</v>
      </c>
      <c r="N22">
        <v>21</v>
      </c>
      <c r="O22">
        <f t="shared" si="4"/>
        <v>8461.8300780000009</v>
      </c>
      <c r="P22">
        <f>0</f>
        <v>0</v>
      </c>
    </row>
    <row r="23" spans="1:16">
      <c r="A23">
        <f t="shared" si="5"/>
        <v>22</v>
      </c>
      <c r="B23" s="30">
        <v>31959</v>
      </c>
      <c r="C23">
        <v>196.35000600000001</v>
      </c>
      <c r="J23">
        <v>22</v>
      </c>
      <c r="K23">
        <f t="shared" si="12"/>
        <v>13404.986328000001</v>
      </c>
      <c r="L23" s="59">
        <f t="shared" si="8"/>
        <v>-0.82461824783145721</v>
      </c>
      <c r="N23">
        <v>22</v>
      </c>
      <c r="O23">
        <f t="shared" si="4"/>
        <v>13404.986328000001</v>
      </c>
      <c r="P23">
        <f t="shared" ref="P23" si="17">(O24-O22)/O22</f>
        <v>-0.72216530368384935</v>
      </c>
    </row>
    <row r="24" spans="1:16">
      <c r="A24">
        <f t="shared" si="5"/>
        <v>23</v>
      </c>
      <c r="B24" s="30">
        <v>31990</v>
      </c>
      <c r="C24">
        <v>209.574997</v>
      </c>
      <c r="J24">
        <v>23</v>
      </c>
      <c r="K24">
        <f t="shared" si="12"/>
        <v>2350.98999</v>
      </c>
      <c r="L24" s="59">
        <f t="shared" si="8"/>
        <v>0.11574277608897852</v>
      </c>
      <c r="N24">
        <v>23</v>
      </c>
      <c r="O24">
        <f t="shared" si="4"/>
        <v>2350.98999</v>
      </c>
      <c r="P24">
        <f>0</f>
        <v>0</v>
      </c>
    </row>
    <row r="25" spans="1:16">
      <c r="A25">
        <f t="shared" si="5"/>
        <v>24</v>
      </c>
      <c r="B25" s="30">
        <v>32021</v>
      </c>
      <c r="C25">
        <v>205.50500500000001</v>
      </c>
      <c r="J25">
        <v>24</v>
      </c>
      <c r="K25">
        <f t="shared" si="12"/>
        <v>2623.1000979999999</v>
      </c>
      <c r="L25" s="59">
        <f t="shared" si="8"/>
        <v>4.4024236851673539E-2</v>
      </c>
      <c r="N25">
        <v>24</v>
      </c>
      <c r="O25">
        <f t="shared" si="4"/>
        <v>2623.1000979999999</v>
      </c>
      <c r="P25">
        <f t="shared" ref="P25" si="18">(O26-O24)/O24</f>
        <v>0.16486250032906347</v>
      </c>
    </row>
    <row r="26" spans="1:16">
      <c r="A26">
        <f t="shared" si="5"/>
        <v>25</v>
      </c>
      <c r="B26" s="30">
        <v>32051</v>
      </c>
      <c r="C26">
        <v>150.070007</v>
      </c>
      <c r="J26">
        <v>25</v>
      </c>
      <c r="K26">
        <f t="shared" si="12"/>
        <v>2738.580078</v>
      </c>
      <c r="L26" s="59">
        <f t="shared" si="8"/>
        <v>0.34964105219785357</v>
      </c>
      <c r="N26">
        <v>25</v>
      </c>
      <c r="O26">
        <f t="shared" si="4"/>
        <v>2738.580078</v>
      </c>
      <c r="P26">
        <f>0</f>
        <v>0</v>
      </c>
    </row>
    <row r="27" spans="1:16">
      <c r="A27">
        <f t="shared" si="5"/>
        <v>26</v>
      </c>
      <c r="B27" s="30">
        <v>32082</v>
      </c>
      <c r="C27">
        <v>137.125</v>
      </c>
      <c r="J27">
        <v>26</v>
      </c>
      <c r="K27">
        <f t="shared" si="12"/>
        <v>3696.1000979999999</v>
      </c>
      <c r="L27" s="59">
        <f t="shared" si="8"/>
        <v>0.20144741870029306</v>
      </c>
      <c r="N27">
        <v>26</v>
      </c>
      <c r="O27">
        <f t="shared" si="4"/>
        <v>3696.1000979999999</v>
      </c>
      <c r="P27">
        <f t="shared" ref="P27" si="19">(O28-O26)/O26</f>
        <v>0.62152275833505866</v>
      </c>
    </row>
    <row r="28" spans="1:16">
      <c r="A28">
        <f t="shared" si="5"/>
        <v>27</v>
      </c>
      <c r="B28" s="30">
        <v>32112</v>
      </c>
      <c r="C28">
        <v>156.25</v>
      </c>
      <c r="J28">
        <v>27</v>
      </c>
      <c r="K28">
        <f t="shared" si="12"/>
        <v>4440.669922</v>
      </c>
      <c r="L28" s="59">
        <f t="shared" si="8"/>
        <v>-5.3944519454873288E-2</v>
      </c>
      <c r="N28">
        <v>27</v>
      </c>
      <c r="O28">
        <f t="shared" si="4"/>
        <v>4440.669922</v>
      </c>
      <c r="P28">
        <f>0</f>
        <v>0</v>
      </c>
    </row>
    <row r="29" spans="1:16">
      <c r="A29">
        <f t="shared" si="5"/>
        <v>28</v>
      </c>
      <c r="B29" s="30">
        <v>32143</v>
      </c>
      <c r="C29">
        <v>159.13000500000001</v>
      </c>
      <c r="J29">
        <v>28</v>
      </c>
      <c r="K29">
        <f t="shared" si="12"/>
        <v>4201.1201170000004</v>
      </c>
      <c r="L29" s="59">
        <f t="shared" si="8"/>
        <v>0.26878306512367683</v>
      </c>
      <c r="N29">
        <v>28</v>
      </c>
      <c r="O29">
        <f t="shared" si="4"/>
        <v>4201.1201170000004</v>
      </c>
      <c r="P29">
        <f t="shared" ref="P29" si="20">(O30-O28)/O28</f>
        <v>0.2003391723830989</v>
      </c>
    </row>
    <row r="30" spans="1:16">
      <c r="A30">
        <f t="shared" si="5"/>
        <v>29</v>
      </c>
      <c r="B30" s="30">
        <v>32174</v>
      </c>
      <c r="C30">
        <v>172.63999899999999</v>
      </c>
      <c r="J30">
        <v>29</v>
      </c>
      <c r="K30">
        <f t="shared" si="12"/>
        <v>5330.3100590000004</v>
      </c>
      <c r="L30" s="59">
        <f t="shared" si="8"/>
        <v>0.28593268423974799</v>
      </c>
      <c r="N30">
        <v>29</v>
      </c>
      <c r="O30">
        <f t="shared" si="4"/>
        <v>5330.3100590000004</v>
      </c>
      <c r="P30">
        <f>0</f>
        <v>0</v>
      </c>
    </row>
    <row r="31" spans="1:16">
      <c r="A31">
        <f t="shared" si="5"/>
        <v>30</v>
      </c>
      <c r="B31" s="30">
        <v>32203</v>
      </c>
      <c r="C31">
        <v>173.259995</v>
      </c>
      <c r="J31">
        <v>30</v>
      </c>
      <c r="K31">
        <f t="shared" si="12"/>
        <v>6854.419922</v>
      </c>
      <c r="L31" s="59">
        <f t="shared" si="8"/>
        <v>3.5467605686035131E-2</v>
      </c>
      <c r="N31">
        <v>30</v>
      </c>
      <c r="O31">
        <f t="shared" si="4"/>
        <v>6854.419922</v>
      </c>
      <c r="P31">
        <f t="shared" ref="P31" si="21">(O32-O30)/O30</f>
        <v>0.33154163762314809</v>
      </c>
    </row>
    <row r="32" spans="1:16">
      <c r="A32">
        <f t="shared" si="5"/>
        <v>31</v>
      </c>
      <c r="B32" s="30">
        <v>32234</v>
      </c>
      <c r="C32">
        <v>175.91999799999999</v>
      </c>
      <c r="J32">
        <v>31</v>
      </c>
      <c r="K32">
        <f t="shared" si="12"/>
        <v>7097.5297849999997</v>
      </c>
      <c r="L32" s="59">
        <f t="shared" si="8"/>
        <v>0.1922218482102504</v>
      </c>
      <c r="N32">
        <v>31</v>
      </c>
      <c r="O32">
        <f t="shared" si="4"/>
        <v>7097.5297849999997</v>
      </c>
      <c r="P32">
        <f>0</f>
        <v>0</v>
      </c>
    </row>
    <row r="33" spans="1:16">
      <c r="A33">
        <f t="shared" si="5"/>
        <v>32</v>
      </c>
      <c r="B33" s="30">
        <v>32264</v>
      </c>
      <c r="C33">
        <v>173.345001</v>
      </c>
      <c r="J33">
        <v>32</v>
      </c>
      <c r="K33">
        <f t="shared" si="12"/>
        <v>8461.8300780000009</v>
      </c>
      <c r="L33" s="59">
        <f t="shared" si="8"/>
        <v>0.58417106044846767</v>
      </c>
      <c r="N33">
        <v>32</v>
      </c>
      <c r="O33">
        <f t="shared" si="4"/>
        <v>8461.8300780000009</v>
      </c>
      <c r="P33">
        <f t="shared" ref="P33" si="22">(O34-O32)/O32</f>
        <v>0.88868334956906436</v>
      </c>
    </row>
    <row r="34" spans="1:16">
      <c r="A34">
        <f t="shared" si="5"/>
        <v>33</v>
      </c>
      <c r="B34" s="30">
        <v>32295</v>
      </c>
      <c r="C34">
        <v>189.02499399999999</v>
      </c>
      <c r="J34">
        <v>33</v>
      </c>
      <c r="K34">
        <f t="shared" si="12"/>
        <v>13404.986328000001</v>
      </c>
      <c r="L34" s="59">
        <f t="shared" si="8"/>
        <v>-0.82461824783145721</v>
      </c>
      <c r="N34">
        <v>33</v>
      </c>
      <c r="O34">
        <f t="shared" si="4"/>
        <v>13404.986328000001</v>
      </c>
      <c r="P34">
        <f>0</f>
        <v>0</v>
      </c>
    </row>
    <row r="35" spans="1:16">
      <c r="A35">
        <f t="shared" si="5"/>
        <v>34</v>
      </c>
      <c r="B35" s="30">
        <v>32325</v>
      </c>
      <c r="C35">
        <v>181.16000399999999</v>
      </c>
      <c r="J35">
        <v>34</v>
      </c>
      <c r="K35">
        <f t="shared" si="12"/>
        <v>2350.98999</v>
      </c>
      <c r="L35" s="59">
        <f t="shared" si="8"/>
        <v>0.11574277608897852</v>
      </c>
      <c r="N35">
        <v>34</v>
      </c>
      <c r="O35">
        <f t="shared" si="4"/>
        <v>2350.98999</v>
      </c>
      <c r="P35">
        <f t="shared" ref="P35" si="23">(O36-O34)/O34</f>
        <v>-0.80431907696012084</v>
      </c>
    </row>
    <row r="36" spans="1:16">
      <c r="A36">
        <f t="shared" si="5"/>
        <v>35</v>
      </c>
      <c r="B36" s="30">
        <v>32356</v>
      </c>
      <c r="C36">
        <v>170.99499499999999</v>
      </c>
      <c r="J36">
        <v>35</v>
      </c>
      <c r="K36">
        <f t="shared" si="12"/>
        <v>2623.1000979999999</v>
      </c>
      <c r="L36" s="59">
        <f t="shared" si="8"/>
        <v>4.4024236851673539E-2</v>
      </c>
      <c r="N36">
        <v>35</v>
      </c>
      <c r="O36">
        <f t="shared" si="4"/>
        <v>2623.1000979999999</v>
      </c>
      <c r="P36">
        <f>0</f>
        <v>0</v>
      </c>
    </row>
    <row r="37" spans="1:16">
      <c r="A37">
        <f t="shared" si="5"/>
        <v>36</v>
      </c>
      <c r="B37" s="30">
        <v>32387</v>
      </c>
      <c r="C37">
        <v>179.365005</v>
      </c>
      <c r="J37">
        <v>36</v>
      </c>
      <c r="K37">
        <f t="shared" si="12"/>
        <v>2738.580078</v>
      </c>
      <c r="L37" s="59">
        <f t="shared" si="8"/>
        <v>0.34964105219785357</v>
      </c>
      <c r="N37">
        <v>36</v>
      </c>
      <c r="O37">
        <f t="shared" si="4"/>
        <v>2738.580078</v>
      </c>
      <c r="P37">
        <f t="shared" ref="P37" si="24">(O38-O36)/O36</f>
        <v>0.40905796954455376</v>
      </c>
    </row>
    <row r="38" spans="1:16">
      <c r="A38">
        <f t="shared" si="5"/>
        <v>37</v>
      </c>
      <c r="B38" s="30">
        <v>32417</v>
      </c>
      <c r="C38">
        <v>174.779999</v>
      </c>
      <c r="J38">
        <v>37</v>
      </c>
      <c r="K38">
        <f t="shared" si="12"/>
        <v>3696.1000979999999</v>
      </c>
      <c r="L38" s="59">
        <f t="shared" si="8"/>
        <v>0.20144741870029306</v>
      </c>
      <c r="N38">
        <v>37</v>
      </c>
      <c r="O38">
        <f t="shared" si="4"/>
        <v>3696.1000979999999</v>
      </c>
      <c r="P38">
        <f>0</f>
        <v>0</v>
      </c>
    </row>
    <row r="39" spans="1:16">
      <c r="A39">
        <f t="shared" si="5"/>
        <v>38</v>
      </c>
      <c r="B39" s="30">
        <v>32448</v>
      </c>
      <c r="C39">
        <v>169.18499800000001</v>
      </c>
      <c r="J39">
        <v>38</v>
      </c>
      <c r="K39">
        <f t="shared" si="12"/>
        <v>4440.669922</v>
      </c>
      <c r="L39" s="59">
        <f t="shared" si="8"/>
        <v>-5.3944519454873288E-2</v>
      </c>
      <c r="N39">
        <v>38</v>
      </c>
      <c r="O39">
        <f t="shared" si="4"/>
        <v>4440.669922</v>
      </c>
      <c r="P39">
        <f t="shared" ref="P39" si="25">(O40-O38)/O38</f>
        <v>0.1366359150482078</v>
      </c>
    </row>
    <row r="40" spans="1:16">
      <c r="A40">
        <f t="shared" si="5"/>
        <v>39</v>
      </c>
      <c r="B40" s="30">
        <v>32478</v>
      </c>
      <c r="C40">
        <v>177.41000399999999</v>
      </c>
      <c r="J40">
        <v>39</v>
      </c>
      <c r="K40">
        <f t="shared" si="12"/>
        <v>4201.1201170000004</v>
      </c>
      <c r="L40" s="59">
        <f t="shared" si="8"/>
        <v>0.26878306512367683</v>
      </c>
      <c r="N40">
        <v>39</v>
      </c>
      <c r="O40">
        <f t="shared" si="4"/>
        <v>4201.1201170000004</v>
      </c>
      <c r="P40">
        <f>0</f>
        <v>0</v>
      </c>
    </row>
    <row r="41" spans="1:16">
      <c r="A41">
        <f t="shared" si="5"/>
        <v>40</v>
      </c>
      <c r="B41" s="30">
        <v>32509</v>
      </c>
      <c r="C41">
        <v>186.470001</v>
      </c>
      <c r="J41">
        <v>40</v>
      </c>
      <c r="K41">
        <f t="shared" si="12"/>
        <v>5330.3100590000004</v>
      </c>
      <c r="L41" s="59">
        <f t="shared" si="8"/>
        <v>0.28593268423974799</v>
      </c>
      <c r="N41">
        <v>40</v>
      </c>
      <c r="O41">
        <f t="shared" si="4"/>
        <v>5330.3100590000004</v>
      </c>
      <c r="P41">
        <f t="shared" ref="P41" si="26">(O42-O40)/O40</f>
        <v>0.63156961265242473</v>
      </c>
    </row>
    <row r="42" spans="1:16">
      <c r="A42">
        <f t="shared" si="5"/>
        <v>41</v>
      </c>
      <c r="B42" s="30">
        <v>32540</v>
      </c>
      <c r="C42">
        <v>183.78999300000001</v>
      </c>
      <c r="J42">
        <v>41</v>
      </c>
      <c r="K42">
        <f t="shared" si="12"/>
        <v>6854.419922</v>
      </c>
      <c r="L42" s="59">
        <f t="shared" si="8"/>
        <v>3.5467605686035131E-2</v>
      </c>
      <c r="N42">
        <v>41</v>
      </c>
      <c r="O42">
        <f t="shared" si="4"/>
        <v>6854.419922</v>
      </c>
      <c r="P42">
        <f>0</f>
        <v>0</v>
      </c>
    </row>
    <row r="43" spans="1:16">
      <c r="A43">
        <f t="shared" si="5"/>
        <v>42</v>
      </c>
      <c r="B43" s="30">
        <v>32568</v>
      </c>
      <c r="C43">
        <v>185.86999499999999</v>
      </c>
      <c r="J43">
        <v>42</v>
      </c>
      <c r="K43">
        <f t="shared" si="12"/>
        <v>7097.5297849999997</v>
      </c>
      <c r="L43" s="59">
        <f t="shared" si="8"/>
        <v>0.1922218482102504</v>
      </c>
      <c r="N43">
        <v>42</v>
      </c>
      <c r="O43">
        <f t="shared" si="4"/>
        <v>7097.5297849999997</v>
      </c>
      <c r="P43">
        <f t="shared" ref="P43" si="27">(O44-O42)/O42</f>
        <v>0.2345071026128476</v>
      </c>
    </row>
    <row r="44" spans="1:16">
      <c r="A44">
        <f t="shared" si="5"/>
        <v>43</v>
      </c>
      <c r="B44" s="30">
        <v>32599</v>
      </c>
      <c r="C44">
        <v>200.470001</v>
      </c>
      <c r="J44">
        <v>43</v>
      </c>
      <c r="K44">
        <f t="shared" si="12"/>
        <v>8461.8300780000009</v>
      </c>
      <c r="L44" s="59">
        <f t="shared" si="8"/>
        <v>0.58417106044846767</v>
      </c>
      <c r="N44">
        <v>43</v>
      </c>
      <c r="O44">
        <f t="shared" si="4"/>
        <v>8461.8300780000009</v>
      </c>
      <c r="P44">
        <f>0</f>
        <v>0</v>
      </c>
    </row>
    <row r="45" spans="1:16">
      <c r="A45">
        <f t="shared" si="5"/>
        <v>44</v>
      </c>
      <c r="B45" s="30">
        <v>32629</v>
      </c>
      <c r="C45">
        <v>214.54499799999999</v>
      </c>
      <c r="J45">
        <v>44</v>
      </c>
      <c r="K45">
        <f t="shared" si="12"/>
        <v>13404.986328000001</v>
      </c>
      <c r="L45" s="59">
        <f t="shared" si="8"/>
        <v>-0.82461824783145721</v>
      </c>
      <c r="N45">
        <v>44</v>
      </c>
      <c r="O45">
        <f t="shared" si="4"/>
        <v>13404.986328000001</v>
      </c>
      <c r="P45">
        <f t="shared" ref="P45" si="28">(O46-O44)/O44</f>
        <v>-0.72216530368384935</v>
      </c>
    </row>
    <row r="46" spans="1:16">
      <c r="A46">
        <f t="shared" si="5"/>
        <v>45</v>
      </c>
      <c r="B46" s="30">
        <v>32660</v>
      </c>
      <c r="C46">
        <v>204.58500699999999</v>
      </c>
      <c r="J46">
        <v>45</v>
      </c>
      <c r="K46">
        <f t="shared" si="12"/>
        <v>2350.98999</v>
      </c>
      <c r="L46" s="59">
        <f t="shared" si="8"/>
        <v>0.11574277608897852</v>
      </c>
      <c r="N46">
        <v>45</v>
      </c>
      <c r="O46">
        <f t="shared" si="4"/>
        <v>2350.98999</v>
      </c>
      <c r="P46">
        <f>0</f>
        <v>0</v>
      </c>
    </row>
    <row r="47" spans="1:16">
      <c r="A47">
        <f t="shared" si="5"/>
        <v>46</v>
      </c>
      <c r="B47" s="30">
        <v>32690</v>
      </c>
      <c r="C47">
        <v>214.27499399999999</v>
      </c>
      <c r="J47">
        <v>46</v>
      </c>
      <c r="K47">
        <f t="shared" si="12"/>
        <v>2623.1000979999999</v>
      </c>
      <c r="L47" s="59">
        <f t="shared" si="8"/>
        <v>4.4024236851673539E-2</v>
      </c>
      <c r="N47">
        <v>46</v>
      </c>
      <c r="O47">
        <f t="shared" si="4"/>
        <v>2623.1000979999999</v>
      </c>
      <c r="P47">
        <f t="shared" ref="P47" si="29">(O48-O46)/O46</f>
        <v>0.16486250032906347</v>
      </c>
    </row>
    <row r="48" spans="1:16">
      <c r="A48">
        <f t="shared" si="5"/>
        <v>47</v>
      </c>
      <c r="B48" s="30">
        <v>32721</v>
      </c>
      <c r="C48">
        <v>222.00500500000001</v>
      </c>
      <c r="J48">
        <v>47</v>
      </c>
      <c r="K48">
        <f t="shared" si="12"/>
        <v>2738.580078</v>
      </c>
      <c r="L48" s="59">
        <f t="shared" si="8"/>
        <v>0.34964105219785357</v>
      </c>
      <c r="N48">
        <v>47</v>
      </c>
      <c r="O48">
        <f t="shared" si="4"/>
        <v>2738.580078</v>
      </c>
      <c r="P48">
        <f>0</f>
        <v>0</v>
      </c>
    </row>
    <row r="49" spans="1:16">
      <c r="A49">
        <f t="shared" si="5"/>
        <v>48</v>
      </c>
      <c r="B49" s="30">
        <v>32752</v>
      </c>
      <c r="C49">
        <v>226.38999899999999</v>
      </c>
      <c r="J49">
        <v>48</v>
      </c>
      <c r="K49">
        <f t="shared" si="12"/>
        <v>3696.1000979999999</v>
      </c>
      <c r="L49" s="59">
        <f t="shared" si="8"/>
        <v>0.20144741870029306</v>
      </c>
      <c r="N49">
        <v>48</v>
      </c>
      <c r="O49">
        <f t="shared" si="4"/>
        <v>3696.1000979999999</v>
      </c>
      <c r="P49">
        <f t="shared" ref="P49" si="30">(O50-O48)/O48</f>
        <v>0.62152275833505866</v>
      </c>
    </row>
    <row r="50" spans="1:16">
      <c r="A50">
        <f t="shared" si="5"/>
        <v>49</v>
      </c>
      <c r="B50" s="30">
        <v>32782</v>
      </c>
      <c r="C50">
        <v>222.615005</v>
      </c>
      <c r="J50">
        <v>49</v>
      </c>
      <c r="K50">
        <f t="shared" si="12"/>
        <v>4440.669922</v>
      </c>
      <c r="L50" s="59">
        <f t="shared" si="8"/>
        <v>-5.3944519454873288E-2</v>
      </c>
      <c r="N50">
        <v>49</v>
      </c>
      <c r="O50">
        <f t="shared" si="4"/>
        <v>4440.669922</v>
      </c>
      <c r="P50">
        <f>0</f>
        <v>0</v>
      </c>
    </row>
    <row r="51" spans="1:16">
      <c r="A51">
        <f t="shared" si="5"/>
        <v>50</v>
      </c>
      <c r="B51" s="30">
        <v>32813</v>
      </c>
      <c r="C51">
        <v>224.445007</v>
      </c>
      <c r="J51">
        <v>50</v>
      </c>
      <c r="K51">
        <f t="shared" si="12"/>
        <v>4201.1201170000004</v>
      </c>
      <c r="L51" s="59">
        <f t="shared" si="8"/>
        <v>0.26878306512367683</v>
      </c>
      <c r="N51">
        <v>50</v>
      </c>
      <c r="O51">
        <f t="shared" si="4"/>
        <v>4201.1201170000004</v>
      </c>
      <c r="P51">
        <f t="shared" ref="P51" si="31">(O52-O50)/O50</f>
        <v>0.2003391723830989</v>
      </c>
    </row>
    <row r="52" spans="1:16">
      <c r="A52">
        <f t="shared" si="5"/>
        <v>51</v>
      </c>
      <c r="B52" s="30">
        <v>32843</v>
      </c>
      <c r="C52">
        <v>223.83500699999999</v>
      </c>
      <c r="J52">
        <v>51</v>
      </c>
      <c r="K52">
        <f t="shared" si="12"/>
        <v>5330.3100590000004</v>
      </c>
      <c r="L52" s="59">
        <f t="shared" si="8"/>
        <v>0.28593268423974799</v>
      </c>
      <c r="N52">
        <v>51</v>
      </c>
      <c r="O52">
        <f t="shared" si="4"/>
        <v>5330.3100590000004</v>
      </c>
      <c r="P52">
        <f>0</f>
        <v>0</v>
      </c>
    </row>
    <row r="53" spans="1:16">
      <c r="A53">
        <f t="shared" si="5"/>
        <v>52</v>
      </c>
      <c r="B53" s="30">
        <v>32874</v>
      </c>
      <c r="C53">
        <v>201.94000199999999</v>
      </c>
      <c r="J53">
        <v>52</v>
      </c>
      <c r="K53">
        <f t="shared" si="12"/>
        <v>6854.419922</v>
      </c>
      <c r="L53" s="59">
        <f t="shared" si="8"/>
        <v>3.5467605686035131E-2</v>
      </c>
      <c r="N53">
        <v>52</v>
      </c>
      <c r="O53">
        <f t="shared" si="4"/>
        <v>6854.419922</v>
      </c>
      <c r="P53">
        <f t="shared" ref="P53" si="32">(O54-O52)/O52</f>
        <v>0.33154163762314809</v>
      </c>
    </row>
    <row r="54" spans="1:16">
      <c r="A54">
        <f t="shared" si="5"/>
        <v>53</v>
      </c>
      <c r="B54" s="30">
        <v>32905</v>
      </c>
      <c r="C54">
        <v>207.91499300000001</v>
      </c>
      <c r="J54">
        <v>53</v>
      </c>
      <c r="K54">
        <f t="shared" si="12"/>
        <v>7097.5297849999997</v>
      </c>
      <c r="L54" s="59">
        <f t="shared" si="8"/>
        <v>0.1922218482102504</v>
      </c>
      <c r="N54">
        <v>53</v>
      </c>
      <c r="O54">
        <f t="shared" si="4"/>
        <v>7097.5297849999997</v>
      </c>
      <c r="P54">
        <f>0</f>
        <v>0</v>
      </c>
    </row>
    <row r="55" spans="1:16">
      <c r="A55">
        <f t="shared" si="5"/>
        <v>54</v>
      </c>
      <c r="B55" s="30">
        <v>32933</v>
      </c>
      <c r="C55">
        <v>213.145004</v>
      </c>
      <c r="J55">
        <v>54</v>
      </c>
      <c r="K55">
        <f t="shared" si="12"/>
        <v>8461.8300780000009</v>
      </c>
      <c r="L55" s="59">
        <f t="shared" si="8"/>
        <v>0.58417106044846767</v>
      </c>
      <c r="N55">
        <v>54</v>
      </c>
      <c r="O55">
        <f t="shared" si="4"/>
        <v>8461.8300780000009</v>
      </c>
      <c r="P55">
        <f t="shared" ref="P55" si="33">(O56-O54)/O54</f>
        <v>0.88868334956906436</v>
      </c>
    </row>
    <row r="56" spans="1:16">
      <c r="A56">
        <f t="shared" si="5"/>
        <v>55</v>
      </c>
      <c r="B56" s="30">
        <v>32964</v>
      </c>
      <c r="C56">
        <v>205.81500199999999</v>
      </c>
      <c r="J56">
        <v>55</v>
      </c>
      <c r="K56">
        <f t="shared" si="12"/>
        <v>13404.986328000001</v>
      </c>
      <c r="L56" s="59">
        <f>(K57-K56)/K56</f>
        <v>-0.82461824783145721</v>
      </c>
      <c r="N56">
        <v>55</v>
      </c>
      <c r="O56">
        <f t="shared" si="4"/>
        <v>13404.986328000001</v>
      </c>
      <c r="P56">
        <f>0</f>
        <v>0</v>
      </c>
    </row>
    <row r="57" spans="1:16">
      <c r="A57">
        <f t="shared" si="5"/>
        <v>56</v>
      </c>
      <c r="B57" s="30">
        <v>32994</v>
      </c>
      <c r="C57">
        <v>236.14999399999999</v>
      </c>
      <c r="J57">
        <v>56</v>
      </c>
      <c r="K57">
        <f t="shared" si="12"/>
        <v>2350.98999</v>
      </c>
      <c r="L57" s="59">
        <f>(K58-K57)/K57</f>
        <v>0.11574277608897852</v>
      </c>
      <c r="N57">
        <v>56</v>
      </c>
      <c r="O57">
        <f t="shared" si="4"/>
        <v>2350.98999</v>
      </c>
      <c r="P57">
        <f t="shared" ref="P57" si="34">(O58-O56)/O56</f>
        <v>-0.80431907696012084</v>
      </c>
    </row>
    <row r="58" spans="1:16">
      <c r="A58">
        <f t="shared" si="5"/>
        <v>57</v>
      </c>
      <c r="B58" s="30">
        <v>33025</v>
      </c>
      <c r="C58">
        <v>238.46000699999999</v>
      </c>
      <c r="J58">
        <v>57</v>
      </c>
      <c r="K58">
        <f t="shared" si="12"/>
        <v>2623.1000979999999</v>
      </c>
      <c r="L58" s="59">
        <f>(K59-K58)/K58</f>
        <v>4.4024236851673539E-2</v>
      </c>
      <c r="N58">
        <v>57</v>
      </c>
      <c r="O58">
        <f t="shared" si="4"/>
        <v>2623.1000979999999</v>
      </c>
      <c r="P58">
        <f>0</f>
        <v>0</v>
      </c>
    </row>
    <row r="59" spans="1:16">
      <c r="A59">
        <f t="shared" si="5"/>
        <v>58</v>
      </c>
      <c r="B59" s="30">
        <v>33055</v>
      </c>
      <c r="C59">
        <v>223.384995</v>
      </c>
      <c r="J59">
        <v>58</v>
      </c>
      <c r="K59">
        <f t="shared" si="12"/>
        <v>2738.580078</v>
      </c>
      <c r="L59" s="59">
        <f>(K60-K59)/K59</f>
        <v>0.34964105219785357</v>
      </c>
      <c r="N59">
        <v>58</v>
      </c>
      <c r="O59">
        <f t="shared" si="4"/>
        <v>2738.580078</v>
      </c>
      <c r="P59">
        <f t="shared" ref="P59" si="35">(O60-O58)/O58</f>
        <v>0.40905796954455376</v>
      </c>
    </row>
    <row r="60" spans="1:16">
      <c r="A60">
        <f t="shared" si="5"/>
        <v>59</v>
      </c>
      <c r="B60" s="30">
        <v>33086</v>
      </c>
      <c r="C60">
        <v>193.615005</v>
      </c>
      <c r="J60">
        <v>59</v>
      </c>
      <c r="K60">
        <f t="shared" si="12"/>
        <v>3696.1000979999999</v>
      </c>
      <c r="L60" s="59">
        <f>(K61-K60)/K60</f>
        <v>0.20144741870029306</v>
      </c>
      <c r="N60">
        <v>59</v>
      </c>
      <c r="O60">
        <f t="shared" si="4"/>
        <v>3696.1000979999999</v>
      </c>
      <c r="P60">
        <f>0</f>
        <v>0</v>
      </c>
    </row>
    <row r="61" spans="1:16">
      <c r="A61">
        <f t="shared" si="5"/>
        <v>60</v>
      </c>
      <c r="B61" s="30">
        <v>33117</v>
      </c>
      <c r="C61">
        <v>177.054993</v>
      </c>
      <c r="J61">
        <v>60</v>
      </c>
      <c r="K61">
        <f t="shared" si="12"/>
        <v>4440.669922</v>
      </c>
      <c r="L61" s="59">
        <f t="shared" si="8"/>
        <v>-5.3944519454873288E-2</v>
      </c>
      <c r="N61">
        <v>60</v>
      </c>
      <c r="O61">
        <f t="shared" si="4"/>
        <v>4440.669922</v>
      </c>
      <c r="P61">
        <f t="shared" ref="P61" si="36">(O62-O60)/O60</f>
        <v>0.1366359150482078</v>
      </c>
    </row>
    <row r="62" spans="1:16">
      <c r="A62">
        <f t="shared" si="5"/>
        <v>61</v>
      </c>
      <c r="B62" s="30">
        <v>33147</v>
      </c>
      <c r="C62">
        <v>172.554993</v>
      </c>
      <c r="J62">
        <v>61</v>
      </c>
      <c r="K62">
        <f t="shared" si="12"/>
        <v>4201.1201170000004</v>
      </c>
      <c r="L62" s="59">
        <f t="shared" si="8"/>
        <v>0.26878306512367683</v>
      </c>
      <c r="N62">
        <v>61</v>
      </c>
      <c r="O62">
        <f t="shared" si="4"/>
        <v>4201.1201170000004</v>
      </c>
      <c r="P62">
        <f>0</f>
        <v>0</v>
      </c>
    </row>
    <row r="63" spans="1:16">
      <c r="A63">
        <f t="shared" si="5"/>
        <v>62</v>
      </c>
      <c r="B63" s="30">
        <v>33178</v>
      </c>
      <c r="C63">
        <v>192.58000200000001</v>
      </c>
      <c r="J63">
        <v>62</v>
      </c>
      <c r="K63">
        <f t="shared" si="12"/>
        <v>5330.3100590000004</v>
      </c>
      <c r="L63" s="59">
        <f t="shared" si="8"/>
        <v>0.28593268423974799</v>
      </c>
      <c r="N63">
        <v>62</v>
      </c>
      <c r="O63">
        <f t="shared" si="4"/>
        <v>5330.3100590000004</v>
      </c>
      <c r="P63">
        <f t="shared" ref="P63" si="37">(O64-O62)/O62</f>
        <v>0.63156961265242473</v>
      </c>
    </row>
    <row r="64" spans="1:16">
      <c r="A64">
        <f t="shared" si="5"/>
        <v>63</v>
      </c>
      <c r="B64" s="30">
        <v>33208</v>
      </c>
      <c r="C64">
        <v>200.529999</v>
      </c>
      <c r="J64">
        <v>63</v>
      </c>
      <c r="K64">
        <f t="shared" si="12"/>
        <v>6854.419922</v>
      </c>
      <c r="L64" s="59">
        <f t="shared" si="8"/>
        <v>3.5467605686035131E-2</v>
      </c>
      <c r="N64">
        <v>63</v>
      </c>
      <c r="O64">
        <f t="shared" si="4"/>
        <v>6854.419922</v>
      </c>
      <c r="P64">
        <f>0</f>
        <v>0</v>
      </c>
    </row>
    <row r="65" spans="1:16">
      <c r="A65">
        <f t="shared" si="5"/>
        <v>64</v>
      </c>
      <c r="B65" s="30">
        <v>33239</v>
      </c>
      <c r="C65">
        <v>232.425003</v>
      </c>
      <c r="J65">
        <v>64</v>
      </c>
      <c r="K65">
        <f t="shared" si="12"/>
        <v>7097.5297849999997</v>
      </c>
      <c r="L65" s="59">
        <f t="shared" si="8"/>
        <v>0.1922218482102504</v>
      </c>
      <c r="N65">
        <v>64</v>
      </c>
      <c r="O65">
        <f t="shared" si="4"/>
        <v>7097.5297849999997</v>
      </c>
      <c r="P65">
        <f t="shared" ref="P65" si="38">(O66-O64)/O64</f>
        <v>0.2345071026128476</v>
      </c>
    </row>
    <row r="66" spans="1:16">
      <c r="A66">
        <f t="shared" si="5"/>
        <v>65</v>
      </c>
      <c r="B66" s="30">
        <v>33270</v>
      </c>
      <c r="C66">
        <v>250.115005</v>
      </c>
      <c r="J66">
        <v>65</v>
      </c>
      <c r="K66">
        <f t="shared" si="12"/>
        <v>8461.8300780000009</v>
      </c>
      <c r="L66" s="59">
        <f t="shared" si="8"/>
        <v>0.58417106044846767</v>
      </c>
      <c r="N66">
        <v>65</v>
      </c>
      <c r="O66">
        <f t="shared" si="4"/>
        <v>8461.8300780000009</v>
      </c>
      <c r="P66">
        <f>0</f>
        <v>0</v>
      </c>
    </row>
    <row r="67" spans="1:16">
      <c r="A67">
        <f t="shared" si="5"/>
        <v>66</v>
      </c>
      <c r="B67" s="30">
        <v>33298</v>
      </c>
      <c r="C67">
        <v>264.90499899999998</v>
      </c>
      <c r="J67">
        <v>66</v>
      </c>
      <c r="K67">
        <f t="shared" si="12"/>
        <v>13404.986328000001</v>
      </c>
      <c r="L67" s="59">
        <f t="shared" si="8"/>
        <v>-0.82461824783145721</v>
      </c>
      <c r="N67">
        <v>66</v>
      </c>
      <c r="O67">
        <f t="shared" ref="O67:O104" si="39">K67</f>
        <v>13404.986328000001</v>
      </c>
      <c r="P67">
        <f t="shared" ref="P67" si="40">(O68-O66)/O66</f>
        <v>-0.72216530368384935</v>
      </c>
    </row>
    <row r="68" spans="1:16">
      <c r="A68">
        <f t="shared" ref="A68:A131" si="41">A67+1</f>
        <v>67</v>
      </c>
      <c r="B68" s="30">
        <v>33329</v>
      </c>
      <c r="C68">
        <v>263.65499899999998</v>
      </c>
      <c r="J68">
        <v>67</v>
      </c>
      <c r="K68">
        <f t="shared" si="12"/>
        <v>2350.98999</v>
      </c>
      <c r="L68" s="59">
        <f t="shared" si="8"/>
        <v>0.11574277608897852</v>
      </c>
      <c r="N68">
        <v>67</v>
      </c>
      <c r="O68">
        <f t="shared" si="39"/>
        <v>2350.98999</v>
      </c>
      <c r="P68">
        <f>0</f>
        <v>0</v>
      </c>
    </row>
    <row r="69" spans="1:16">
      <c r="A69">
        <f t="shared" si="41"/>
        <v>68</v>
      </c>
      <c r="B69" s="30">
        <v>33359</v>
      </c>
      <c r="C69">
        <v>279</v>
      </c>
      <c r="J69">
        <v>68</v>
      </c>
      <c r="K69">
        <f t="shared" si="12"/>
        <v>2623.1000979999999</v>
      </c>
      <c r="L69" s="59">
        <f t="shared" si="8"/>
        <v>4.4024236851673539E-2</v>
      </c>
      <c r="N69">
        <v>68</v>
      </c>
      <c r="O69">
        <f t="shared" si="39"/>
        <v>2623.1000979999999</v>
      </c>
      <c r="P69">
        <f t="shared" ref="P69" si="42">(O70-O68)/O68</f>
        <v>0.16486250032906347</v>
      </c>
    </row>
    <row r="70" spans="1:16">
      <c r="A70">
        <f t="shared" si="41"/>
        <v>69</v>
      </c>
      <c r="B70" s="30">
        <v>33390</v>
      </c>
      <c r="C70">
        <v>254.195007</v>
      </c>
      <c r="J70">
        <v>69</v>
      </c>
      <c r="K70">
        <f t="shared" si="12"/>
        <v>2738.580078</v>
      </c>
      <c r="L70" s="59">
        <f t="shared" si="8"/>
        <v>0.34964105219785357</v>
      </c>
      <c r="N70">
        <v>69</v>
      </c>
      <c r="O70">
        <f t="shared" si="39"/>
        <v>2738.580078</v>
      </c>
      <c r="P70">
        <f>0</f>
        <v>0</v>
      </c>
    </row>
    <row r="71" spans="1:16">
      <c r="A71">
        <f t="shared" si="41"/>
        <v>70</v>
      </c>
      <c r="B71" s="30">
        <v>33420</v>
      </c>
      <c r="C71">
        <v>272.15499899999998</v>
      </c>
      <c r="J71">
        <v>70</v>
      </c>
      <c r="K71">
        <f t="shared" si="12"/>
        <v>3696.1000979999999</v>
      </c>
      <c r="L71" s="59">
        <f t="shared" si="8"/>
        <v>0.20144741870029306</v>
      </c>
      <c r="N71">
        <v>70</v>
      </c>
      <c r="O71">
        <f t="shared" si="39"/>
        <v>3696.1000979999999</v>
      </c>
      <c r="P71">
        <f t="shared" ref="P71" si="43">(O72-O70)/O70</f>
        <v>0.62152275833505866</v>
      </c>
    </row>
    <row r="72" spans="1:16">
      <c r="A72">
        <f t="shared" si="41"/>
        <v>71</v>
      </c>
      <c r="B72" s="30">
        <v>33451</v>
      </c>
      <c r="C72">
        <v>287.40499899999998</v>
      </c>
      <c r="J72">
        <v>71</v>
      </c>
      <c r="K72">
        <f t="shared" si="12"/>
        <v>4440.669922</v>
      </c>
      <c r="L72" s="59">
        <f t="shared" ref="L72:L103" si="44">(K73-K72)/K72</f>
        <v>-5.3944519454873288E-2</v>
      </c>
      <c r="N72">
        <v>71</v>
      </c>
      <c r="O72">
        <f t="shared" si="39"/>
        <v>4440.669922</v>
      </c>
      <c r="P72">
        <f>0</f>
        <v>0</v>
      </c>
    </row>
    <row r="73" spans="1:16">
      <c r="A73">
        <f t="shared" si="41"/>
        <v>72</v>
      </c>
      <c r="B73" s="30">
        <v>33482</v>
      </c>
      <c r="C73">
        <v>287.53500400000001</v>
      </c>
      <c r="J73">
        <v>72</v>
      </c>
      <c r="K73">
        <f t="shared" si="12"/>
        <v>4201.1201170000004</v>
      </c>
      <c r="L73" s="59">
        <f t="shared" si="44"/>
        <v>0.26878306512367683</v>
      </c>
      <c r="N73">
        <v>72</v>
      </c>
      <c r="O73">
        <f t="shared" si="39"/>
        <v>4201.1201170000004</v>
      </c>
      <c r="P73">
        <f t="shared" ref="P73" si="45">(O74-O72)/O72</f>
        <v>0.2003391723830989</v>
      </c>
    </row>
    <row r="74" spans="1:16">
      <c r="A74">
        <f t="shared" si="41"/>
        <v>73</v>
      </c>
      <c r="B74" s="30">
        <v>33512</v>
      </c>
      <c r="C74">
        <v>292.50500499999998</v>
      </c>
      <c r="J74">
        <v>73</v>
      </c>
      <c r="K74">
        <f t="shared" si="12"/>
        <v>5330.3100590000004</v>
      </c>
      <c r="L74" s="59">
        <f t="shared" si="44"/>
        <v>0.28593268423974799</v>
      </c>
      <c r="N74">
        <v>73</v>
      </c>
      <c r="O74">
        <f t="shared" si="39"/>
        <v>5330.3100590000004</v>
      </c>
      <c r="P74">
        <f>0</f>
        <v>0</v>
      </c>
    </row>
    <row r="75" spans="1:16">
      <c r="A75">
        <f t="shared" si="41"/>
        <v>74</v>
      </c>
      <c r="B75" s="30">
        <v>33543</v>
      </c>
      <c r="C75">
        <v>284.790009</v>
      </c>
      <c r="J75">
        <v>74</v>
      </c>
      <c r="K75">
        <f t="shared" si="12"/>
        <v>6854.419922</v>
      </c>
      <c r="L75" s="59">
        <f t="shared" si="44"/>
        <v>3.5467605686035131E-2</v>
      </c>
      <c r="N75">
        <v>74</v>
      </c>
      <c r="O75">
        <f t="shared" si="39"/>
        <v>6854.419922</v>
      </c>
      <c r="P75">
        <f t="shared" ref="P75" si="46">(O76-O74)/O74</f>
        <v>0.33154163762314809</v>
      </c>
    </row>
    <row r="76" spans="1:16">
      <c r="A76">
        <f t="shared" si="41"/>
        <v>75</v>
      </c>
      <c r="B76" s="30">
        <v>33573</v>
      </c>
      <c r="C76">
        <v>330.85501099999999</v>
      </c>
      <c r="J76">
        <v>75</v>
      </c>
      <c r="K76">
        <f t="shared" si="12"/>
        <v>7097.5297849999997</v>
      </c>
      <c r="L76" s="59">
        <f t="shared" si="44"/>
        <v>0.1922218482102504</v>
      </c>
      <c r="N76">
        <v>75</v>
      </c>
      <c r="O76">
        <f t="shared" si="39"/>
        <v>7097.5297849999997</v>
      </c>
      <c r="P76">
        <f>0</f>
        <v>0</v>
      </c>
    </row>
    <row r="77" spans="1:16">
      <c r="A77">
        <f t="shared" si="41"/>
        <v>76</v>
      </c>
      <c r="B77" s="30">
        <v>33604</v>
      </c>
      <c r="C77">
        <v>338.31500199999999</v>
      </c>
      <c r="J77">
        <v>76</v>
      </c>
      <c r="K77">
        <f t="shared" si="12"/>
        <v>8461.8300780000009</v>
      </c>
      <c r="L77" s="59">
        <f t="shared" si="44"/>
        <v>0.58417106044846767</v>
      </c>
      <c r="N77">
        <v>76</v>
      </c>
      <c r="O77">
        <f t="shared" si="39"/>
        <v>8461.8300780000009</v>
      </c>
      <c r="P77">
        <f t="shared" ref="P77" si="47">(O78-O76)/O76</f>
        <v>0.88868334956906436</v>
      </c>
    </row>
    <row r="78" spans="1:16">
      <c r="A78">
        <f t="shared" si="41"/>
        <v>77</v>
      </c>
      <c r="B78" s="30">
        <v>33635</v>
      </c>
      <c r="C78">
        <v>345.88000499999998</v>
      </c>
      <c r="J78">
        <v>77</v>
      </c>
      <c r="K78">
        <f t="shared" ref="K78:K102" si="48">K67</f>
        <v>13404.986328000001</v>
      </c>
      <c r="L78" s="59">
        <f t="shared" si="44"/>
        <v>-0.82461824783145721</v>
      </c>
      <c r="N78">
        <v>77</v>
      </c>
      <c r="O78">
        <f t="shared" si="39"/>
        <v>13404.986328000001</v>
      </c>
      <c r="P78">
        <f>0</f>
        <v>0</v>
      </c>
    </row>
    <row r="79" spans="1:16">
      <c r="A79">
        <f t="shared" si="41"/>
        <v>78</v>
      </c>
      <c r="B79" s="30">
        <v>33664</v>
      </c>
      <c r="C79">
        <v>323.04998799999998</v>
      </c>
      <c r="J79">
        <v>78</v>
      </c>
      <c r="K79">
        <f t="shared" si="48"/>
        <v>2350.98999</v>
      </c>
      <c r="L79" s="59">
        <f t="shared" si="44"/>
        <v>0.11574277608897852</v>
      </c>
      <c r="N79">
        <v>78</v>
      </c>
      <c r="O79">
        <f t="shared" si="39"/>
        <v>2350.98999</v>
      </c>
      <c r="P79">
        <f t="shared" ref="P79" si="49">(O80-O78)/O78</f>
        <v>-0.80431907696012084</v>
      </c>
    </row>
    <row r="80" spans="1:16">
      <c r="A80">
        <f t="shared" si="41"/>
        <v>79</v>
      </c>
      <c r="B80" s="30">
        <v>33695</v>
      </c>
      <c r="C80">
        <v>307.85998499999999</v>
      </c>
      <c r="J80">
        <v>79</v>
      </c>
      <c r="K80">
        <f t="shared" si="48"/>
        <v>2623.1000979999999</v>
      </c>
      <c r="L80" s="59">
        <f t="shared" si="44"/>
        <v>4.4024236851673539E-2</v>
      </c>
      <c r="N80">
        <v>79</v>
      </c>
      <c r="O80">
        <f t="shared" si="39"/>
        <v>2623.1000979999999</v>
      </c>
      <c r="P80">
        <f>0</f>
        <v>0</v>
      </c>
    </row>
    <row r="81" spans="1:16">
      <c r="A81">
        <f t="shared" si="41"/>
        <v>80</v>
      </c>
      <c r="B81" s="30">
        <v>33725</v>
      </c>
      <c r="C81">
        <v>315.29501299999998</v>
      </c>
      <c r="J81">
        <v>80</v>
      </c>
      <c r="K81">
        <f t="shared" si="48"/>
        <v>2738.580078</v>
      </c>
      <c r="L81" s="59">
        <f t="shared" si="44"/>
        <v>0.34964105219785357</v>
      </c>
      <c r="N81">
        <v>80</v>
      </c>
      <c r="O81">
        <f t="shared" si="39"/>
        <v>2738.580078</v>
      </c>
      <c r="P81">
        <f t="shared" ref="P81" si="50">(O82-O80)/O80</f>
        <v>0.40905796954455376</v>
      </c>
    </row>
    <row r="82" spans="1:16">
      <c r="A82">
        <f t="shared" si="41"/>
        <v>81</v>
      </c>
      <c r="B82" s="30">
        <v>33756</v>
      </c>
      <c r="C82">
        <v>301.23001099999999</v>
      </c>
      <c r="J82">
        <v>81</v>
      </c>
      <c r="K82">
        <f t="shared" si="48"/>
        <v>3696.1000979999999</v>
      </c>
      <c r="L82" s="59">
        <f t="shared" si="44"/>
        <v>0.20144741870029306</v>
      </c>
      <c r="N82">
        <v>81</v>
      </c>
      <c r="O82">
        <f t="shared" si="39"/>
        <v>3696.1000979999999</v>
      </c>
      <c r="P82">
        <f>0</f>
        <v>0</v>
      </c>
    </row>
    <row r="83" spans="1:16">
      <c r="A83">
        <f t="shared" si="41"/>
        <v>82</v>
      </c>
      <c r="B83" s="30">
        <v>33786</v>
      </c>
      <c r="C83">
        <v>310.89498900000001</v>
      </c>
      <c r="J83">
        <v>82</v>
      </c>
      <c r="K83">
        <f t="shared" si="48"/>
        <v>4440.669922</v>
      </c>
      <c r="L83" s="59">
        <f t="shared" si="44"/>
        <v>-5.3944519454873288E-2</v>
      </c>
      <c r="N83">
        <v>82</v>
      </c>
      <c r="O83">
        <f t="shared" si="39"/>
        <v>4440.669922</v>
      </c>
      <c r="P83">
        <f t="shared" ref="P83" si="51">(O84-O82)/O82</f>
        <v>0.1366359150482078</v>
      </c>
    </row>
    <row r="84" spans="1:16">
      <c r="A84">
        <f t="shared" si="41"/>
        <v>83</v>
      </c>
      <c r="B84" s="30">
        <v>33817</v>
      </c>
      <c r="C84">
        <v>299.26001000000002</v>
      </c>
      <c r="J84">
        <v>83</v>
      </c>
      <c r="K84">
        <f t="shared" si="48"/>
        <v>4201.1201170000004</v>
      </c>
      <c r="L84" s="59">
        <f t="shared" si="44"/>
        <v>0.26878306512367683</v>
      </c>
      <c r="N84">
        <v>83</v>
      </c>
      <c r="O84">
        <f t="shared" si="39"/>
        <v>4201.1201170000004</v>
      </c>
      <c r="P84">
        <f>0</f>
        <v>0</v>
      </c>
    </row>
    <row r="85" spans="1:16">
      <c r="A85">
        <f t="shared" si="41"/>
        <v>84</v>
      </c>
      <c r="B85" s="30">
        <v>33848</v>
      </c>
      <c r="C85">
        <v>313.18499800000001</v>
      </c>
      <c r="J85">
        <v>84</v>
      </c>
      <c r="K85">
        <f t="shared" si="48"/>
        <v>5330.3100590000004</v>
      </c>
      <c r="L85" s="59">
        <f t="shared" si="44"/>
        <v>0.28593268423974799</v>
      </c>
      <c r="N85">
        <v>84</v>
      </c>
      <c r="O85">
        <f t="shared" si="39"/>
        <v>5330.3100590000004</v>
      </c>
      <c r="P85">
        <f t="shared" ref="P85" si="52">(O86-O84)/O84</f>
        <v>0.63156961265242473</v>
      </c>
    </row>
    <row r="86" spans="1:16">
      <c r="A86">
        <f t="shared" si="41"/>
        <v>85</v>
      </c>
      <c r="B86" s="30">
        <v>33878</v>
      </c>
      <c r="C86">
        <v>329.15499899999998</v>
      </c>
      <c r="J86">
        <v>85</v>
      </c>
      <c r="K86">
        <f t="shared" si="48"/>
        <v>6854.419922</v>
      </c>
      <c r="L86" s="59">
        <f t="shared" si="44"/>
        <v>3.5467605686035131E-2</v>
      </c>
      <c r="N86">
        <v>85</v>
      </c>
      <c r="O86">
        <f t="shared" si="39"/>
        <v>6854.419922</v>
      </c>
      <c r="P86">
        <f>0</f>
        <v>0</v>
      </c>
    </row>
    <row r="87" spans="1:16">
      <c r="A87">
        <f t="shared" si="41"/>
        <v>86</v>
      </c>
      <c r="B87" s="30">
        <v>33909</v>
      </c>
      <c r="C87">
        <v>350.959991</v>
      </c>
      <c r="J87">
        <v>86</v>
      </c>
      <c r="K87">
        <f t="shared" si="48"/>
        <v>7097.5297849999997</v>
      </c>
      <c r="L87" s="59">
        <f t="shared" si="44"/>
        <v>0.1922218482102504</v>
      </c>
      <c r="N87">
        <v>86</v>
      </c>
      <c r="O87">
        <f t="shared" si="39"/>
        <v>7097.5297849999997</v>
      </c>
      <c r="P87">
        <f t="shared" ref="P87" si="53">(O88-O86)/O86</f>
        <v>0.2345071026128476</v>
      </c>
    </row>
    <row r="88" spans="1:16">
      <c r="A88">
        <f t="shared" si="41"/>
        <v>87</v>
      </c>
      <c r="B88" s="30">
        <v>33939</v>
      </c>
      <c r="C88">
        <v>360.18499800000001</v>
      </c>
      <c r="J88">
        <v>87</v>
      </c>
      <c r="K88">
        <f t="shared" si="48"/>
        <v>8461.8300780000009</v>
      </c>
      <c r="L88" s="59">
        <f t="shared" si="44"/>
        <v>0.58417106044846767</v>
      </c>
      <c r="N88">
        <v>87</v>
      </c>
      <c r="O88">
        <f t="shared" si="39"/>
        <v>8461.8300780000009</v>
      </c>
      <c r="P88">
        <f>0</f>
        <v>0</v>
      </c>
    </row>
    <row r="89" spans="1:16">
      <c r="A89">
        <f t="shared" si="41"/>
        <v>88</v>
      </c>
      <c r="B89" s="30">
        <v>33970</v>
      </c>
      <c r="C89">
        <v>370.55999800000001</v>
      </c>
      <c r="J89">
        <v>88</v>
      </c>
      <c r="K89">
        <f t="shared" si="48"/>
        <v>13404.986328000001</v>
      </c>
      <c r="L89" s="59">
        <f t="shared" si="44"/>
        <v>-0.82461824783145721</v>
      </c>
      <c r="N89">
        <v>88</v>
      </c>
      <c r="O89">
        <f t="shared" si="39"/>
        <v>13404.986328000001</v>
      </c>
      <c r="P89">
        <f t="shared" ref="P89" si="54">(O90-O88)/O88</f>
        <v>-0.72216530368384935</v>
      </c>
    </row>
    <row r="90" spans="1:16">
      <c r="A90">
        <f t="shared" si="41"/>
        <v>89</v>
      </c>
      <c r="B90" s="30">
        <v>34001</v>
      </c>
      <c r="C90">
        <v>351.14001500000001</v>
      </c>
      <c r="J90">
        <v>89</v>
      </c>
      <c r="K90">
        <f t="shared" si="48"/>
        <v>2350.98999</v>
      </c>
      <c r="L90" s="59">
        <f t="shared" si="44"/>
        <v>0.11574277608897852</v>
      </c>
      <c r="N90">
        <v>89</v>
      </c>
      <c r="O90">
        <f t="shared" si="39"/>
        <v>2350.98999</v>
      </c>
      <c r="P90">
        <f>0</f>
        <v>0</v>
      </c>
    </row>
    <row r="91" spans="1:16">
      <c r="A91">
        <f t="shared" si="41"/>
        <v>90</v>
      </c>
      <c r="B91" s="30">
        <v>34029</v>
      </c>
      <c r="C91">
        <v>359.42001299999998</v>
      </c>
      <c r="J91">
        <v>90</v>
      </c>
      <c r="K91">
        <f t="shared" si="48"/>
        <v>2623.1000979999999</v>
      </c>
      <c r="L91" s="59">
        <f t="shared" si="44"/>
        <v>4.4024236851673539E-2</v>
      </c>
      <c r="N91">
        <v>90</v>
      </c>
      <c r="O91">
        <f t="shared" si="39"/>
        <v>2623.1000979999999</v>
      </c>
      <c r="P91">
        <f t="shared" ref="P91" si="55">(O92-O90)/O90</f>
        <v>0.16486250032906347</v>
      </c>
    </row>
    <row r="92" spans="1:16">
      <c r="A92">
        <f t="shared" si="41"/>
        <v>91</v>
      </c>
      <c r="B92" s="30">
        <v>34060</v>
      </c>
      <c r="C92">
        <v>339.94500699999998</v>
      </c>
      <c r="J92">
        <v>91</v>
      </c>
      <c r="K92">
        <f t="shared" si="48"/>
        <v>2738.580078</v>
      </c>
      <c r="L92" s="59">
        <f t="shared" si="44"/>
        <v>0.34964105219785357</v>
      </c>
      <c r="N92">
        <v>91</v>
      </c>
      <c r="O92">
        <f t="shared" si="39"/>
        <v>2738.580078</v>
      </c>
      <c r="P92">
        <f>0</f>
        <v>0</v>
      </c>
    </row>
    <row r="93" spans="1:16">
      <c r="A93">
        <f t="shared" si="41"/>
        <v>92</v>
      </c>
      <c r="B93" s="30">
        <v>34090</v>
      </c>
      <c r="C93">
        <v>368.10998499999999</v>
      </c>
      <c r="J93">
        <v>92</v>
      </c>
      <c r="K93">
        <f t="shared" si="48"/>
        <v>3696.1000979999999</v>
      </c>
      <c r="L93" s="59">
        <f t="shared" si="44"/>
        <v>0.20144741870029306</v>
      </c>
      <c r="N93">
        <v>92</v>
      </c>
      <c r="O93">
        <f t="shared" si="39"/>
        <v>3696.1000979999999</v>
      </c>
      <c r="P93">
        <f t="shared" ref="P93" si="56">(O94-O92)/O92</f>
        <v>0.62152275833505866</v>
      </c>
    </row>
    <row r="94" spans="1:16">
      <c r="A94">
        <f t="shared" si="41"/>
        <v>93</v>
      </c>
      <c r="B94" s="30">
        <v>34121</v>
      </c>
      <c r="C94">
        <v>366.125</v>
      </c>
      <c r="J94">
        <v>93</v>
      </c>
      <c r="K94">
        <f t="shared" si="48"/>
        <v>4440.669922</v>
      </c>
      <c r="L94" s="59">
        <f t="shared" si="44"/>
        <v>-5.3944519454873288E-2</v>
      </c>
      <c r="N94">
        <v>93</v>
      </c>
      <c r="O94">
        <f t="shared" si="39"/>
        <v>4440.669922</v>
      </c>
      <c r="P94">
        <f>0</f>
        <v>0</v>
      </c>
    </row>
    <row r="95" spans="1:16">
      <c r="A95">
        <f t="shared" si="41"/>
        <v>94</v>
      </c>
      <c r="B95" s="30">
        <v>34151</v>
      </c>
      <c r="C95">
        <v>352.86498999999998</v>
      </c>
      <c r="J95">
        <v>94</v>
      </c>
      <c r="K95">
        <f t="shared" si="48"/>
        <v>4201.1201170000004</v>
      </c>
      <c r="L95" s="59">
        <f t="shared" si="44"/>
        <v>0.26878306512367683</v>
      </c>
      <c r="N95">
        <v>94</v>
      </c>
      <c r="O95">
        <f t="shared" si="39"/>
        <v>4201.1201170000004</v>
      </c>
      <c r="P95">
        <f t="shared" ref="P95" si="57">(O96-O94)/O94</f>
        <v>0.2003391723830989</v>
      </c>
    </row>
    <row r="96" spans="1:16">
      <c r="A96">
        <f t="shared" si="41"/>
        <v>95</v>
      </c>
      <c r="B96" s="30">
        <v>34182</v>
      </c>
      <c r="C96">
        <v>372.64999399999999</v>
      </c>
      <c r="J96">
        <v>95</v>
      </c>
      <c r="K96">
        <f t="shared" si="48"/>
        <v>5330.3100590000004</v>
      </c>
      <c r="L96" s="59">
        <f t="shared" si="44"/>
        <v>0.28593268423974799</v>
      </c>
      <c r="N96">
        <v>95</v>
      </c>
      <c r="O96">
        <f t="shared" si="39"/>
        <v>5330.3100590000004</v>
      </c>
      <c r="P96">
        <f>0</f>
        <v>0</v>
      </c>
    </row>
    <row r="97" spans="1:16">
      <c r="A97">
        <f t="shared" si="41"/>
        <v>96</v>
      </c>
      <c r="B97" s="30">
        <v>34213</v>
      </c>
      <c r="C97">
        <v>382.71499599999999</v>
      </c>
      <c r="J97">
        <v>96</v>
      </c>
      <c r="K97">
        <f t="shared" si="48"/>
        <v>6854.419922</v>
      </c>
      <c r="L97" s="59">
        <f t="shared" si="44"/>
        <v>3.5467605686035131E-2</v>
      </c>
      <c r="N97">
        <v>96</v>
      </c>
      <c r="O97">
        <f t="shared" si="39"/>
        <v>6854.419922</v>
      </c>
      <c r="P97">
        <f t="shared" ref="P97" si="58">(O98-O96)/O96</f>
        <v>0.33154163762314809</v>
      </c>
    </row>
    <row r="98" spans="1:16">
      <c r="A98">
        <f t="shared" si="41"/>
        <v>97</v>
      </c>
      <c r="B98" s="30">
        <v>34243</v>
      </c>
      <c r="C98">
        <v>390.98498499999999</v>
      </c>
      <c r="J98">
        <v>97</v>
      </c>
      <c r="K98">
        <f t="shared" si="48"/>
        <v>7097.5297849999997</v>
      </c>
      <c r="L98" s="59">
        <f t="shared" si="44"/>
        <v>0.1922218482102504</v>
      </c>
      <c r="N98">
        <v>97</v>
      </c>
      <c r="O98">
        <f t="shared" si="39"/>
        <v>7097.5297849999997</v>
      </c>
      <c r="P98">
        <f>0</f>
        <v>0</v>
      </c>
    </row>
    <row r="99" spans="1:16">
      <c r="A99">
        <f t="shared" si="41"/>
        <v>98</v>
      </c>
      <c r="B99" s="30">
        <v>34274</v>
      </c>
      <c r="C99">
        <v>386.76001000000002</v>
      </c>
      <c r="J99">
        <v>98</v>
      </c>
      <c r="K99">
        <f t="shared" si="48"/>
        <v>8461.8300780000009</v>
      </c>
      <c r="L99" s="59">
        <f t="shared" si="44"/>
        <v>0.58417106044846767</v>
      </c>
      <c r="N99">
        <v>98</v>
      </c>
      <c r="O99">
        <f t="shared" si="39"/>
        <v>8461.8300780000009</v>
      </c>
      <c r="P99">
        <f t="shared" ref="P99" si="59">(O100-O98)/O98</f>
        <v>0.88868334956906436</v>
      </c>
    </row>
    <row r="100" spans="1:16">
      <c r="A100">
        <f t="shared" si="41"/>
        <v>99</v>
      </c>
      <c r="B100" s="30">
        <v>34304</v>
      </c>
      <c r="C100">
        <v>398.27999899999998</v>
      </c>
      <c r="J100">
        <v>99</v>
      </c>
      <c r="K100">
        <f t="shared" si="48"/>
        <v>13404.986328000001</v>
      </c>
      <c r="L100" s="59">
        <f t="shared" si="44"/>
        <v>-0.82461824783145721</v>
      </c>
      <c r="N100">
        <v>99</v>
      </c>
      <c r="O100">
        <f t="shared" si="39"/>
        <v>13404.986328000001</v>
      </c>
      <c r="P100">
        <f>0</f>
        <v>0</v>
      </c>
    </row>
    <row r="101" spans="1:16">
      <c r="A101">
        <f t="shared" si="41"/>
        <v>100</v>
      </c>
      <c r="B101" s="30">
        <v>34335</v>
      </c>
      <c r="C101">
        <v>413.98998999999998</v>
      </c>
      <c r="J101">
        <v>100</v>
      </c>
      <c r="K101">
        <f t="shared" si="48"/>
        <v>2350.98999</v>
      </c>
      <c r="L101" s="59">
        <f t="shared" si="44"/>
        <v>0.11574277608897852</v>
      </c>
      <c r="N101">
        <v>100</v>
      </c>
      <c r="O101">
        <f t="shared" si="39"/>
        <v>2350.98999</v>
      </c>
      <c r="P101">
        <f t="shared" ref="P101" si="60">(O102-O100)/O100</f>
        <v>-0.80431907696012084</v>
      </c>
    </row>
    <row r="102" spans="1:16">
      <c r="A102">
        <f t="shared" si="41"/>
        <v>101</v>
      </c>
      <c r="B102" s="30">
        <v>34366</v>
      </c>
      <c r="C102">
        <v>412.17001299999998</v>
      </c>
      <c r="J102">
        <v>101</v>
      </c>
      <c r="K102">
        <f t="shared" si="48"/>
        <v>2623.1000979999999</v>
      </c>
      <c r="L102" s="59">
        <f t="shared" si="44"/>
        <v>4.4024236851673539E-2</v>
      </c>
      <c r="N102">
        <v>101</v>
      </c>
      <c r="O102">
        <f t="shared" si="39"/>
        <v>2623.1000979999999</v>
      </c>
      <c r="P102">
        <f>0</f>
        <v>0</v>
      </c>
    </row>
    <row r="103" spans="1:16">
      <c r="A103">
        <f t="shared" si="41"/>
        <v>102</v>
      </c>
      <c r="B103" s="30">
        <v>34394</v>
      </c>
      <c r="C103">
        <v>382.959991</v>
      </c>
      <c r="J103">
        <v>102</v>
      </c>
      <c r="K103">
        <f>K92</f>
        <v>2738.580078</v>
      </c>
      <c r="L103" s="59">
        <f t="shared" si="44"/>
        <v>0.34964105219785357</v>
      </c>
      <c r="N103">
        <v>102</v>
      </c>
      <c r="O103">
        <f t="shared" si="39"/>
        <v>2738.580078</v>
      </c>
      <c r="P103">
        <f t="shared" ref="P103" si="61">(O104-O102)/O102</f>
        <v>0.40905796954455376</v>
      </c>
    </row>
    <row r="104" spans="1:16">
      <c r="A104">
        <f t="shared" si="41"/>
        <v>103</v>
      </c>
      <c r="B104" s="30">
        <v>34425</v>
      </c>
      <c r="C104">
        <v>373.25</v>
      </c>
      <c r="J104">
        <v>103</v>
      </c>
      <c r="K104">
        <f>K93</f>
        <v>3696.1000979999999</v>
      </c>
      <c r="L104" s="59">
        <f>(K105-K104)/K104</f>
        <v>-1</v>
      </c>
      <c r="N104">
        <v>103</v>
      </c>
      <c r="O104">
        <f t="shared" si="39"/>
        <v>3696.1000979999999</v>
      </c>
      <c r="P104">
        <f>0</f>
        <v>0</v>
      </c>
    </row>
    <row r="105" spans="1:16">
      <c r="A105">
        <f t="shared" si="41"/>
        <v>104</v>
      </c>
      <c r="B105" s="30">
        <v>34455</v>
      </c>
      <c r="C105">
        <v>378.85000600000001</v>
      </c>
    </row>
    <row r="106" spans="1:16">
      <c r="A106">
        <f t="shared" si="41"/>
        <v>105</v>
      </c>
      <c r="B106" s="30">
        <v>34486</v>
      </c>
      <c r="C106">
        <v>360.29998799999998</v>
      </c>
    </row>
    <row r="107" spans="1:16">
      <c r="A107">
        <f t="shared" si="41"/>
        <v>106</v>
      </c>
      <c r="B107" s="30">
        <v>34516</v>
      </c>
      <c r="C107">
        <v>370.16000400000001</v>
      </c>
    </row>
    <row r="108" spans="1:16">
      <c r="A108">
        <f t="shared" si="41"/>
        <v>107</v>
      </c>
      <c r="B108" s="30">
        <v>34547</v>
      </c>
      <c r="C108">
        <v>397.89999399999999</v>
      </c>
    </row>
    <row r="109" spans="1:16">
      <c r="A109">
        <f t="shared" si="41"/>
        <v>108</v>
      </c>
      <c r="B109" s="30">
        <v>34578</v>
      </c>
      <c r="C109">
        <v>393.85000600000001</v>
      </c>
    </row>
    <row r="110" spans="1:16">
      <c r="A110">
        <f t="shared" si="41"/>
        <v>109</v>
      </c>
      <c r="B110" s="30">
        <v>34608</v>
      </c>
      <c r="C110">
        <v>413.04998799999998</v>
      </c>
    </row>
    <row r="111" spans="1:16">
      <c r="A111">
        <f t="shared" si="41"/>
        <v>110</v>
      </c>
      <c r="B111" s="30">
        <v>34639</v>
      </c>
      <c r="C111">
        <v>404.82000699999998</v>
      </c>
    </row>
    <row r="112" spans="1:16">
      <c r="A112">
        <f t="shared" si="41"/>
        <v>111</v>
      </c>
      <c r="B112" s="30">
        <v>34669</v>
      </c>
      <c r="C112">
        <v>404.26998900000001</v>
      </c>
    </row>
    <row r="113" spans="1:3">
      <c r="A113">
        <f t="shared" si="41"/>
        <v>112</v>
      </c>
      <c r="B113" s="30">
        <v>34700</v>
      </c>
      <c r="C113">
        <v>405.32998700000002</v>
      </c>
    </row>
    <row r="114" spans="1:3">
      <c r="A114">
        <f t="shared" si="41"/>
        <v>113</v>
      </c>
      <c r="B114" s="30">
        <v>34731</v>
      </c>
      <c r="C114">
        <v>432.5</v>
      </c>
    </row>
    <row r="115" spans="1:3">
      <c r="A115">
        <f t="shared" si="41"/>
        <v>114</v>
      </c>
      <c r="B115" s="30">
        <v>34759</v>
      </c>
      <c r="C115">
        <v>447.14999399999999</v>
      </c>
    </row>
    <row r="116" spans="1:3">
      <c r="A116">
        <f t="shared" si="41"/>
        <v>115</v>
      </c>
      <c r="B116" s="30">
        <v>34790</v>
      </c>
      <c r="C116">
        <v>469.55999800000001</v>
      </c>
    </row>
    <row r="117" spans="1:3">
      <c r="A117">
        <f t="shared" si="41"/>
        <v>116</v>
      </c>
      <c r="B117" s="30">
        <v>34820</v>
      </c>
      <c r="C117">
        <v>488.10000600000001</v>
      </c>
    </row>
    <row r="118" spans="1:3">
      <c r="A118">
        <f t="shared" si="41"/>
        <v>117</v>
      </c>
      <c r="B118" s="30">
        <v>34851</v>
      </c>
      <c r="C118">
        <v>538.03002900000001</v>
      </c>
    </row>
    <row r="119" spans="1:3">
      <c r="A119">
        <f t="shared" si="41"/>
        <v>118</v>
      </c>
      <c r="B119" s="30">
        <v>34881</v>
      </c>
      <c r="C119">
        <v>568.88000499999998</v>
      </c>
    </row>
    <row r="120" spans="1:3">
      <c r="A120">
        <f t="shared" si="41"/>
        <v>119</v>
      </c>
      <c r="B120" s="30">
        <v>34912</v>
      </c>
      <c r="C120">
        <v>576.77002000000005</v>
      </c>
    </row>
    <row r="121" spans="1:3">
      <c r="A121">
        <f t="shared" si="41"/>
        <v>120</v>
      </c>
      <c r="B121" s="30">
        <v>34943</v>
      </c>
      <c r="C121">
        <v>585.080017</v>
      </c>
    </row>
    <row r="122" spans="1:3">
      <c r="A122">
        <f t="shared" si="41"/>
        <v>121</v>
      </c>
      <c r="B122" s="30">
        <v>34973</v>
      </c>
      <c r="C122">
        <v>598.78002900000001</v>
      </c>
    </row>
    <row r="123" spans="1:3">
      <c r="A123">
        <f t="shared" si="41"/>
        <v>122</v>
      </c>
      <c r="B123" s="30">
        <v>35004</v>
      </c>
      <c r="C123">
        <v>593.71997099999999</v>
      </c>
    </row>
    <row r="124" spans="1:3">
      <c r="A124">
        <f t="shared" si="41"/>
        <v>123</v>
      </c>
      <c r="B124" s="30">
        <v>35034</v>
      </c>
      <c r="C124">
        <v>576.22997999999995</v>
      </c>
    </row>
    <row r="125" spans="1:3">
      <c r="A125">
        <f t="shared" si="41"/>
        <v>124</v>
      </c>
      <c r="B125" s="30">
        <v>35065</v>
      </c>
      <c r="C125">
        <v>591.82000700000003</v>
      </c>
    </row>
    <row r="126" spans="1:3">
      <c r="A126">
        <f t="shared" si="41"/>
        <v>125</v>
      </c>
      <c r="B126" s="30">
        <v>35096</v>
      </c>
      <c r="C126">
        <v>622.830017</v>
      </c>
    </row>
    <row r="127" spans="1:3">
      <c r="A127">
        <f t="shared" si="41"/>
        <v>126</v>
      </c>
      <c r="B127" s="30">
        <v>35125</v>
      </c>
      <c r="C127">
        <v>609.69000200000005</v>
      </c>
    </row>
    <row r="128" spans="1:3">
      <c r="A128">
        <f t="shared" si="41"/>
        <v>127</v>
      </c>
      <c r="B128" s="30">
        <v>35156</v>
      </c>
      <c r="C128">
        <v>666.72997999999995</v>
      </c>
    </row>
    <row r="129" spans="1:3">
      <c r="A129">
        <f t="shared" si="41"/>
        <v>128</v>
      </c>
      <c r="B129" s="30">
        <v>35186</v>
      </c>
      <c r="C129">
        <v>692.39001499999995</v>
      </c>
    </row>
    <row r="130" spans="1:3">
      <c r="A130">
        <f t="shared" si="41"/>
        <v>129</v>
      </c>
      <c r="B130" s="30">
        <v>35217</v>
      </c>
      <c r="C130">
        <v>677.29998799999998</v>
      </c>
    </row>
    <row r="131" spans="1:3">
      <c r="A131">
        <f t="shared" si="41"/>
        <v>130</v>
      </c>
      <c r="B131" s="30">
        <v>35247</v>
      </c>
      <c r="C131">
        <v>636.01000999999997</v>
      </c>
    </row>
    <row r="132" spans="1:3">
      <c r="A132">
        <f t="shared" ref="A132:A195" si="62">A131+1</f>
        <v>131</v>
      </c>
      <c r="B132" s="30">
        <v>35278</v>
      </c>
      <c r="C132">
        <v>663.57000700000003</v>
      </c>
    </row>
    <row r="133" spans="1:3">
      <c r="A133">
        <f t="shared" si="62"/>
        <v>132</v>
      </c>
      <c r="B133" s="30">
        <v>35309</v>
      </c>
      <c r="C133">
        <v>737.57000700000003</v>
      </c>
    </row>
    <row r="134" spans="1:3">
      <c r="A134">
        <f t="shared" si="62"/>
        <v>133</v>
      </c>
      <c r="B134" s="30">
        <v>35339</v>
      </c>
      <c r="C134">
        <v>751.98999000000003</v>
      </c>
    </row>
    <row r="135" spans="1:3">
      <c r="A135">
        <f t="shared" si="62"/>
        <v>134</v>
      </c>
      <c r="B135" s="30">
        <v>35370</v>
      </c>
      <c r="C135">
        <v>834.01000999999997</v>
      </c>
    </row>
    <row r="136" spans="1:3">
      <c r="A136">
        <f t="shared" si="62"/>
        <v>135</v>
      </c>
      <c r="B136" s="30">
        <v>35400</v>
      </c>
      <c r="C136">
        <v>821.35998500000005</v>
      </c>
    </row>
    <row r="137" spans="1:3">
      <c r="A137">
        <f t="shared" si="62"/>
        <v>136</v>
      </c>
      <c r="B137" s="30">
        <v>35431</v>
      </c>
      <c r="C137">
        <v>921.54998799999998</v>
      </c>
    </row>
    <row r="138" spans="1:3">
      <c r="A138">
        <f t="shared" si="62"/>
        <v>137</v>
      </c>
      <c r="B138" s="30">
        <v>35462</v>
      </c>
      <c r="C138">
        <v>850.46002199999998</v>
      </c>
    </row>
    <row r="139" spans="1:3">
      <c r="A139">
        <f t="shared" si="62"/>
        <v>138</v>
      </c>
      <c r="B139" s="30">
        <v>35490</v>
      </c>
      <c r="C139">
        <v>797.05999799999995</v>
      </c>
    </row>
    <row r="140" spans="1:3">
      <c r="A140">
        <f t="shared" si="62"/>
        <v>139</v>
      </c>
      <c r="B140" s="30">
        <v>35521</v>
      </c>
      <c r="C140">
        <v>874.73999000000003</v>
      </c>
    </row>
    <row r="141" spans="1:3">
      <c r="A141">
        <f t="shared" si="62"/>
        <v>140</v>
      </c>
      <c r="B141" s="30">
        <v>35551</v>
      </c>
      <c r="C141">
        <v>958.84997599999997</v>
      </c>
    </row>
    <row r="142" spans="1:3">
      <c r="A142">
        <f t="shared" si="62"/>
        <v>141</v>
      </c>
      <c r="B142" s="30">
        <v>35582</v>
      </c>
      <c r="C142">
        <v>957.29998799999998</v>
      </c>
    </row>
    <row r="143" spans="1:3">
      <c r="A143">
        <f t="shared" si="62"/>
        <v>142</v>
      </c>
      <c r="B143" s="30">
        <v>35612</v>
      </c>
      <c r="C143">
        <v>1107.030029</v>
      </c>
    </row>
    <row r="144" spans="1:3">
      <c r="A144">
        <f t="shared" si="62"/>
        <v>143</v>
      </c>
      <c r="B144" s="30">
        <v>35643</v>
      </c>
      <c r="C144">
        <v>1074.0500489999999</v>
      </c>
    </row>
    <row r="145" spans="1:3">
      <c r="A145">
        <f t="shared" si="62"/>
        <v>144</v>
      </c>
      <c r="B145" s="30">
        <v>35674</v>
      </c>
      <c r="C145">
        <v>1097.160034</v>
      </c>
    </row>
    <row r="146" spans="1:3">
      <c r="A146">
        <f t="shared" si="62"/>
        <v>145</v>
      </c>
      <c r="B146" s="30">
        <v>35704</v>
      </c>
      <c r="C146">
        <v>1019.619995</v>
      </c>
    </row>
    <row r="147" spans="1:3">
      <c r="A147">
        <f t="shared" si="62"/>
        <v>146</v>
      </c>
      <c r="B147" s="30">
        <v>35735</v>
      </c>
      <c r="C147">
        <v>1050.51001</v>
      </c>
    </row>
    <row r="148" spans="1:3">
      <c r="A148">
        <f t="shared" si="62"/>
        <v>147</v>
      </c>
      <c r="B148" s="30">
        <v>35765</v>
      </c>
      <c r="C148">
        <v>990.830017</v>
      </c>
    </row>
    <row r="149" spans="1:3">
      <c r="A149">
        <f t="shared" si="62"/>
        <v>148</v>
      </c>
      <c r="B149" s="30">
        <v>35796</v>
      </c>
      <c r="C149">
        <v>1071.130005</v>
      </c>
    </row>
    <row r="150" spans="1:3">
      <c r="A150">
        <f t="shared" si="62"/>
        <v>149</v>
      </c>
      <c r="B150" s="30">
        <v>35827</v>
      </c>
      <c r="C150">
        <v>1194.130005</v>
      </c>
    </row>
    <row r="151" spans="1:3">
      <c r="A151">
        <f t="shared" si="62"/>
        <v>150</v>
      </c>
      <c r="B151" s="30">
        <v>35855</v>
      </c>
      <c r="C151">
        <v>1220.660034</v>
      </c>
    </row>
    <row r="152" spans="1:3">
      <c r="A152">
        <f t="shared" si="62"/>
        <v>151</v>
      </c>
      <c r="B152" s="30">
        <v>35886</v>
      </c>
      <c r="C152">
        <v>1248.119995</v>
      </c>
    </row>
    <row r="153" spans="1:3">
      <c r="A153">
        <f t="shared" si="62"/>
        <v>152</v>
      </c>
      <c r="B153" s="30">
        <v>35916</v>
      </c>
      <c r="C153">
        <v>1192.0699460000001</v>
      </c>
    </row>
    <row r="154" spans="1:3">
      <c r="A154">
        <f t="shared" si="62"/>
        <v>153</v>
      </c>
      <c r="B154" s="30">
        <v>35947</v>
      </c>
      <c r="C154">
        <v>1337.339966</v>
      </c>
    </row>
    <row r="155" spans="1:3">
      <c r="A155">
        <f t="shared" si="62"/>
        <v>154</v>
      </c>
      <c r="B155" s="30">
        <v>35977</v>
      </c>
      <c r="C155">
        <v>1377.26001</v>
      </c>
    </row>
    <row r="156" spans="1:3">
      <c r="A156">
        <f t="shared" si="62"/>
        <v>155</v>
      </c>
      <c r="B156" s="30">
        <v>36008</v>
      </c>
      <c r="C156">
        <v>1140.339966</v>
      </c>
    </row>
    <row r="157" spans="1:3">
      <c r="A157">
        <f t="shared" si="62"/>
        <v>156</v>
      </c>
      <c r="B157" s="30">
        <v>36039</v>
      </c>
      <c r="C157">
        <v>1345.4799800000001</v>
      </c>
    </row>
    <row r="158" spans="1:3">
      <c r="A158">
        <f t="shared" si="62"/>
        <v>157</v>
      </c>
      <c r="B158" s="30">
        <v>36069</v>
      </c>
      <c r="C158">
        <v>1400.5200199999999</v>
      </c>
    </row>
    <row r="159" spans="1:3">
      <c r="A159">
        <f t="shared" si="62"/>
        <v>158</v>
      </c>
      <c r="B159" s="30">
        <v>36100</v>
      </c>
      <c r="C159">
        <v>1557.959961</v>
      </c>
    </row>
    <row r="160" spans="1:3">
      <c r="A160">
        <f t="shared" si="62"/>
        <v>159</v>
      </c>
      <c r="B160" s="30">
        <v>36130</v>
      </c>
      <c r="C160">
        <v>1836.01001</v>
      </c>
    </row>
    <row r="161" spans="1:3">
      <c r="A161">
        <f t="shared" si="62"/>
        <v>160</v>
      </c>
      <c r="B161" s="30">
        <v>36161</v>
      </c>
      <c r="C161">
        <v>2127.1899410000001</v>
      </c>
    </row>
    <row r="162" spans="1:3">
      <c r="A162">
        <f t="shared" si="62"/>
        <v>161</v>
      </c>
      <c r="B162" s="30">
        <v>36192</v>
      </c>
      <c r="C162">
        <v>1925.280029</v>
      </c>
    </row>
    <row r="163" spans="1:3">
      <c r="A163">
        <f t="shared" si="62"/>
        <v>162</v>
      </c>
      <c r="B163" s="30">
        <v>36220</v>
      </c>
      <c r="C163">
        <v>2106.389893</v>
      </c>
    </row>
    <row r="164" spans="1:3">
      <c r="A164">
        <f t="shared" si="62"/>
        <v>163</v>
      </c>
      <c r="B164" s="30">
        <v>36251</v>
      </c>
      <c r="C164">
        <v>2136.389893</v>
      </c>
    </row>
    <row r="165" spans="1:3">
      <c r="A165">
        <f t="shared" si="62"/>
        <v>164</v>
      </c>
      <c r="B165" s="30">
        <v>36281</v>
      </c>
      <c r="C165">
        <v>2089.6999510000001</v>
      </c>
    </row>
    <row r="166" spans="1:3">
      <c r="A166">
        <f t="shared" si="62"/>
        <v>165</v>
      </c>
      <c r="B166" s="30">
        <v>36312</v>
      </c>
      <c r="C166">
        <v>2296.7700199999999</v>
      </c>
    </row>
    <row r="167" spans="1:3">
      <c r="A167">
        <f t="shared" si="62"/>
        <v>166</v>
      </c>
      <c r="B167" s="30">
        <v>36342</v>
      </c>
      <c r="C167">
        <v>2270.929932</v>
      </c>
    </row>
    <row r="168" spans="1:3">
      <c r="A168">
        <f t="shared" si="62"/>
        <v>167</v>
      </c>
      <c r="B168" s="30">
        <v>36373</v>
      </c>
      <c r="C168">
        <v>2396.8701169999999</v>
      </c>
    </row>
    <row r="169" spans="1:3">
      <c r="A169">
        <f t="shared" si="62"/>
        <v>168</v>
      </c>
      <c r="B169" s="30">
        <v>36404</v>
      </c>
      <c r="C169">
        <v>2407.8999020000001</v>
      </c>
    </row>
    <row r="170" spans="1:3">
      <c r="A170">
        <f t="shared" si="62"/>
        <v>169</v>
      </c>
      <c r="B170" s="30">
        <v>36434</v>
      </c>
      <c r="C170">
        <v>2637.4399410000001</v>
      </c>
    </row>
    <row r="171" spans="1:3">
      <c r="A171">
        <f t="shared" si="62"/>
        <v>170</v>
      </c>
      <c r="B171" s="30">
        <v>36465</v>
      </c>
      <c r="C171">
        <v>2966.709961</v>
      </c>
    </row>
    <row r="172" spans="1:3">
      <c r="A172">
        <f t="shared" si="62"/>
        <v>171</v>
      </c>
      <c r="B172" s="30">
        <v>36495</v>
      </c>
      <c r="C172">
        <v>3707.830078</v>
      </c>
    </row>
    <row r="173" spans="1:3">
      <c r="A173">
        <f t="shared" si="62"/>
        <v>172</v>
      </c>
      <c r="B173" s="30">
        <v>36526</v>
      </c>
      <c r="C173">
        <v>3570.0500489999999</v>
      </c>
    </row>
    <row r="174" spans="1:3">
      <c r="A174">
        <f t="shared" si="62"/>
        <v>173</v>
      </c>
      <c r="B174" s="30">
        <v>36557</v>
      </c>
      <c r="C174">
        <v>4266.9399409999996</v>
      </c>
    </row>
    <row r="175" spans="1:3">
      <c r="A175">
        <f t="shared" si="62"/>
        <v>174</v>
      </c>
      <c r="B175" s="30">
        <v>36586</v>
      </c>
      <c r="C175">
        <v>4397.8398440000001</v>
      </c>
    </row>
    <row r="176" spans="1:3">
      <c r="A176">
        <f t="shared" si="62"/>
        <v>175</v>
      </c>
      <c r="B176" s="30">
        <v>36617</v>
      </c>
      <c r="C176">
        <v>3773.179932</v>
      </c>
    </row>
    <row r="177" spans="1:3">
      <c r="A177">
        <f t="shared" si="62"/>
        <v>176</v>
      </c>
      <c r="B177" s="30">
        <v>36647</v>
      </c>
      <c r="C177">
        <v>3324.080078</v>
      </c>
    </row>
    <row r="178" spans="1:3">
      <c r="A178">
        <f t="shared" si="62"/>
        <v>177</v>
      </c>
      <c r="B178" s="30">
        <v>36678</v>
      </c>
      <c r="C178">
        <v>3763.790039</v>
      </c>
    </row>
    <row r="179" spans="1:3">
      <c r="A179">
        <f t="shared" si="62"/>
        <v>178</v>
      </c>
      <c r="B179" s="30">
        <v>36708</v>
      </c>
      <c r="C179">
        <v>3609.3500979999999</v>
      </c>
    </row>
    <row r="180" spans="1:3">
      <c r="A180">
        <f t="shared" si="62"/>
        <v>179</v>
      </c>
      <c r="B180" s="30">
        <v>36739</v>
      </c>
      <c r="C180">
        <v>4077.5900879999999</v>
      </c>
    </row>
    <row r="181" spans="1:3">
      <c r="A181">
        <f t="shared" si="62"/>
        <v>180</v>
      </c>
      <c r="B181" s="30">
        <v>36770</v>
      </c>
      <c r="C181">
        <v>3570.610107</v>
      </c>
    </row>
    <row r="182" spans="1:3">
      <c r="A182">
        <f t="shared" si="62"/>
        <v>181</v>
      </c>
      <c r="B182" s="30">
        <v>36800</v>
      </c>
      <c r="C182">
        <v>3282.3000489999999</v>
      </c>
    </row>
    <row r="183" spans="1:3">
      <c r="A183">
        <f t="shared" si="62"/>
        <v>182</v>
      </c>
      <c r="B183" s="30">
        <v>36831</v>
      </c>
      <c r="C183">
        <v>2506.540039</v>
      </c>
    </row>
    <row r="184" spans="1:3">
      <c r="A184">
        <f t="shared" si="62"/>
        <v>183</v>
      </c>
      <c r="B184" s="30">
        <v>36861</v>
      </c>
      <c r="C184">
        <v>2341.6999510000001</v>
      </c>
    </row>
    <row r="185" spans="1:3">
      <c r="A185">
        <f t="shared" si="62"/>
        <v>184</v>
      </c>
      <c r="B185" s="30">
        <v>36892</v>
      </c>
      <c r="C185">
        <v>2593</v>
      </c>
    </row>
    <row r="186" spans="1:3">
      <c r="A186">
        <f t="shared" si="62"/>
        <v>185</v>
      </c>
      <c r="B186" s="30">
        <v>36923</v>
      </c>
      <c r="C186">
        <v>1908.3199460000001</v>
      </c>
    </row>
    <row r="187" spans="1:3">
      <c r="A187">
        <f t="shared" si="62"/>
        <v>186</v>
      </c>
      <c r="B187" s="30">
        <v>36951</v>
      </c>
      <c r="C187">
        <v>1573.25</v>
      </c>
    </row>
    <row r="188" spans="1:3">
      <c r="A188">
        <f t="shared" si="62"/>
        <v>187</v>
      </c>
      <c r="B188" s="30">
        <v>36982</v>
      </c>
      <c r="C188">
        <v>1855.150024</v>
      </c>
    </row>
    <row r="189" spans="1:3">
      <c r="A189">
        <f t="shared" si="62"/>
        <v>188</v>
      </c>
      <c r="B189" s="30">
        <v>37012</v>
      </c>
      <c r="C189">
        <v>1799.8900149999999</v>
      </c>
    </row>
    <row r="190" spans="1:3">
      <c r="A190">
        <f t="shared" si="62"/>
        <v>189</v>
      </c>
      <c r="B190" s="30">
        <v>37043</v>
      </c>
      <c r="C190">
        <v>1830.1899410000001</v>
      </c>
    </row>
    <row r="191" spans="1:3">
      <c r="A191">
        <f t="shared" si="62"/>
        <v>190</v>
      </c>
      <c r="B191" s="30">
        <v>37073</v>
      </c>
      <c r="C191">
        <v>1683.6099850000001</v>
      </c>
    </row>
    <row r="192" spans="1:3">
      <c r="A192">
        <f t="shared" si="62"/>
        <v>191</v>
      </c>
      <c r="B192" s="30">
        <v>37104</v>
      </c>
      <c r="C192">
        <v>1469.6999510000001</v>
      </c>
    </row>
    <row r="193" spans="1:3">
      <c r="A193">
        <f t="shared" si="62"/>
        <v>192</v>
      </c>
      <c r="B193" s="30">
        <v>37135</v>
      </c>
      <c r="C193">
        <v>1168.369995</v>
      </c>
    </row>
    <row r="194" spans="1:3">
      <c r="A194">
        <f t="shared" si="62"/>
        <v>193</v>
      </c>
      <c r="B194" s="30">
        <v>37165</v>
      </c>
      <c r="C194">
        <v>1364.780029</v>
      </c>
    </row>
    <row r="195" spans="1:3">
      <c r="A195">
        <f t="shared" si="62"/>
        <v>194</v>
      </c>
      <c r="B195" s="30">
        <v>37196</v>
      </c>
      <c r="C195">
        <v>1596.0500489999999</v>
      </c>
    </row>
    <row r="196" spans="1:3">
      <c r="A196">
        <f t="shared" ref="A196:A259" si="63">A195+1</f>
        <v>195</v>
      </c>
      <c r="B196" s="30">
        <v>37226</v>
      </c>
      <c r="C196">
        <v>1577.0500489999999</v>
      </c>
    </row>
    <row r="197" spans="1:3">
      <c r="A197">
        <f t="shared" si="63"/>
        <v>196</v>
      </c>
      <c r="B197" s="30">
        <v>37257</v>
      </c>
      <c r="C197">
        <v>1550.170044</v>
      </c>
    </row>
    <row r="198" spans="1:3">
      <c r="A198">
        <f t="shared" si="63"/>
        <v>197</v>
      </c>
      <c r="B198" s="30">
        <v>37288</v>
      </c>
      <c r="C198">
        <v>1359.219971</v>
      </c>
    </row>
    <row r="199" spans="1:3">
      <c r="A199">
        <f t="shared" si="63"/>
        <v>198</v>
      </c>
      <c r="B199" s="30">
        <v>37316</v>
      </c>
      <c r="C199">
        <v>1452.8100589999999</v>
      </c>
    </row>
    <row r="200" spans="1:3">
      <c r="A200">
        <f t="shared" si="63"/>
        <v>199</v>
      </c>
      <c r="B200" s="30">
        <v>37347</v>
      </c>
      <c r="C200">
        <v>1277.0699460000001</v>
      </c>
    </row>
    <row r="201" spans="1:3">
      <c r="A201">
        <f t="shared" si="63"/>
        <v>200</v>
      </c>
      <c r="B201" s="30">
        <v>37377</v>
      </c>
      <c r="C201">
        <v>1208.339966</v>
      </c>
    </row>
    <row r="202" spans="1:3">
      <c r="A202">
        <f t="shared" si="63"/>
        <v>201</v>
      </c>
      <c r="B202" s="30">
        <v>37408</v>
      </c>
      <c r="C202">
        <v>1051.410034</v>
      </c>
    </row>
    <row r="203" spans="1:3">
      <c r="A203">
        <f t="shared" si="63"/>
        <v>202</v>
      </c>
      <c r="B203" s="30">
        <v>37438</v>
      </c>
      <c r="C203">
        <v>962.09997599999997</v>
      </c>
    </row>
    <row r="204" spans="1:3">
      <c r="A204">
        <f t="shared" si="63"/>
        <v>203</v>
      </c>
      <c r="B204" s="30">
        <v>37469</v>
      </c>
      <c r="C204">
        <v>942.38000499999998</v>
      </c>
    </row>
    <row r="205" spans="1:3">
      <c r="A205">
        <f t="shared" si="63"/>
        <v>204</v>
      </c>
      <c r="B205" s="30">
        <v>37500</v>
      </c>
      <c r="C205">
        <v>832.52002000000005</v>
      </c>
    </row>
    <row r="206" spans="1:3">
      <c r="A206">
        <f t="shared" si="63"/>
        <v>205</v>
      </c>
      <c r="B206" s="30">
        <v>37530</v>
      </c>
      <c r="C206">
        <v>989.53997800000002</v>
      </c>
    </row>
    <row r="207" spans="1:3">
      <c r="A207">
        <f t="shared" si="63"/>
        <v>206</v>
      </c>
      <c r="B207" s="30">
        <v>37561</v>
      </c>
      <c r="C207">
        <v>1116.099976</v>
      </c>
    </row>
    <row r="208" spans="1:3">
      <c r="A208">
        <f t="shared" si="63"/>
        <v>207</v>
      </c>
      <c r="B208" s="30">
        <v>37591</v>
      </c>
      <c r="C208">
        <v>984.36999500000002</v>
      </c>
    </row>
    <row r="209" spans="1:3">
      <c r="A209">
        <f t="shared" si="63"/>
        <v>208</v>
      </c>
      <c r="B209" s="30">
        <v>37622</v>
      </c>
      <c r="C209">
        <v>983.04998799999998</v>
      </c>
    </row>
    <row r="210" spans="1:3">
      <c r="A210">
        <f t="shared" si="63"/>
        <v>209</v>
      </c>
      <c r="B210" s="30">
        <v>37653</v>
      </c>
      <c r="C210">
        <v>1009.73999</v>
      </c>
    </row>
    <row r="211" spans="1:3">
      <c r="A211">
        <f t="shared" si="63"/>
        <v>210</v>
      </c>
      <c r="B211" s="30">
        <v>37681</v>
      </c>
      <c r="C211">
        <v>1018.659973</v>
      </c>
    </row>
    <row r="212" spans="1:3">
      <c r="A212">
        <f t="shared" si="63"/>
        <v>211</v>
      </c>
      <c r="B212" s="30">
        <v>37712</v>
      </c>
      <c r="C212">
        <v>1106.0600589999999</v>
      </c>
    </row>
    <row r="213" spans="1:3">
      <c r="A213">
        <f t="shared" si="63"/>
        <v>212</v>
      </c>
      <c r="B213" s="30">
        <v>37742</v>
      </c>
      <c r="C213">
        <v>1197.8900149999999</v>
      </c>
    </row>
    <row r="214" spans="1:3">
      <c r="A214">
        <f t="shared" si="63"/>
        <v>213</v>
      </c>
      <c r="B214" s="30">
        <v>37773</v>
      </c>
      <c r="C214">
        <v>1201.6899410000001</v>
      </c>
    </row>
    <row r="215" spans="1:3">
      <c r="A215">
        <f t="shared" si="63"/>
        <v>214</v>
      </c>
      <c r="B215" s="30">
        <v>37803</v>
      </c>
      <c r="C215">
        <v>1276.9399410000001</v>
      </c>
    </row>
    <row r="216" spans="1:3">
      <c r="A216">
        <f t="shared" si="63"/>
        <v>215</v>
      </c>
      <c r="B216" s="30">
        <v>37834</v>
      </c>
      <c r="C216">
        <v>1341.1999510000001</v>
      </c>
    </row>
    <row r="217" spans="1:3">
      <c r="A217">
        <f t="shared" si="63"/>
        <v>216</v>
      </c>
      <c r="B217" s="30">
        <v>37865</v>
      </c>
      <c r="C217">
        <v>1303.6999510000001</v>
      </c>
    </row>
    <row r="218" spans="1:3">
      <c r="A218">
        <f t="shared" si="63"/>
        <v>217</v>
      </c>
      <c r="B218" s="30">
        <v>37895</v>
      </c>
      <c r="C218">
        <v>1416.3900149999999</v>
      </c>
    </row>
    <row r="219" spans="1:3">
      <c r="A219">
        <f t="shared" si="63"/>
        <v>218</v>
      </c>
      <c r="B219" s="30">
        <v>37926</v>
      </c>
      <c r="C219">
        <v>1424.25</v>
      </c>
    </row>
    <row r="220" spans="1:3">
      <c r="A220">
        <f t="shared" si="63"/>
        <v>219</v>
      </c>
      <c r="B220" s="30">
        <v>37956</v>
      </c>
      <c r="C220">
        <v>1467.920044</v>
      </c>
    </row>
    <row r="221" spans="1:3">
      <c r="A221">
        <f t="shared" si="63"/>
        <v>220</v>
      </c>
      <c r="B221" s="30">
        <v>37987</v>
      </c>
      <c r="C221">
        <v>1493.079956</v>
      </c>
    </row>
    <row r="222" spans="1:3">
      <c r="A222">
        <f t="shared" si="63"/>
        <v>221</v>
      </c>
      <c r="B222" s="30">
        <v>38018</v>
      </c>
      <c r="C222">
        <v>1470.380005</v>
      </c>
    </row>
    <row r="223" spans="1:3">
      <c r="A223">
        <f t="shared" si="63"/>
        <v>222</v>
      </c>
      <c r="B223" s="30">
        <v>38047</v>
      </c>
      <c r="C223">
        <v>1438.410034</v>
      </c>
    </row>
    <row r="224" spans="1:3">
      <c r="A224">
        <f t="shared" si="63"/>
        <v>223</v>
      </c>
      <c r="B224" s="30">
        <v>38078</v>
      </c>
      <c r="C224">
        <v>1401.3599850000001</v>
      </c>
    </row>
    <row r="225" spans="1:3">
      <c r="A225">
        <f t="shared" si="63"/>
        <v>224</v>
      </c>
      <c r="B225" s="30">
        <v>38108</v>
      </c>
      <c r="C225">
        <v>1466.219971</v>
      </c>
    </row>
    <row r="226" spans="1:3">
      <c r="A226">
        <f t="shared" si="63"/>
        <v>225</v>
      </c>
      <c r="B226" s="30">
        <v>38139</v>
      </c>
      <c r="C226">
        <v>1516.6400149999999</v>
      </c>
    </row>
    <row r="227" spans="1:3">
      <c r="A227">
        <f t="shared" si="63"/>
        <v>226</v>
      </c>
      <c r="B227" s="30">
        <v>38169</v>
      </c>
      <c r="C227">
        <v>1400.3900149999999</v>
      </c>
    </row>
    <row r="228" spans="1:3">
      <c r="A228">
        <f t="shared" si="63"/>
        <v>227</v>
      </c>
      <c r="B228" s="30">
        <v>38200</v>
      </c>
      <c r="C228">
        <v>1368.6800539999999</v>
      </c>
    </row>
    <row r="229" spans="1:3">
      <c r="A229">
        <f t="shared" si="63"/>
        <v>228</v>
      </c>
      <c r="B229" s="30">
        <v>38231</v>
      </c>
      <c r="C229">
        <v>1412.73999</v>
      </c>
    </row>
    <row r="230" spans="1:3">
      <c r="A230">
        <f t="shared" si="63"/>
        <v>229</v>
      </c>
      <c r="B230" s="30">
        <v>38261</v>
      </c>
      <c r="C230">
        <v>1486.719971</v>
      </c>
    </row>
    <row r="231" spans="1:3">
      <c r="A231">
        <f t="shared" si="63"/>
        <v>230</v>
      </c>
      <c r="B231" s="30">
        <v>38292</v>
      </c>
      <c r="C231">
        <v>1571.5</v>
      </c>
    </row>
    <row r="232" spans="1:3">
      <c r="A232">
        <f t="shared" si="63"/>
        <v>231</v>
      </c>
      <c r="B232" s="30">
        <v>38322</v>
      </c>
      <c r="C232">
        <v>1621.119995</v>
      </c>
    </row>
    <row r="233" spans="1:3">
      <c r="A233">
        <f t="shared" si="63"/>
        <v>232</v>
      </c>
      <c r="B233" s="30">
        <v>38353</v>
      </c>
      <c r="C233">
        <v>1519.630005</v>
      </c>
    </row>
    <row r="234" spans="1:3">
      <c r="A234">
        <f t="shared" si="63"/>
        <v>233</v>
      </c>
      <c r="B234" s="30">
        <v>38384</v>
      </c>
      <c r="C234">
        <v>1511.0200199999999</v>
      </c>
    </row>
    <row r="235" spans="1:3">
      <c r="A235">
        <f t="shared" si="63"/>
        <v>234</v>
      </c>
      <c r="B235" s="30">
        <v>38412</v>
      </c>
      <c r="C235">
        <v>1482.530029</v>
      </c>
    </row>
    <row r="236" spans="1:3">
      <c r="A236">
        <f t="shared" si="63"/>
        <v>235</v>
      </c>
      <c r="B236" s="30">
        <v>38443</v>
      </c>
      <c r="C236">
        <v>1420.790039</v>
      </c>
    </row>
    <row r="237" spans="1:3">
      <c r="A237">
        <f t="shared" si="63"/>
        <v>236</v>
      </c>
      <c r="B237" s="30">
        <v>38473</v>
      </c>
      <c r="C237">
        <v>1542.630005</v>
      </c>
    </row>
    <row r="238" spans="1:3">
      <c r="A238">
        <f t="shared" si="63"/>
        <v>237</v>
      </c>
      <c r="B238" s="30">
        <v>38504</v>
      </c>
      <c r="C238">
        <v>1493.5200199999999</v>
      </c>
    </row>
    <row r="239" spans="1:3">
      <c r="A239">
        <f t="shared" si="63"/>
        <v>238</v>
      </c>
      <c r="B239" s="30">
        <v>38534</v>
      </c>
      <c r="C239">
        <v>1605.1400149999999</v>
      </c>
    </row>
    <row r="240" spans="1:3">
      <c r="A240">
        <f t="shared" si="63"/>
        <v>239</v>
      </c>
      <c r="B240" s="30">
        <v>38565</v>
      </c>
      <c r="C240">
        <v>1581.709961</v>
      </c>
    </row>
    <row r="241" spans="1:3">
      <c r="A241">
        <f t="shared" si="63"/>
        <v>240</v>
      </c>
      <c r="B241" s="30">
        <v>38596</v>
      </c>
      <c r="C241">
        <v>1601.660034</v>
      </c>
    </row>
    <row r="242" spans="1:3">
      <c r="A242">
        <f t="shared" si="63"/>
        <v>241</v>
      </c>
      <c r="B242" s="30">
        <v>38626</v>
      </c>
      <c r="C242">
        <v>1579.1800539999999</v>
      </c>
    </row>
    <row r="243" spans="1:3">
      <c r="A243">
        <f t="shared" si="63"/>
        <v>242</v>
      </c>
      <c r="B243" s="30">
        <v>38657</v>
      </c>
      <c r="C243">
        <v>1672.5600589999999</v>
      </c>
    </row>
    <row r="244" spans="1:3">
      <c r="A244">
        <f t="shared" si="63"/>
        <v>243</v>
      </c>
      <c r="B244" s="30">
        <v>38687</v>
      </c>
      <c r="C244">
        <v>1645.1999510000001</v>
      </c>
    </row>
    <row r="245" spans="1:3">
      <c r="A245">
        <f t="shared" si="63"/>
        <v>244</v>
      </c>
      <c r="B245" s="30">
        <v>38718</v>
      </c>
      <c r="C245">
        <v>1710.75</v>
      </c>
    </row>
    <row r="246" spans="1:3">
      <c r="A246">
        <f t="shared" si="63"/>
        <v>245</v>
      </c>
      <c r="B246" s="30">
        <v>38749</v>
      </c>
      <c r="C246">
        <v>1670.5699460000001</v>
      </c>
    </row>
    <row r="247" spans="1:3">
      <c r="A247">
        <f t="shared" si="63"/>
        <v>246</v>
      </c>
      <c r="B247" s="30">
        <v>38777</v>
      </c>
      <c r="C247">
        <v>1703.660034</v>
      </c>
    </row>
    <row r="248" spans="1:3">
      <c r="A248">
        <f t="shared" si="63"/>
        <v>247</v>
      </c>
      <c r="B248" s="30">
        <v>38808</v>
      </c>
      <c r="C248">
        <v>1700.709961</v>
      </c>
    </row>
    <row r="249" spans="1:3">
      <c r="A249">
        <f t="shared" si="63"/>
        <v>248</v>
      </c>
      <c r="B249" s="30">
        <v>38838</v>
      </c>
      <c r="C249">
        <v>1579.579956</v>
      </c>
    </row>
    <row r="250" spans="1:3">
      <c r="A250">
        <f t="shared" si="63"/>
        <v>249</v>
      </c>
      <c r="B250" s="30">
        <v>38869</v>
      </c>
      <c r="C250">
        <v>1575.2299800000001</v>
      </c>
    </row>
    <row r="251" spans="1:3">
      <c r="A251">
        <f t="shared" si="63"/>
        <v>250</v>
      </c>
      <c r="B251" s="30">
        <v>38899</v>
      </c>
      <c r="C251">
        <v>1509.4300539999999</v>
      </c>
    </row>
    <row r="252" spans="1:3">
      <c r="A252">
        <f t="shared" si="63"/>
        <v>251</v>
      </c>
      <c r="B252" s="30">
        <v>38930</v>
      </c>
      <c r="C252">
        <v>1579.7299800000001</v>
      </c>
    </row>
    <row r="253" spans="1:3">
      <c r="A253">
        <f t="shared" si="63"/>
        <v>252</v>
      </c>
      <c r="B253" s="30">
        <v>38961</v>
      </c>
      <c r="C253">
        <v>1654.130005</v>
      </c>
    </row>
    <row r="254" spans="1:3">
      <c r="A254">
        <f t="shared" si="63"/>
        <v>253</v>
      </c>
      <c r="B254" s="30">
        <v>38991</v>
      </c>
      <c r="C254">
        <v>1732.540039</v>
      </c>
    </row>
    <row r="255" spans="1:3">
      <c r="A255">
        <f t="shared" si="63"/>
        <v>254</v>
      </c>
      <c r="B255" s="30">
        <v>39022</v>
      </c>
      <c r="C255">
        <v>1791.25</v>
      </c>
    </row>
    <row r="256" spans="1:3">
      <c r="A256">
        <f t="shared" si="63"/>
        <v>255</v>
      </c>
      <c r="B256" s="30">
        <v>39052</v>
      </c>
      <c r="C256">
        <v>1756.900024</v>
      </c>
    </row>
    <row r="257" spans="1:3">
      <c r="A257">
        <f t="shared" si="63"/>
        <v>256</v>
      </c>
      <c r="B257" s="30">
        <v>39083</v>
      </c>
      <c r="C257">
        <v>1792.280029</v>
      </c>
    </row>
    <row r="258" spans="1:3">
      <c r="A258">
        <f t="shared" si="63"/>
        <v>257</v>
      </c>
      <c r="B258" s="30">
        <v>39114</v>
      </c>
      <c r="C258">
        <v>1761.599976</v>
      </c>
    </row>
    <row r="259" spans="1:3">
      <c r="A259">
        <f t="shared" si="63"/>
        <v>258</v>
      </c>
      <c r="B259" s="30">
        <v>39142</v>
      </c>
      <c r="C259">
        <v>1772.3599850000001</v>
      </c>
    </row>
    <row r="260" spans="1:3">
      <c r="A260">
        <f t="shared" ref="A260:A323" si="64">A259+1</f>
        <v>259</v>
      </c>
      <c r="B260" s="30">
        <v>39173</v>
      </c>
      <c r="C260">
        <v>1867.75</v>
      </c>
    </row>
    <row r="261" spans="1:3">
      <c r="A261">
        <f t="shared" si="64"/>
        <v>260</v>
      </c>
      <c r="B261" s="30">
        <v>39203</v>
      </c>
      <c r="C261">
        <v>1928.1899410000001</v>
      </c>
    </row>
    <row r="262" spans="1:3">
      <c r="A262">
        <f t="shared" si="64"/>
        <v>261</v>
      </c>
      <c r="B262" s="30">
        <v>39234</v>
      </c>
      <c r="C262">
        <v>1934.099976</v>
      </c>
    </row>
    <row r="263" spans="1:3">
      <c r="A263">
        <f t="shared" si="64"/>
        <v>262</v>
      </c>
      <c r="B263" s="30">
        <v>39264</v>
      </c>
      <c r="C263">
        <v>1932.0600589999999</v>
      </c>
    </row>
    <row r="264" spans="1:3">
      <c r="A264">
        <f t="shared" si="64"/>
        <v>263</v>
      </c>
      <c r="B264" s="30">
        <v>39295</v>
      </c>
      <c r="C264">
        <v>1988.7299800000001</v>
      </c>
    </row>
    <row r="265" spans="1:3">
      <c r="A265">
        <f t="shared" si="64"/>
        <v>264</v>
      </c>
      <c r="B265" s="30">
        <v>39326</v>
      </c>
      <c r="C265">
        <v>2091.110107</v>
      </c>
    </row>
    <row r="266" spans="1:3">
      <c r="A266">
        <f t="shared" si="64"/>
        <v>265</v>
      </c>
      <c r="B266" s="30">
        <v>39356</v>
      </c>
      <c r="C266">
        <v>2238.9799800000001</v>
      </c>
    </row>
    <row r="267" spans="1:3">
      <c r="A267">
        <f t="shared" si="64"/>
        <v>266</v>
      </c>
      <c r="B267" s="30">
        <v>39387</v>
      </c>
      <c r="C267">
        <v>2089.1000979999999</v>
      </c>
    </row>
    <row r="268" spans="1:3">
      <c r="A268">
        <f t="shared" si="64"/>
        <v>267</v>
      </c>
      <c r="B268" s="30">
        <v>39417</v>
      </c>
      <c r="C268">
        <v>2084.929932</v>
      </c>
    </row>
    <row r="269" spans="1:3">
      <c r="A269">
        <f t="shared" si="64"/>
        <v>268</v>
      </c>
      <c r="B269" s="30">
        <v>39448</v>
      </c>
      <c r="C269">
        <v>1841.420044</v>
      </c>
    </row>
    <row r="270" spans="1:3">
      <c r="A270">
        <f t="shared" si="64"/>
        <v>269</v>
      </c>
      <c r="B270" s="30">
        <v>39479</v>
      </c>
      <c r="C270">
        <v>1745.2700199999999</v>
      </c>
    </row>
    <row r="271" spans="1:3">
      <c r="A271">
        <f t="shared" si="64"/>
        <v>270</v>
      </c>
      <c r="B271" s="30">
        <v>39508</v>
      </c>
      <c r="C271">
        <v>1781.9300539999999</v>
      </c>
    </row>
    <row r="272" spans="1:3">
      <c r="A272">
        <f t="shared" si="64"/>
        <v>271</v>
      </c>
      <c r="B272" s="30">
        <v>39539</v>
      </c>
      <c r="C272">
        <v>1917.6999510000001</v>
      </c>
    </row>
    <row r="273" spans="1:3">
      <c r="A273">
        <f t="shared" si="64"/>
        <v>272</v>
      </c>
      <c r="B273" s="30">
        <v>39569</v>
      </c>
      <c r="C273">
        <v>2032.5699460000001</v>
      </c>
    </row>
    <row r="274" spans="1:3">
      <c r="A274">
        <f t="shared" si="64"/>
        <v>273</v>
      </c>
      <c r="B274" s="30">
        <v>39600</v>
      </c>
      <c r="C274">
        <v>1837.089966</v>
      </c>
    </row>
    <row r="275" spans="1:3">
      <c r="A275">
        <f t="shared" si="64"/>
        <v>274</v>
      </c>
      <c r="B275" s="30">
        <v>39630</v>
      </c>
      <c r="C275">
        <v>1849.150024</v>
      </c>
    </row>
    <row r="276" spans="1:3">
      <c r="A276">
        <f t="shared" si="64"/>
        <v>275</v>
      </c>
      <c r="B276" s="30">
        <v>39661</v>
      </c>
      <c r="C276">
        <v>1872.540039</v>
      </c>
    </row>
    <row r="277" spans="1:3">
      <c r="A277">
        <f t="shared" si="64"/>
        <v>276</v>
      </c>
      <c r="B277" s="30">
        <v>39692</v>
      </c>
      <c r="C277">
        <v>1594.630005</v>
      </c>
    </row>
    <row r="278" spans="1:3">
      <c r="A278">
        <f t="shared" si="64"/>
        <v>277</v>
      </c>
      <c r="B278" s="30">
        <v>39722</v>
      </c>
      <c r="C278">
        <v>1334.780029</v>
      </c>
    </row>
    <row r="279" spans="1:3">
      <c r="A279">
        <f t="shared" si="64"/>
        <v>278</v>
      </c>
      <c r="B279" s="30">
        <v>39753</v>
      </c>
      <c r="C279">
        <v>1185.75</v>
      </c>
    </row>
    <row r="280" spans="1:3">
      <c r="A280">
        <f t="shared" si="64"/>
        <v>279</v>
      </c>
      <c r="B280" s="30">
        <v>39783</v>
      </c>
      <c r="C280">
        <v>1211.650024</v>
      </c>
    </row>
    <row r="281" spans="1:3">
      <c r="A281">
        <f t="shared" si="64"/>
        <v>280</v>
      </c>
      <c r="B281" s="30">
        <v>39814</v>
      </c>
      <c r="C281">
        <v>1180.25</v>
      </c>
    </row>
    <row r="282" spans="1:3">
      <c r="A282">
        <f t="shared" si="64"/>
        <v>281</v>
      </c>
      <c r="B282" s="30">
        <v>39845</v>
      </c>
      <c r="C282">
        <v>1116.98999</v>
      </c>
    </row>
    <row r="283" spans="1:3">
      <c r="A283">
        <f t="shared" si="64"/>
        <v>282</v>
      </c>
      <c r="B283" s="30">
        <v>39873</v>
      </c>
      <c r="C283">
        <v>1237.01001</v>
      </c>
    </row>
    <row r="284" spans="1:3">
      <c r="A284">
        <f t="shared" si="64"/>
        <v>283</v>
      </c>
      <c r="B284" s="30">
        <v>39904</v>
      </c>
      <c r="C284">
        <v>1394.329956</v>
      </c>
    </row>
    <row r="285" spans="1:3">
      <c r="A285">
        <f t="shared" si="64"/>
        <v>284</v>
      </c>
      <c r="B285" s="30">
        <v>39934</v>
      </c>
      <c r="C285">
        <v>1435.5699460000001</v>
      </c>
    </row>
    <row r="286" spans="1:3">
      <c r="A286">
        <f t="shared" si="64"/>
        <v>285</v>
      </c>
      <c r="B286" s="30">
        <v>39965</v>
      </c>
      <c r="C286">
        <v>1477.25</v>
      </c>
    </row>
    <row r="287" spans="1:3">
      <c r="A287">
        <f t="shared" si="64"/>
        <v>286</v>
      </c>
      <c r="B287" s="30">
        <v>39995</v>
      </c>
      <c r="C287">
        <v>1603.3599850000001</v>
      </c>
    </row>
    <row r="288" spans="1:3">
      <c r="A288">
        <f t="shared" si="64"/>
        <v>287</v>
      </c>
      <c r="B288" s="30">
        <v>40026</v>
      </c>
      <c r="C288">
        <v>1625.1899410000001</v>
      </c>
    </row>
    <row r="289" spans="1:3">
      <c r="A289">
        <f t="shared" si="64"/>
        <v>288</v>
      </c>
      <c r="B289" s="30">
        <v>40057</v>
      </c>
      <c r="C289">
        <v>1718.98999</v>
      </c>
    </row>
    <row r="290" spans="1:3">
      <c r="A290">
        <f t="shared" si="64"/>
        <v>289</v>
      </c>
      <c r="B290" s="30">
        <v>40087</v>
      </c>
      <c r="C290">
        <v>1667.130005</v>
      </c>
    </row>
    <row r="291" spans="1:3">
      <c r="A291">
        <f t="shared" si="64"/>
        <v>290</v>
      </c>
      <c r="B291" s="30">
        <v>40118</v>
      </c>
      <c r="C291">
        <v>1767.4300539999999</v>
      </c>
    </row>
    <row r="292" spans="1:3">
      <c r="A292">
        <f t="shared" si="64"/>
        <v>291</v>
      </c>
      <c r="B292" s="30">
        <v>40148</v>
      </c>
      <c r="C292">
        <v>1860.3100589999999</v>
      </c>
    </row>
    <row r="293" spans="1:3">
      <c r="A293">
        <f t="shared" si="64"/>
        <v>292</v>
      </c>
      <c r="B293" s="30">
        <v>40179</v>
      </c>
      <c r="C293">
        <v>1741.040039</v>
      </c>
    </row>
    <row r="294" spans="1:3">
      <c r="A294">
        <f t="shared" si="64"/>
        <v>293</v>
      </c>
      <c r="B294" s="30">
        <v>40210</v>
      </c>
      <c r="C294">
        <v>1818.6800539999999</v>
      </c>
    </row>
    <row r="295" spans="1:3">
      <c r="A295">
        <f t="shared" si="64"/>
        <v>294</v>
      </c>
      <c r="B295" s="30">
        <v>40238</v>
      </c>
      <c r="C295">
        <v>1958.339966</v>
      </c>
    </row>
    <row r="296" spans="1:3">
      <c r="A296">
        <f t="shared" si="64"/>
        <v>295</v>
      </c>
      <c r="B296" s="30">
        <v>40269</v>
      </c>
      <c r="C296">
        <v>2000.630005</v>
      </c>
    </row>
    <row r="297" spans="1:3">
      <c r="A297">
        <f t="shared" si="64"/>
        <v>296</v>
      </c>
      <c r="B297" s="30">
        <v>40299</v>
      </c>
      <c r="C297">
        <v>1852.3900149999999</v>
      </c>
    </row>
    <row r="298" spans="1:3">
      <c r="A298">
        <f t="shared" si="64"/>
        <v>297</v>
      </c>
      <c r="B298" s="30">
        <v>40330</v>
      </c>
      <c r="C298">
        <v>1739.1400149999999</v>
      </c>
    </row>
    <row r="299" spans="1:3">
      <c r="A299">
        <f t="shared" si="64"/>
        <v>298</v>
      </c>
      <c r="B299" s="30">
        <v>40360</v>
      </c>
      <c r="C299">
        <v>1864</v>
      </c>
    </row>
    <row r="300" spans="1:3">
      <c r="A300">
        <f t="shared" si="64"/>
        <v>299</v>
      </c>
      <c r="B300" s="30">
        <v>40391</v>
      </c>
      <c r="C300">
        <v>1767.4300539999999</v>
      </c>
    </row>
    <row r="301" spans="1:3">
      <c r="A301">
        <f t="shared" si="64"/>
        <v>300</v>
      </c>
      <c r="B301" s="30">
        <v>40422</v>
      </c>
      <c r="C301">
        <v>1998.040039</v>
      </c>
    </row>
    <row r="302" spans="1:3">
      <c r="A302">
        <f t="shared" si="64"/>
        <v>301</v>
      </c>
      <c r="B302" s="30">
        <v>40452</v>
      </c>
      <c r="C302">
        <v>2124.4499510000001</v>
      </c>
    </row>
    <row r="303" spans="1:3">
      <c r="A303">
        <f t="shared" si="64"/>
        <v>302</v>
      </c>
      <c r="B303" s="30">
        <v>40483</v>
      </c>
      <c r="C303">
        <v>2117.330078</v>
      </c>
    </row>
    <row r="304" spans="1:3">
      <c r="A304">
        <f t="shared" si="64"/>
        <v>303</v>
      </c>
      <c r="B304" s="30">
        <v>40513</v>
      </c>
      <c r="C304">
        <v>2217.860107</v>
      </c>
    </row>
    <row r="305" spans="1:3">
      <c r="A305">
        <f t="shared" si="64"/>
        <v>304</v>
      </c>
      <c r="B305" s="30">
        <v>40544</v>
      </c>
      <c r="C305">
        <v>2281.9099120000001</v>
      </c>
    </row>
    <row r="306" spans="1:3">
      <c r="A306">
        <f t="shared" si="64"/>
        <v>305</v>
      </c>
      <c r="B306" s="30">
        <v>40575</v>
      </c>
      <c r="C306">
        <v>2350.98999</v>
      </c>
    </row>
    <row r="307" spans="1:3">
      <c r="A307">
        <f t="shared" si="64"/>
        <v>306</v>
      </c>
      <c r="B307" s="30">
        <v>40603</v>
      </c>
      <c r="C307">
        <v>2338.98999</v>
      </c>
    </row>
    <row r="308" spans="1:3">
      <c r="A308">
        <f t="shared" si="64"/>
        <v>307</v>
      </c>
      <c r="B308" s="30">
        <v>40634</v>
      </c>
      <c r="C308">
        <v>2404.080078</v>
      </c>
    </row>
    <row r="309" spans="1:3">
      <c r="A309">
        <f t="shared" si="64"/>
        <v>308</v>
      </c>
      <c r="B309" s="30">
        <v>40664</v>
      </c>
      <c r="C309">
        <v>2372.540039</v>
      </c>
    </row>
    <row r="310" spans="1:3">
      <c r="A310">
        <f t="shared" si="64"/>
        <v>309</v>
      </c>
      <c r="B310" s="30">
        <v>40695</v>
      </c>
      <c r="C310">
        <v>2325.070068</v>
      </c>
    </row>
    <row r="311" spans="1:3">
      <c r="A311">
        <f t="shared" si="64"/>
        <v>310</v>
      </c>
      <c r="B311" s="30">
        <v>40725</v>
      </c>
      <c r="C311">
        <v>2362.8100589999999</v>
      </c>
    </row>
    <row r="312" spans="1:3">
      <c r="A312">
        <f t="shared" si="64"/>
        <v>311</v>
      </c>
      <c r="B312" s="30">
        <v>40756</v>
      </c>
      <c r="C312">
        <v>2241.01001</v>
      </c>
    </row>
    <row r="313" spans="1:3">
      <c r="A313">
        <f t="shared" si="64"/>
        <v>312</v>
      </c>
      <c r="B313" s="30">
        <v>40787</v>
      </c>
      <c r="C313">
        <v>2139.179932</v>
      </c>
    </row>
    <row r="314" spans="1:3">
      <c r="A314">
        <f t="shared" si="64"/>
        <v>313</v>
      </c>
      <c r="B314" s="30">
        <v>40817</v>
      </c>
      <c r="C314">
        <v>2360.080078</v>
      </c>
    </row>
    <row r="315" spans="1:3">
      <c r="A315">
        <f t="shared" si="64"/>
        <v>314</v>
      </c>
      <c r="B315" s="30">
        <v>40848</v>
      </c>
      <c r="C315">
        <v>2295.1999510000001</v>
      </c>
    </row>
    <row r="316" spans="1:3">
      <c r="A316">
        <f t="shared" si="64"/>
        <v>315</v>
      </c>
      <c r="B316" s="30">
        <v>40878</v>
      </c>
      <c r="C316">
        <v>2277.830078</v>
      </c>
    </row>
    <row r="317" spans="1:3">
      <c r="A317">
        <f t="shared" si="64"/>
        <v>316</v>
      </c>
      <c r="B317" s="30">
        <v>40909</v>
      </c>
      <c r="C317">
        <v>2467.9499510000001</v>
      </c>
    </row>
    <row r="318" spans="1:3">
      <c r="A318">
        <f t="shared" si="64"/>
        <v>317</v>
      </c>
      <c r="B318" s="30">
        <v>40940</v>
      </c>
      <c r="C318">
        <v>2623.1000979999999</v>
      </c>
    </row>
    <row r="319" spans="1:3">
      <c r="A319">
        <f t="shared" si="64"/>
        <v>318</v>
      </c>
      <c r="B319" s="30">
        <v>40969</v>
      </c>
      <c r="C319">
        <v>2755.2700199999999</v>
      </c>
    </row>
    <row r="320" spans="1:3">
      <c r="A320">
        <f t="shared" si="64"/>
        <v>319</v>
      </c>
      <c r="B320" s="30">
        <v>41000</v>
      </c>
      <c r="C320">
        <v>2723.679932</v>
      </c>
    </row>
    <row r="321" spans="1:3">
      <c r="A321">
        <f t="shared" si="64"/>
        <v>320</v>
      </c>
      <c r="B321" s="30">
        <v>41030</v>
      </c>
      <c r="C321">
        <v>2524.8701169999999</v>
      </c>
    </row>
    <row r="322" spans="1:3">
      <c r="A322">
        <f t="shared" si="64"/>
        <v>321</v>
      </c>
      <c r="B322" s="30">
        <v>41061</v>
      </c>
      <c r="C322">
        <v>2615.719971</v>
      </c>
    </row>
    <row r="323" spans="1:3">
      <c r="A323">
        <f t="shared" si="64"/>
        <v>322</v>
      </c>
      <c r="B323" s="30">
        <v>41091</v>
      </c>
      <c r="C323">
        <v>2642.530029</v>
      </c>
    </row>
    <row r="324" spans="1:3">
      <c r="A324">
        <f t="shared" ref="A324:A387" si="65">A323+1</f>
        <v>323</v>
      </c>
      <c r="B324" s="30">
        <v>41122</v>
      </c>
      <c r="C324">
        <v>2772.23999</v>
      </c>
    </row>
    <row r="325" spans="1:3">
      <c r="A325">
        <f t="shared" si="65"/>
        <v>324</v>
      </c>
      <c r="B325" s="30">
        <v>41153</v>
      </c>
      <c r="C325">
        <v>2799.1899410000001</v>
      </c>
    </row>
    <row r="326" spans="1:3">
      <c r="A326">
        <f t="shared" si="65"/>
        <v>325</v>
      </c>
      <c r="B326" s="30">
        <v>41183</v>
      </c>
      <c r="C326">
        <v>2647.919922</v>
      </c>
    </row>
    <row r="327" spans="1:3">
      <c r="A327">
        <f t="shared" si="65"/>
        <v>326</v>
      </c>
      <c r="B327" s="30">
        <v>41214</v>
      </c>
      <c r="C327">
        <v>2677.8798830000001</v>
      </c>
    </row>
    <row r="328" spans="1:3">
      <c r="A328">
        <f t="shared" si="65"/>
        <v>327</v>
      </c>
      <c r="B328" s="30">
        <v>41244</v>
      </c>
      <c r="C328">
        <v>2660.929932</v>
      </c>
    </row>
    <row r="329" spans="1:3">
      <c r="A329">
        <f t="shared" si="65"/>
        <v>328</v>
      </c>
      <c r="B329" s="30">
        <v>41275</v>
      </c>
      <c r="C329">
        <v>2731.530029</v>
      </c>
    </row>
    <row r="330" spans="1:3">
      <c r="A330">
        <f t="shared" si="65"/>
        <v>329</v>
      </c>
      <c r="B330" s="30">
        <v>41306</v>
      </c>
      <c r="C330">
        <v>2738.580078</v>
      </c>
    </row>
    <row r="331" spans="1:3">
      <c r="A331">
        <f t="shared" si="65"/>
        <v>330</v>
      </c>
      <c r="B331" s="30">
        <v>41334</v>
      </c>
      <c r="C331">
        <v>2818.6899410000001</v>
      </c>
    </row>
    <row r="332" spans="1:3">
      <c r="A332">
        <f t="shared" si="65"/>
        <v>331</v>
      </c>
      <c r="B332" s="30">
        <v>41365</v>
      </c>
      <c r="C332">
        <v>2887.4399410000001</v>
      </c>
    </row>
    <row r="333" spans="1:3">
      <c r="A333">
        <f t="shared" si="65"/>
        <v>332</v>
      </c>
      <c r="B333" s="30">
        <v>41395</v>
      </c>
      <c r="C333">
        <v>2981.76001</v>
      </c>
    </row>
    <row r="334" spans="1:3">
      <c r="A334">
        <f t="shared" si="65"/>
        <v>333</v>
      </c>
      <c r="B334" s="30">
        <v>41426</v>
      </c>
      <c r="C334">
        <v>2909.6000979999999</v>
      </c>
    </row>
    <row r="335" spans="1:3">
      <c r="A335">
        <f t="shared" si="65"/>
        <v>334</v>
      </c>
      <c r="B335" s="30">
        <v>41456</v>
      </c>
      <c r="C335">
        <v>3090.1899410000001</v>
      </c>
    </row>
    <row r="336" spans="1:3">
      <c r="A336">
        <f t="shared" si="65"/>
        <v>335</v>
      </c>
      <c r="B336" s="30">
        <v>41487</v>
      </c>
      <c r="C336">
        <v>3073.8100589999999</v>
      </c>
    </row>
    <row r="337" spans="1:3">
      <c r="A337">
        <f t="shared" si="65"/>
        <v>336</v>
      </c>
      <c r="B337" s="30">
        <v>41518</v>
      </c>
      <c r="C337">
        <v>3218.1999510000001</v>
      </c>
    </row>
    <row r="338" spans="1:3">
      <c r="A338">
        <f t="shared" si="65"/>
        <v>337</v>
      </c>
      <c r="B338" s="30">
        <v>41548</v>
      </c>
      <c r="C338">
        <v>3377.7299800000001</v>
      </c>
    </row>
    <row r="339" spans="1:3">
      <c r="A339">
        <f t="shared" si="65"/>
        <v>338</v>
      </c>
      <c r="B339" s="30">
        <v>41579</v>
      </c>
      <c r="C339">
        <v>3487.820068</v>
      </c>
    </row>
    <row r="340" spans="1:3">
      <c r="A340">
        <f t="shared" si="65"/>
        <v>339</v>
      </c>
      <c r="B340" s="30">
        <v>41609</v>
      </c>
      <c r="C340">
        <v>3592</v>
      </c>
    </row>
    <row r="341" spans="1:3">
      <c r="A341">
        <f t="shared" si="65"/>
        <v>340</v>
      </c>
      <c r="B341" s="30">
        <v>41640</v>
      </c>
      <c r="C341">
        <v>3521.919922</v>
      </c>
    </row>
    <row r="342" spans="1:3">
      <c r="A342">
        <f t="shared" si="65"/>
        <v>341</v>
      </c>
      <c r="B342" s="30">
        <v>41671</v>
      </c>
      <c r="C342">
        <v>3696.1000979999999</v>
      </c>
    </row>
    <row r="343" spans="1:3">
      <c r="A343">
        <f t="shared" si="65"/>
        <v>342</v>
      </c>
      <c r="B343" s="30">
        <v>41699</v>
      </c>
      <c r="C343">
        <v>3595.73999</v>
      </c>
    </row>
    <row r="344" spans="1:3">
      <c r="A344">
        <f t="shared" si="65"/>
        <v>343</v>
      </c>
      <c r="B344" s="30">
        <v>41730</v>
      </c>
      <c r="C344">
        <v>3582.0200199999999</v>
      </c>
    </row>
    <row r="345" spans="1:3">
      <c r="A345">
        <f t="shared" si="65"/>
        <v>344</v>
      </c>
      <c r="B345" s="30">
        <v>41760</v>
      </c>
      <c r="C345">
        <v>3736.820068</v>
      </c>
    </row>
    <row r="346" spans="1:3">
      <c r="A346">
        <f t="shared" si="65"/>
        <v>345</v>
      </c>
      <c r="B346" s="30">
        <v>41791</v>
      </c>
      <c r="C346">
        <v>3849.4799800000001</v>
      </c>
    </row>
    <row r="347" spans="1:3">
      <c r="A347">
        <f t="shared" si="65"/>
        <v>346</v>
      </c>
      <c r="B347" s="30">
        <v>41821</v>
      </c>
      <c r="C347">
        <v>3892.5</v>
      </c>
    </row>
    <row r="348" spans="1:3">
      <c r="A348">
        <f t="shared" si="65"/>
        <v>347</v>
      </c>
      <c r="B348" s="30">
        <v>41852</v>
      </c>
      <c r="C348">
        <v>4082.5600589999999</v>
      </c>
    </row>
    <row r="349" spans="1:3">
      <c r="A349">
        <f t="shared" si="65"/>
        <v>348</v>
      </c>
      <c r="B349" s="30">
        <v>41883</v>
      </c>
      <c r="C349">
        <v>4049.4499510000001</v>
      </c>
    </row>
    <row r="350" spans="1:3">
      <c r="A350">
        <f t="shared" si="65"/>
        <v>349</v>
      </c>
      <c r="B350" s="30">
        <v>41913</v>
      </c>
      <c r="C350">
        <v>4158.2099609999996</v>
      </c>
    </row>
    <row r="351" spans="1:3">
      <c r="A351">
        <f t="shared" si="65"/>
        <v>350</v>
      </c>
      <c r="B351" s="30">
        <v>41944</v>
      </c>
      <c r="C351">
        <v>4337.7900390000004</v>
      </c>
    </row>
    <row r="352" spans="1:3">
      <c r="A352">
        <f t="shared" si="65"/>
        <v>351</v>
      </c>
      <c r="B352" s="30">
        <v>41974</v>
      </c>
      <c r="C352">
        <v>4236.2797849999997</v>
      </c>
    </row>
    <row r="353" spans="1:3">
      <c r="A353">
        <f t="shared" si="65"/>
        <v>352</v>
      </c>
      <c r="B353" s="30">
        <v>42005</v>
      </c>
      <c r="C353">
        <v>4148.4301759999998</v>
      </c>
    </row>
    <row r="354" spans="1:3">
      <c r="A354">
        <f t="shared" si="65"/>
        <v>353</v>
      </c>
      <c r="B354" s="30">
        <v>42036</v>
      </c>
      <c r="C354">
        <v>4440.669922</v>
      </c>
    </row>
    <row r="355" spans="1:3">
      <c r="A355">
        <f t="shared" si="65"/>
        <v>354</v>
      </c>
      <c r="B355" s="30">
        <v>42064</v>
      </c>
      <c r="C355">
        <v>4333.6899409999996</v>
      </c>
    </row>
    <row r="356" spans="1:3">
      <c r="A356">
        <f t="shared" si="65"/>
        <v>355</v>
      </c>
      <c r="B356" s="30">
        <v>42095</v>
      </c>
      <c r="C356">
        <v>4414.25</v>
      </c>
    </row>
    <row r="357" spans="1:3">
      <c r="A357">
        <f t="shared" si="65"/>
        <v>356</v>
      </c>
      <c r="B357" s="30">
        <v>42125</v>
      </c>
      <c r="C357">
        <v>4508.25</v>
      </c>
    </row>
    <row r="358" spans="1:3">
      <c r="A358">
        <f t="shared" si="65"/>
        <v>357</v>
      </c>
      <c r="B358" s="30">
        <v>42156</v>
      </c>
      <c r="C358">
        <v>4396.7597660000001</v>
      </c>
    </row>
    <row r="359" spans="1:3">
      <c r="A359">
        <f t="shared" si="65"/>
        <v>358</v>
      </c>
      <c r="B359" s="30">
        <v>42186</v>
      </c>
      <c r="C359">
        <v>4588.9101559999999</v>
      </c>
    </row>
    <row r="360" spans="1:3">
      <c r="A360">
        <f t="shared" si="65"/>
        <v>359</v>
      </c>
      <c r="B360" s="30">
        <v>42217</v>
      </c>
      <c r="C360">
        <v>4274.580078</v>
      </c>
    </row>
    <row r="361" spans="1:3">
      <c r="A361">
        <f t="shared" si="65"/>
        <v>360</v>
      </c>
      <c r="B361" s="30">
        <v>42248</v>
      </c>
      <c r="C361">
        <v>4181.0600590000004</v>
      </c>
    </row>
    <row r="362" spans="1:3">
      <c r="A362">
        <f t="shared" si="65"/>
        <v>361</v>
      </c>
      <c r="B362" s="30">
        <v>42278</v>
      </c>
      <c r="C362">
        <v>4648.830078</v>
      </c>
    </row>
    <row r="363" spans="1:3">
      <c r="A363">
        <f t="shared" si="65"/>
        <v>362</v>
      </c>
      <c r="B363" s="30">
        <v>42309</v>
      </c>
      <c r="C363">
        <v>4664.5097660000001</v>
      </c>
    </row>
    <row r="364" spans="1:3">
      <c r="A364">
        <f t="shared" si="65"/>
        <v>363</v>
      </c>
      <c r="B364" s="30">
        <v>42339</v>
      </c>
      <c r="C364">
        <v>4593.2700199999999</v>
      </c>
    </row>
    <row r="365" spans="1:3">
      <c r="A365">
        <f t="shared" si="65"/>
        <v>364</v>
      </c>
      <c r="B365" s="30">
        <v>42370</v>
      </c>
      <c r="C365">
        <v>4279.169922</v>
      </c>
    </row>
    <row r="366" spans="1:3">
      <c r="A366">
        <f t="shared" si="65"/>
        <v>365</v>
      </c>
      <c r="B366" s="30">
        <v>42401</v>
      </c>
      <c r="C366">
        <v>4201.1201170000004</v>
      </c>
    </row>
    <row r="367" spans="1:3">
      <c r="A367">
        <f t="shared" si="65"/>
        <v>366</v>
      </c>
      <c r="B367" s="30">
        <v>42430</v>
      </c>
      <c r="C367">
        <v>4483.6601559999999</v>
      </c>
    </row>
    <row r="368" spans="1:3">
      <c r="A368">
        <f t="shared" si="65"/>
        <v>367</v>
      </c>
      <c r="B368" s="30">
        <v>42461</v>
      </c>
      <c r="C368">
        <v>4341.2998049999997</v>
      </c>
    </row>
    <row r="369" spans="1:3">
      <c r="A369">
        <f t="shared" si="65"/>
        <v>368</v>
      </c>
      <c r="B369" s="30">
        <v>42491</v>
      </c>
      <c r="C369">
        <v>4523.8901370000003</v>
      </c>
    </row>
    <row r="370" spans="1:3">
      <c r="A370">
        <f t="shared" si="65"/>
        <v>369</v>
      </c>
      <c r="B370" s="30">
        <v>42522</v>
      </c>
      <c r="C370">
        <v>4417.7001950000003</v>
      </c>
    </row>
    <row r="371" spans="1:3">
      <c r="A371">
        <f t="shared" si="65"/>
        <v>370</v>
      </c>
      <c r="B371" s="30">
        <v>42552</v>
      </c>
      <c r="C371">
        <v>4730.2299800000001</v>
      </c>
    </row>
    <row r="372" spans="1:3">
      <c r="A372">
        <f t="shared" si="65"/>
        <v>371</v>
      </c>
      <c r="B372" s="30">
        <v>42583</v>
      </c>
      <c r="C372">
        <v>4771.0498049999997</v>
      </c>
    </row>
    <row r="373" spans="1:3">
      <c r="A373">
        <f t="shared" si="65"/>
        <v>372</v>
      </c>
      <c r="B373" s="30">
        <v>42614</v>
      </c>
      <c r="C373">
        <v>4875.7001950000003</v>
      </c>
    </row>
    <row r="374" spans="1:3">
      <c r="A374">
        <f t="shared" si="65"/>
        <v>373</v>
      </c>
      <c r="B374" s="30">
        <v>42644</v>
      </c>
      <c r="C374">
        <v>4801.2700199999999</v>
      </c>
    </row>
    <row r="375" spans="1:3">
      <c r="A375">
        <f t="shared" si="65"/>
        <v>374</v>
      </c>
      <c r="B375" s="30">
        <v>42675</v>
      </c>
      <c r="C375">
        <v>4810.8100590000004</v>
      </c>
    </row>
    <row r="376" spans="1:3">
      <c r="A376">
        <f t="shared" si="65"/>
        <v>375</v>
      </c>
      <c r="B376" s="30">
        <v>42705</v>
      </c>
      <c r="C376">
        <v>4863.6201170000004</v>
      </c>
    </row>
    <row r="377" spans="1:3">
      <c r="A377">
        <f t="shared" si="65"/>
        <v>376</v>
      </c>
      <c r="B377" s="30">
        <v>42736</v>
      </c>
      <c r="C377">
        <v>5116.7700199999999</v>
      </c>
    </row>
    <row r="378" spans="1:3">
      <c r="A378">
        <f t="shared" si="65"/>
        <v>377</v>
      </c>
      <c r="B378" s="30">
        <v>42767</v>
      </c>
      <c r="C378">
        <v>5330.3100590000004</v>
      </c>
    </row>
    <row r="379" spans="1:3">
      <c r="A379">
        <f t="shared" si="65"/>
        <v>378</v>
      </c>
      <c r="B379" s="30">
        <v>42795</v>
      </c>
      <c r="C379">
        <v>5436.2299800000001</v>
      </c>
    </row>
    <row r="380" spans="1:3">
      <c r="A380">
        <f t="shared" si="65"/>
        <v>379</v>
      </c>
      <c r="B380" s="30">
        <v>42826</v>
      </c>
      <c r="C380">
        <v>5583.5297849999997</v>
      </c>
    </row>
    <row r="381" spans="1:3">
      <c r="A381">
        <f t="shared" si="65"/>
        <v>380</v>
      </c>
      <c r="B381" s="30">
        <v>42856</v>
      </c>
      <c r="C381">
        <v>5788.7998049999997</v>
      </c>
    </row>
    <row r="382" spans="1:3">
      <c r="A382">
        <f t="shared" si="65"/>
        <v>381</v>
      </c>
      <c r="B382" s="30">
        <v>42887</v>
      </c>
      <c r="C382">
        <v>5646.919922</v>
      </c>
    </row>
    <row r="383" spans="1:3">
      <c r="A383">
        <f t="shared" si="65"/>
        <v>382</v>
      </c>
      <c r="B383" s="30">
        <v>42917</v>
      </c>
      <c r="C383">
        <v>5880.330078</v>
      </c>
    </row>
    <row r="384" spans="1:3">
      <c r="A384">
        <f t="shared" si="65"/>
        <v>383</v>
      </c>
      <c r="B384" s="30">
        <v>42948</v>
      </c>
      <c r="C384">
        <v>5988.6000979999999</v>
      </c>
    </row>
    <row r="385" spans="1:3">
      <c r="A385">
        <f t="shared" si="65"/>
        <v>384</v>
      </c>
      <c r="B385" s="30">
        <v>42979</v>
      </c>
      <c r="C385">
        <v>5979.2998049999997</v>
      </c>
    </row>
    <row r="386" spans="1:3">
      <c r="A386">
        <f t="shared" si="65"/>
        <v>385</v>
      </c>
      <c r="B386" s="30">
        <v>43009</v>
      </c>
      <c r="C386">
        <v>6248.5600590000004</v>
      </c>
    </row>
    <row r="387" spans="1:3">
      <c r="A387">
        <f t="shared" si="65"/>
        <v>386</v>
      </c>
      <c r="B387" s="30">
        <v>43040</v>
      </c>
      <c r="C387">
        <v>6365.5600590000004</v>
      </c>
    </row>
    <row r="388" spans="1:3">
      <c r="A388">
        <f t="shared" ref="A388:A426" si="66">A387+1</f>
        <v>387</v>
      </c>
      <c r="B388" s="30">
        <v>43070</v>
      </c>
      <c r="C388">
        <v>6396.419922</v>
      </c>
    </row>
    <row r="389" spans="1:3">
      <c r="A389">
        <f t="shared" si="66"/>
        <v>388</v>
      </c>
      <c r="B389" s="30">
        <v>43101</v>
      </c>
      <c r="C389">
        <v>6949.9902339999999</v>
      </c>
    </row>
    <row r="390" spans="1:3">
      <c r="A390">
        <f t="shared" si="66"/>
        <v>389</v>
      </c>
      <c r="B390" s="30">
        <v>43132</v>
      </c>
      <c r="C390">
        <v>6854.419922</v>
      </c>
    </row>
    <row r="391" spans="1:3">
      <c r="A391">
        <f t="shared" si="66"/>
        <v>390</v>
      </c>
      <c r="B391" s="30">
        <v>43160</v>
      </c>
      <c r="C391">
        <v>6581.1298829999996</v>
      </c>
    </row>
    <row r="392" spans="1:3">
      <c r="A392">
        <f t="shared" si="66"/>
        <v>391</v>
      </c>
      <c r="B392" s="30">
        <v>43191</v>
      </c>
      <c r="C392">
        <v>6605.5698240000002</v>
      </c>
    </row>
    <row r="393" spans="1:3">
      <c r="A393">
        <f t="shared" si="66"/>
        <v>392</v>
      </c>
      <c r="B393" s="30">
        <v>43221</v>
      </c>
      <c r="C393">
        <v>6967.7299800000001</v>
      </c>
    </row>
    <row r="394" spans="1:3">
      <c r="A394">
        <f t="shared" si="66"/>
        <v>393</v>
      </c>
      <c r="B394" s="30">
        <v>43252</v>
      </c>
      <c r="C394">
        <v>7040.7998049999997</v>
      </c>
    </row>
    <row r="395" spans="1:3">
      <c r="A395">
        <f t="shared" si="66"/>
        <v>394</v>
      </c>
      <c r="B395" s="30">
        <v>43282</v>
      </c>
      <c r="C395">
        <v>7231.9799800000001</v>
      </c>
    </row>
    <row r="396" spans="1:3">
      <c r="A396">
        <f t="shared" si="66"/>
        <v>395</v>
      </c>
      <c r="B396" s="30">
        <v>43313</v>
      </c>
      <c r="C396">
        <v>7654.5498049999997</v>
      </c>
    </row>
    <row r="397" spans="1:3">
      <c r="A397">
        <f t="shared" si="66"/>
        <v>396</v>
      </c>
      <c r="B397" s="30">
        <v>43344</v>
      </c>
      <c r="C397">
        <v>7627.6499020000001</v>
      </c>
    </row>
    <row r="398" spans="1:3">
      <c r="A398">
        <f t="shared" si="66"/>
        <v>397</v>
      </c>
      <c r="B398" s="30">
        <v>43374</v>
      </c>
      <c r="C398">
        <v>6967.1000979999999</v>
      </c>
    </row>
    <row r="399" spans="1:3">
      <c r="A399">
        <f t="shared" si="66"/>
        <v>398</v>
      </c>
      <c r="B399" s="30">
        <v>43405</v>
      </c>
      <c r="C399">
        <v>6949.0097660000001</v>
      </c>
    </row>
    <row r="400" spans="1:3">
      <c r="A400">
        <f t="shared" si="66"/>
        <v>399</v>
      </c>
      <c r="B400" s="30">
        <v>43435</v>
      </c>
      <c r="C400">
        <v>6329.9702150000003</v>
      </c>
    </row>
    <row r="401" spans="1:3">
      <c r="A401">
        <f t="shared" si="66"/>
        <v>400</v>
      </c>
      <c r="B401" s="30">
        <v>43466</v>
      </c>
      <c r="C401">
        <v>6906.8398440000001</v>
      </c>
    </row>
    <row r="402" spans="1:3">
      <c r="A402">
        <f t="shared" si="66"/>
        <v>401</v>
      </c>
      <c r="B402" s="30">
        <v>43497</v>
      </c>
      <c r="C402">
        <v>7097.5297849999997</v>
      </c>
    </row>
    <row r="403" spans="1:3">
      <c r="A403">
        <f t="shared" si="66"/>
        <v>402</v>
      </c>
      <c r="B403" s="30">
        <v>43525</v>
      </c>
      <c r="C403">
        <v>7378.7700199999999</v>
      </c>
    </row>
    <row r="404" spans="1:3">
      <c r="A404">
        <f t="shared" si="66"/>
        <v>403</v>
      </c>
      <c r="B404" s="30">
        <v>43556</v>
      </c>
      <c r="C404">
        <v>7781.4599609999996</v>
      </c>
    </row>
    <row r="405" spans="1:3">
      <c r="A405">
        <f t="shared" si="66"/>
        <v>404</v>
      </c>
      <c r="B405" s="30">
        <v>43586</v>
      </c>
      <c r="C405">
        <v>7127.9599609999996</v>
      </c>
    </row>
    <row r="406" spans="1:3">
      <c r="A406">
        <f t="shared" si="66"/>
        <v>405</v>
      </c>
      <c r="B406" s="30">
        <v>43617</v>
      </c>
      <c r="C406">
        <v>7671.080078</v>
      </c>
    </row>
    <row r="407" spans="1:3">
      <c r="A407">
        <f t="shared" si="66"/>
        <v>406</v>
      </c>
      <c r="B407" s="30">
        <v>43647</v>
      </c>
      <c r="C407">
        <v>7848.7797849999997</v>
      </c>
    </row>
    <row r="408" spans="1:3">
      <c r="A408">
        <f t="shared" si="66"/>
        <v>407</v>
      </c>
      <c r="B408" s="30">
        <v>43678</v>
      </c>
      <c r="C408">
        <v>7691</v>
      </c>
    </row>
    <row r="409" spans="1:3">
      <c r="A409">
        <f t="shared" si="66"/>
        <v>408</v>
      </c>
      <c r="B409" s="30">
        <v>43709</v>
      </c>
      <c r="C409">
        <v>7749.4501950000003</v>
      </c>
    </row>
    <row r="410" spans="1:3">
      <c r="A410">
        <f t="shared" si="66"/>
        <v>409</v>
      </c>
      <c r="B410" s="30">
        <v>43739</v>
      </c>
      <c r="C410">
        <v>8083.830078</v>
      </c>
    </row>
    <row r="411" spans="1:3">
      <c r="A411">
        <f t="shared" si="66"/>
        <v>410</v>
      </c>
      <c r="B411" s="30">
        <v>43770</v>
      </c>
      <c r="C411">
        <v>8403.6796880000002</v>
      </c>
    </row>
    <row r="412" spans="1:3">
      <c r="A412">
        <f t="shared" si="66"/>
        <v>411</v>
      </c>
      <c r="B412" s="30">
        <v>43800</v>
      </c>
      <c r="C412">
        <v>8733.0703130000002</v>
      </c>
    </row>
    <row r="413" spans="1:3">
      <c r="A413">
        <f t="shared" si="66"/>
        <v>412</v>
      </c>
      <c r="B413" s="30">
        <v>43831</v>
      </c>
      <c r="C413">
        <v>8991.5097659999992</v>
      </c>
    </row>
    <row r="414" spans="1:3">
      <c r="A414">
        <f t="shared" si="66"/>
        <v>413</v>
      </c>
      <c r="B414" s="30">
        <v>43862</v>
      </c>
      <c r="C414">
        <v>8461.8300780000009</v>
      </c>
    </row>
    <row r="415" spans="1:3">
      <c r="A415">
        <f t="shared" si="66"/>
        <v>414</v>
      </c>
      <c r="B415" s="30">
        <v>43891</v>
      </c>
      <c r="C415">
        <v>7813.5</v>
      </c>
    </row>
    <row r="416" spans="1:3">
      <c r="A416">
        <f t="shared" si="66"/>
        <v>415</v>
      </c>
      <c r="B416" s="30">
        <v>43922</v>
      </c>
      <c r="C416">
        <v>9000.5097659999992</v>
      </c>
    </row>
    <row r="417" spans="1:3">
      <c r="A417">
        <f t="shared" si="66"/>
        <v>416</v>
      </c>
      <c r="B417" s="30">
        <v>43952</v>
      </c>
      <c r="C417">
        <v>9555.5302730000003</v>
      </c>
    </row>
    <row r="418" spans="1:3">
      <c r="A418">
        <f t="shared" si="66"/>
        <v>417</v>
      </c>
      <c r="B418" s="30">
        <v>43983</v>
      </c>
      <c r="C418">
        <v>10156.849609000001</v>
      </c>
    </row>
    <row r="419" spans="1:3">
      <c r="A419">
        <f t="shared" si="66"/>
        <v>418</v>
      </c>
      <c r="B419" s="30">
        <v>44013</v>
      </c>
      <c r="C419">
        <v>10905.879883</v>
      </c>
    </row>
    <row r="420" spans="1:3">
      <c r="A420">
        <f t="shared" si="66"/>
        <v>419</v>
      </c>
      <c r="B420" s="30">
        <v>44044</v>
      </c>
      <c r="C420">
        <v>12110.700194999999</v>
      </c>
    </row>
    <row r="421" spans="1:3">
      <c r="A421">
        <f t="shared" si="66"/>
        <v>420</v>
      </c>
      <c r="B421" s="30">
        <v>44075</v>
      </c>
      <c r="C421">
        <v>11418.059569999999</v>
      </c>
    </row>
    <row r="422" spans="1:3">
      <c r="A422">
        <f t="shared" si="66"/>
        <v>421</v>
      </c>
      <c r="B422" s="30">
        <v>44105</v>
      </c>
      <c r="C422">
        <v>11052.950194999999</v>
      </c>
    </row>
    <row r="423" spans="1:3">
      <c r="A423">
        <f t="shared" si="66"/>
        <v>422</v>
      </c>
      <c r="B423" s="30">
        <v>44136</v>
      </c>
      <c r="C423">
        <v>12268.320313</v>
      </c>
    </row>
    <row r="424" spans="1:3">
      <c r="A424">
        <f t="shared" si="66"/>
        <v>423</v>
      </c>
      <c r="B424" s="30">
        <v>44166</v>
      </c>
      <c r="C424">
        <v>12888.280273</v>
      </c>
    </row>
    <row r="425" spans="1:3">
      <c r="A425">
        <f t="shared" si="66"/>
        <v>424</v>
      </c>
      <c r="B425" s="30">
        <v>44197</v>
      </c>
      <c r="C425">
        <v>13404.990234000001</v>
      </c>
    </row>
    <row r="426" spans="1:3">
      <c r="A426">
        <f t="shared" si="66"/>
        <v>425</v>
      </c>
      <c r="B426" s="30">
        <v>44217</v>
      </c>
      <c r="C426">
        <v>13404.986328000001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C8FE6-A9ED-42CB-8FA6-24D0779B4722}">
  <sheetPr codeName="Sheet21"/>
  <dimension ref="A1:P403"/>
  <sheetViews>
    <sheetView workbookViewId="0">
      <selection activeCell="N1" sqref="N1:P1048576"/>
    </sheetView>
  </sheetViews>
  <sheetFormatPr defaultColWidth="8.69140625" defaultRowHeight="14.6"/>
  <cols>
    <col min="2" max="2" width="9.69140625" bestFit="1" customWidth="1"/>
    <col min="5" max="5" width="11.3828125" bestFit="1" customWidth="1"/>
    <col min="6" max="7" width="9.69140625" bestFit="1" customWidth="1"/>
    <col min="9" max="9" width="12.3046875" bestFit="1" customWidth="1"/>
    <col min="10" max="10" width="10.3046875" bestFit="1" customWidth="1"/>
  </cols>
  <sheetData>
    <row r="1" spans="1:16">
      <c r="A1" t="s">
        <v>102</v>
      </c>
      <c r="B1" t="s">
        <v>103</v>
      </c>
      <c r="C1" t="s">
        <v>104</v>
      </c>
      <c r="E1" t="s">
        <v>105</v>
      </c>
      <c r="F1" t="s">
        <v>102</v>
      </c>
      <c r="G1" t="s">
        <v>103</v>
      </c>
      <c r="H1" t="s">
        <v>104</v>
      </c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1:16">
      <c r="A2">
        <v>1</v>
      </c>
      <c r="B2" s="30">
        <v>32021</v>
      </c>
      <c r="C2">
        <v>170.80999800000001</v>
      </c>
      <c r="E2">
        <v>10</v>
      </c>
      <c r="F2" s="43">
        <f t="shared" ref="F2:F10" si="0">F3-12</f>
        <v>282</v>
      </c>
      <c r="G2" s="30">
        <f t="shared" ref="G2:G12" si="1">VLOOKUP(F2,A:C,2,FALSE)</f>
        <v>40575</v>
      </c>
      <c r="H2">
        <f t="shared" ref="H2:H12" si="2">VLOOKUP(F2,A:C,3,FALSE)</f>
        <v>823.45001200000002</v>
      </c>
      <c r="I2" s="30"/>
      <c r="J2">
        <v>1</v>
      </c>
      <c r="K2">
        <f t="shared" ref="K2:K12" si="3">H2</f>
        <v>823.45001200000002</v>
      </c>
      <c r="L2" s="59">
        <f t="shared" ref="L2:L7" si="4">(K3-K2)/K2</f>
        <v>-1.5192191168490705E-2</v>
      </c>
      <c r="N2">
        <v>1</v>
      </c>
      <c r="O2">
        <f>K2</f>
        <v>823.45001200000002</v>
      </c>
      <c r="P2">
        <f>0</f>
        <v>0</v>
      </c>
    </row>
    <row r="3" spans="1:16">
      <c r="A3">
        <f>A2+1</f>
        <v>2</v>
      </c>
      <c r="B3" s="30">
        <v>32051</v>
      </c>
      <c r="C3">
        <v>118.260002</v>
      </c>
      <c r="E3">
        <v>9</v>
      </c>
      <c r="F3" s="43">
        <f t="shared" si="0"/>
        <v>294</v>
      </c>
      <c r="G3" s="30">
        <f t="shared" si="1"/>
        <v>40940</v>
      </c>
      <c r="H3">
        <f t="shared" si="2"/>
        <v>810.94000200000005</v>
      </c>
      <c r="I3" s="30"/>
      <c r="J3">
        <v>2</v>
      </c>
      <c r="K3">
        <f t="shared" si="3"/>
        <v>810.94000200000005</v>
      </c>
      <c r="L3" s="59">
        <f t="shared" si="4"/>
        <v>0.12352329734993144</v>
      </c>
      <c r="N3">
        <v>2</v>
      </c>
      <c r="O3">
        <f t="shared" ref="O3:O66" si="5">K3</f>
        <v>810.94000200000005</v>
      </c>
      <c r="P3">
        <f>(O4-O2)/O2</f>
        <v>0.10645451663433825</v>
      </c>
    </row>
    <row r="4" spans="1:16">
      <c r="A4">
        <f t="shared" ref="A4:A67" si="6">A3+1</f>
        <v>3</v>
      </c>
      <c r="B4" s="30">
        <v>32082</v>
      </c>
      <c r="C4">
        <v>111.699997</v>
      </c>
      <c r="E4">
        <v>8</v>
      </c>
      <c r="F4" s="43">
        <f t="shared" si="0"/>
        <v>306</v>
      </c>
      <c r="G4" s="30">
        <f t="shared" si="1"/>
        <v>41306</v>
      </c>
      <c r="H4">
        <f t="shared" si="2"/>
        <v>911.10998500000005</v>
      </c>
      <c r="I4" s="30"/>
      <c r="J4">
        <v>3</v>
      </c>
      <c r="K4">
        <f t="shared" si="3"/>
        <v>911.10998500000005</v>
      </c>
      <c r="L4" s="59">
        <f t="shared" si="4"/>
        <v>0.29844919765641681</v>
      </c>
      <c r="N4">
        <v>3</v>
      </c>
      <c r="O4">
        <f t="shared" si="5"/>
        <v>911.10998500000005</v>
      </c>
      <c r="P4">
        <f>0</f>
        <v>0</v>
      </c>
    </row>
    <row r="5" spans="1:16">
      <c r="A5">
        <f t="shared" si="6"/>
        <v>4</v>
      </c>
      <c r="B5" s="30">
        <v>32112</v>
      </c>
      <c r="C5">
        <v>120.41999800000001</v>
      </c>
      <c r="E5">
        <v>7</v>
      </c>
      <c r="F5" s="43">
        <f t="shared" si="0"/>
        <v>318</v>
      </c>
      <c r="G5" s="30">
        <f t="shared" si="1"/>
        <v>41671</v>
      </c>
      <c r="H5">
        <f t="shared" si="2"/>
        <v>1183.030029</v>
      </c>
      <c r="I5" s="30"/>
      <c r="J5">
        <v>4</v>
      </c>
      <c r="K5">
        <f t="shared" si="3"/>
        <v>1183.030029</v>
      </c>
      <c r="L5" s="59">
        <f t="shared" si="4"/>
        <v>4.2551722919959796E-2</v>
      </c>
      <c r="N5">
        <v>4</v>
      </c>
      <c r="O5">
        <f t="shared" si="5"/>
        <v>1183.030029</v>
      </c>
      <c r="P5">
        <f>(O6-O4)/O4</f>
        <v>0.35370044814073676</v>
      </c>
    </row>
    <row r="6" spans="1:16">
      <c r="A6">
        <f t="shared" si="6"/>
        <v>5</v>
      </c>
      <c r="B6" s="30">
        <v>32143</v>
      </c>
      <c r="C6">
        <v>125.239998</v>
      </c>
      <c r="E6">
        <v>6</v>
      </c>
      <c r="F6" s="43">
        <f t="shared" si="0"/>
        <v>330</v>
      </c>
      <c r="G6" s="30">
        <f t="shared" si="1"/>
        <v>42036</v>
      </c>
      <c r="H6">
        <f t="shared" si="2"/>
        <v>1233.369995</v>
      </c>
      <c r="I6" s="30"/>
      <c r="J6">
        <v>5</v>
      </c>
      <c r="K6">
        <f t="shared" si="3"/>
        <v>1233.369995</v>
      </c>
      <c r="L6" s="59">
        <f t="shared" si="4"/>
        <v>-0.16172760145669021</v>
      </c>
      <c r="N6">
        <v>5</v>
      </c>
      <c r="O6">
        <f t="shared" si="5"/>
        <v>1233.369995</v>
      </c>
      <c r="P6">
        <f>0</f>
        <v>0</v>
      </c>
    </row>
    <row r="7" spans="1:16">
      <c r="A7">
        <f t="shared" si="6"/>
        <v>6</v>
      </c>
      <c r="B7" s="30">
        <v>32174</v>
      </c>
      <c r="C7">
        <v>136.10000600000001</v>
      </c>
      <c r="E7">
        <v>5</v>
      </c>
      <c r="F7" s="43">
        <f t="shared" si="0"/>
        <v>342</v>
      </c>
      <c r="G7" s="30">
        <f t="shared" si="1"/>
        <v>42401</v>
      </c>
      <c r="H7">
        <f t="shared" si="2"/>
        <v>1033.900024</v>
      </c>
      <c r="I7" s="30"/>
      <c r="J7">
        <v>6</v>
      </c>
      <c r="K7">
        <f t="shared" si="3"/>
        <v>1033.900024</v>
      </c>
      <c r="L7" s="59">
        <f t="shared" si="4"/>
        <v>0.34121290435331286</v>
      </c>
      <c r="N7">
        <v>6</v>
      </c>
      <c r="O7">
        <f t="shared" si="5"/>
        <v>1033.900024</v>
      </c>
      <c r="P7">
        <f t="shared" ref="P7" si="7">(O8-O6)/O6</f>
        <v>0.12430175828949033</v>
      </c>
    </row>
    <row r="8" spans="1:16">
      <c r="A8">
        <f t="shared" si="6"/>
        <v>7</v>
      </c>
      <c r="B8" s="30">
        <v>32203</v>
      </c>
      <c r="C8">
        <v>142.14999399999999</v>
      </c>
      <c r="E8">
        <v>4</v>
      </c>
      <c r="F8" s="43">
        <f t="shared" si="0"/>
        <v>354</v>
      </c>
      <c r="G8" s="30">
        <f t="shared" si="1"/>
        <v>42767</v>
      </c>
      <c r="H8">
        <f t="shared" si="2"/>
        <v>1386.6800539999999</v>
      </c>
      <c r="I8" s="30"/>
      <c r="J8">
        <v>7</v>
      </c>
      <c r="K8">
        <f t="shared" si="3"/>
        <v>1386.6800539999999</v>
      </c>
      <c r="L8" s="59">
        <f t="shared" ref="L8:L71" si="8">(K9-K8)/K8</f>
        <v>9.0698569318283517E-2</v>
      </c>
      <c r="N8">
        <v>7</v>
      </c>
      <c r="O8">
        <f t="shared" si="5"/>
        <v>1386.6800539999999</v>
      </c>
      <c r="P8">
        <f>0</f>
        <v>0</v>
      </c>
    </row>
    <row r="9" spans="1:16">
      <c r="A9">
        <f t="shared" si="6"/>
        <v>8</v>
      </c>
      <c r="B9" s="30">
        <v>32234</v>
      </c>
      <c r="C9">
        <v>145.009995</v>
      </c>
      <c r="E9">
        <v>3</v>
      </c>
      <c r="F9" s="43">
        <f t="shared" si="0"/>
        <v>366</v>
      </c>
      <c r="G9" s="30">
        <f t="shared" si="1"/>
        <v>43132</v>
      </c>
      <c r="H9">
        <f t="shared" si="2"/>
        <v>1512.4499510000001</v>
      </c>
      <c r="I9" s="30"/>
      <c r="J9">
        <v>8</v>
      </c>
      <c r="K9">
        <f t="shared" si="3"/>
        <v>1512.4499510000001</v>
      </c>
      <c r="L9" s="59">
        <f t="shared" si="8"/>
        <v>4.1720453598004636E-2</v>
      </c>
      <c r="N9">
        <v>8</v>
      </c>
      <c r="O9">
        <f t="shared" si="5"/>
        <v>1512.4499510000001</v>
      </c>
      <c r="P9">
        <f t="shared" ref="P9" si="9">(O10-O8)/O8</f>
        <v>0.13620300836893701</v>
      </c>
    </row>
    <row r="10" spans="1:16">
      <c r="A10">
        <f t="shared" si="6"/>
        <v>9</v>
      </c>
      <c r="B10" s="30">
        <v>32264</v>
      </c>
      <c r="C10">
        <v>141.36999499999999</v>
      </c>
      <c r="E10">
        <v>2</v>
      </c>
      <c r="F10" s="43">
        <f t="shared" si="0"/>
        <v>378</v>
      </c>
      <c r="G10" s="30">
        <f t="shared" si="1"/>
        <v>43497</v>
      </c>
      <c r="H10">
        <f t="shared" si="2"/>
        <v>1575.5500489999999</v>
      </c>
      <c r="J10">
        <v>9</v>
      </c>
      <c r="K10">
        <f t="shared" si="3"/>
        <v>1575.5500489999999</v>
      </c>
      <c r="L10" s="59">
        <f t="shared" si="8"/>
        <v>-6.291135915543361E-2</v>
      </c>
      <c r="N10">
        <v>9</v>
      </c>
      <c r="O10">
        <f t="shared" si="5"/>
        <v>1575.5500489999999</v>
      </c>
      <c r="P10">
        <f>0</f>
        <v>0</v>
      </c>
    </row>
    <row r="11" spans="1:16">
      <c r="A11">
        <f t="shared" si="6"/>
        <v>10</v>
      </c>
      <c r="B11" s="30">
        <v>32295</v>
      </c>
      <c r="C11">
        <v>151.300003</v>
      </c>
      <c r="E11">
        <v>1</v>
      </c>
      <c r="F11" s="43">
        <f>F12-12</f>
        <v>390</v>
      </c>
      <c r="G11" s="30">
        <f t="shared" si="1"/>
        <v>43862</v>
      </c>
      <c r="H11">
        <f t="shared" si="2"/>
        <v>1476.4300539999999</v>
      </c>
      <c r="J11">
        <v>10</v>
      </c>
      <c r="K11">
        <f t="shared" si="3"/>
        <v>1476.4300539999999</v>
      </c>
      <c r="L11" s="59">
        <f t="shared" si="8"/>
        <v>0.45040457026621861</v>
      </c>
      <c r="N11">
        <v>10</v>
      </c>
      <c r="O11">
        <f t="shared" si="5"/>
        <v>1476.4300539999999</v>
      </c>
      <c r="P11">
        <f t="shared" ref="P11" si="10">(O12-O10)/O10</f>
        <v>0.3591576474255182</v>
      </c>
    </row>
    <row r="12" spans="1:16">
      <c r="A12">
        <f t="shared" si="6"/>
        <v>11</v>
      </c>
      <c r="B12" s="30">
        <v>32325</v>
      </c>
      <c r="C12">
        <v>149.88999899999999</v>
      </c>
      <c r="E12">
        <v>0</v>
      </c>
      <c r="F12" s="43">
        <f>MAX(A:A)</f>
        <v>402</v>
      </c>
      <c r="G12" s="30">
        <f t="shared" si="1"/>
        <v>44217</v>
      </c>
      <c r="H12">
        <f t="shared" si="2"/>
        <v>2141.4208979999999</v>
      </c>
      <c r="J12">
        <v>11</v>
      </c>
      <c r="K12">
        <f t="shared" si="3"/>
        <v>2141.4208979999999</v>
      </c>
      <c r="L12" s="59">
        <f t="shared" si="8"/>
        <v>-0.61546559447090998</v>
      </c>
      <c r="N12">
        <v>11</v>
      </c>
      <c r="O12">
        <f t="shared" si="5"/>
        <v>2141.4208979999999</v>
      </c>
      <c r="P12">
        <f>0</f>
        <v>0</v>
      </c>
    </row>
    <row r="13" spans="1:16">
      <c r="A13">
        <f t="shared" si="6"/>
        <v>12</v>
      </c>
      <c r="B13" s="30">
        <v>32356</v>
      </c>
      <c r="C13">
        <v>145.740005</v>
      </c>
      <c r="J13">
        <v>12</v>
      </c>
      <c r="K13">
        <f>K2</f>
        <v>823.45001200000002</v>
      </c>
      <c r="L13" s="59">
        <f t="shared" si="8"/>
        <v>-1.5192191168490705E-2</v>
      </c>
      <c r="N13">
        <v>12</v>
      </c>
      <c r="O13">
        <f t="shared" si="5"/>
        <v>823.45001200000002</v>
      </c>
      <c r="P13">
        <f t="shared" ref="P13" si="11">(O14-O12)/O12</f>
        <v>-0.62130751467056988</v>
      </c>
    </row>
    <row r="14" spans="1:16">
      <c r="A14">
        <f t="shared" si="6"/>
        <v>13</v>
      </c>
      <c r="B14" s="30">
        <v>32387</v>
      </c>
      <c r="C14">
        <v>149.08999600000001</v>
      </c>
      <c r="J14">
        <v>13</v>
      </c>
      <c r="K14">
        <f t="shared" ref="K14:K77" si="12">K3</f>
        <v>810.94000200000005</v>
      </c>
      <c r="L14" s="59">
        <f t="shared" si="8"/>
        <v>0.12352329734993144</v>
      </c>
      <c r="N14">
        <v>13</v>
      </c>
      <c r="O14">
        <f t="shared" si="5"/>
        <v>810.94000200000005</v>
      </c>
      <c r="P14">
        <f>0</f>
        <v>0</v>
      </c>
    </row>
    <row r="15" spans="1:16">
      <c r="A15">
        <f t="shared" si="6"/>
        <v>14</v>
      </c>
      <c r="B15" s="30">
        <v>32417</v>
      </c>
      <c r="C15">
        <v>147.25</v>
      </c>
      <c r="J15">
        <v>14</v>
      </c>
      <c r="K15">
        <f t="shared" si="12"/>
        <v>911.10998500000005</v>
      </c>
      <c r="L15" s="59">
        <f t="shared" si="8"/>
        <v>0.29844919765641681</v>
      </c>
      <c r="N15">
        <v>14</v>
      </c>
      <c r="O15">
        <f t="shared" si="5"/>
        <v>911.10998500000005</v>
      </c>
      <c r="P15">
        <f t="shared" ref="P15" si="13">(O16-O14)/O14</f>
        <v>0.45883792399231027</v>
      </c>
    </row>
    <row r="16" spans="1:16">
      <c r="A16">
        <f t="shared" si="6"/>
        <v>15</v>
      </c>
      <c r="B16" s="30">
        <v>32448</v>
      </c>
      <c r="C16">
        <v>142.009995</v>
      </c>
      <c r="J16">
        <v>15</v>
      </c>
      <c r="K16">
        <f t="shared" si="12"/>
        <v>1183.030029</v>
      </c>
      <c r="L16" s="59">
        <f t="shared" si="8"/>
        <v>4.2551722919959796E-2</v>
      </c>
      <c r="N16">
        <v>15</v>
      </c>
      <c r="O16">
        <f t="shared" si="5"/>
        <v>1183.030029</v>
      </c>
      <c r="P16">
        <f>0</f>
        <v>0</v>
      </c>
    </row>
    <row r="17" spans="1:16">
      <c r="A17">
        <f t="shared" si="6"/>
        <v>16</v>
      </c>
      <c r="B17" s="30">
        <v>32478</v>
      </c>
      <c r="C17">
        <v>147.36999499999999</v>
      </c>
      <c r="J17">
        <v>16</v>
      </c>
      <c r="K17">
        <f t="shared" si="12"/>
        <v>1233.369995</v>
      </c>
      <c r="L17" s="59">
        <f t="shared" si="8"/>
        <v>-0.16172760145669021</v>
      </c>
      <c r="N17">
        <v>16</v>
      </c>
      <c r="O17">
        <f t="shared" si="5"/>
        <v>1233.369995</v>
      </c>
      <c r="P17">
        <f t="shared" ref="P17" si="14">(O18-O16)/O16</f>
        <v>-0.12605766662242518</v>
      </c>
    </row>
    <row r="18" spans="1:16">
      <c r="A18">
        <f t="shared" si="6"/>
        <v>17</v>
      </c>
      <c r="B18" s="30">
        <v>32509</v>
      </c>
      <c r="C18">
        <v>153.85000600000001</v>
      </c>
      <c r="J18">
        <v>17</v>
      </c>
      <c r="K18">
        <f t="shared" si="12"/>
        <v>1033.900024</v>
      </c>
      <c r="L18" s="59">
        <f t="shared" si="8"/>
        <v>0.34121290435331286</v>
      </c>
      <c r="N18">
        <v>17</v>
      </c>
      <c r="O18">
        <f t="shared" si="5"/>
        <v>1033.900024</v>
      </c>
      <c r="P18">
        <f>0</f>
        <v>0</v>
      </c>
    </row>
    <row r="19" spans="1:16">
      <c r="A19">
        <f t="shared" si="6"/>
        <v>18</v>
      </c>
      <c r="B19" s="30">
        <v>32540</v>
      </c>
      <c r="C19">
        <v>154.55999800000001</v>
      </c>
      <c r="J19">
        <v>18</v>
      </c>
      <c r="K19">
        <f t="shared" si="12"/>
        <v>1386.6800539999999</v>
      </c>
      <c r="L19" s="59">
        <f t="shared" si="8"/>
        <v>9.0698569318283517E-2</v>
      </c>
      <c r="N19">
        <v>18</v>
      </c>
      <c r="O19">
        <f t="shared" si="5"/>
        <v>1386.6800539999999</v>
      </c>
      <c r="P19">
        <f t="shared" ref="P19" si="15">(O20-O18)/O18</f>
        <v>0.46285899592937818</v>
      </c>
    </row>
    <row r="20" spans="1:16">
      <c r="A20">
        <f t="shared" si="6"/>
        <v>19</v>
      </c>
      <c r="B20" s="30">
        <v>32568</v>
      </c>
      <c r="C20">
        <v>157.89999399999999</v>
      </c>
      <c r="J20">
        <v>19</v>
      </c>
      <c r="K20">
        <f t="shared" si="12"/>
        <v>1512.4499510000001</v>
      </c>
      <c r="L20" s="59">
        <f t="shared" si="8"/>
        <v>4.1720453598004636E-2</v>
      </c>
      <c r="N20">
        <v>19</v>
      </c>
      <c r="O20">
        <f t="shared" si="5"/>
        <v>1512.4499510000001</v>
      </c>
      <c r="P20">
        <f>0</f>
        <v>0</v>
      </c>
    </row>
    <row r="21" spans="1:16">
      <c r="A21">
        <f t="shared" si="6"/>
        <v>20</v>
      </c>
      <c r="B21" s="30">
        <v>32599</v>
      </c>
      <c r="C21">
        <v>164.679993</v>
      </c>
      <c r="J21">
        <v>20</v>
      </c>
      <c r="K21">
        <f t="shared" si="12"/>
        <v>1575.5500489999999</v>
      </c>
      <c r="L21" s="59">
        <f t="shared" si="8"/>
        <v>-6.291135915543361E-2</v>
      </c>
      <c r="N21">
        <v>20</v>
      </c>
      <c r="O21">
        <f t="shared" si="5"/>
        <v>1575.5500489999999</v>
      </c>
      <c r="P21">
        <f t="shared" ref="P21" si="16">(O22-O20)/O20</f>
        <v>-2.3815595997860643E-2</v>
      </c>
    </row>
    <row r="22" spans="1:16">
      <c r="A22">
        <f t="shared" si="6"/>
        <v>21</v>
      </c>
      <c r="B22" s="30">
        <v>32629</v>
      </c>
      <c r="C22">
        <v>171.529999</v>
      </c>
      <c r="J22">
        <v>21</v>
      </c>
      <c r="K22">
        <f t="shared" si="12"/>
        <v>1476.4300539999999</v>
      </c>
      <c r="L22" s="59">
        <f t="shared" si="8"/>
        <v>0.45040457026621861</v>
      </c>
      <c r="N22">
        <v>21</v>
      </c>
      <c r="O22">
        <f t="shared" si="5"/>
        <v>1476.4300539999999</v>
      </c>
      <c r="P22">
        <f>0</f>
        <v>0</v>
      </c>
    </row>
    <row r="23" spans="1:16">
      <c r="A23">
        <f t="shared" si="6"/>
        <v>22</v>
      </c>
      <c r="B23" s="30">
        <v>32660</v>
      </c>
      <c r="C23">
        <v>167.41999799999999</v>
      </c>
      <c r="J23">
        <v>22</v>
      </c>
      <c r="K23">
        <f t="shared" si="12"/>
        <v>2141.4208979999999</v>
      </c>
      <c r="L23" s="59">
        <f t="shared" si="8"/>
        <v>-0.61546559447090998</v>
      </c>
      <c r="N23">
        <v>22</v>
      </c>
      <c r="O23">
        <f t="shared" si="5"/>
        <v>2141.4208979999999</v>
      </c>
      <c r="P23">
        <f t="shared" ref="P23" si="17">(O24-O22)/O22</f>
        <v>-0.44226954079600439</v>
      </c>
    </row>
    <row r="24" spans="1:16">
      <c r="A24">
        <f t="shared" si="6"/>
        <v>23</v>
      </c>
      <c r="B24" s="30">
        <v>32690</v>
      </c>
      <c r="C24">
        <v>174.5</v>
      </c>
      <c r="J24">
        <v>23</v>
      </c>
      <c r="K24">
        <f t="shared" si="12"/>
        <v>823.45001200000002</v>
      </c>
      <c r="L24" s="59">
        <f t="shared" si="8"/>
        <v>-1.5192191168490705E-2</v>
      </c>
      <c r="N24">
        <v>23</v>
      </c>
      <c r="O24">
        <f t="shared" si="5"/>
        <v>823.45001200000002</v>
      </c>
      <c r="P24">
        <f>0</f>
        <v>0</v>
      </c>
    </row>
    <row r="25" spans="1:16">
      <c r="A25">
        <f t="shared" si="6"/>
        <v>24</v>
      </c>
      <c r="B25" s="30">
        <v>32721</v>
      </c>
      <c r="C25">
        <v>178.199997</v>
      </c>
      <c r="J25">
        <v>24</v>
      </c>
      <c r="K25">
        <f t="shared" si="12"/>
        <v>810.94000200000005</v>
      </c>
      <c r="L25" s="59">
        <f t="shared" si="8"/>
        <v>0.12352329734993144</v>
      </c>
      <c r="N25">
        <v>24</v>
      </c>
      <c r="O25">
        <f t="shared" si="5"/>
        <v>810.94000200000005</v>
      </c>
      <c r="P25">
        <f t="shared" ref="P25" si="18">(O26-O24)/O24</f>
        <v>0.10645451663433825</v>
      </c>
    </row>
    <row r="26" spans="1:16">
      <c r="A26">
        <f t="shared" si="6"/>
        <v>25</v>
      </c>
      <c r="B26" s="30">
        <v>32752</v>
      </c>
      <c r="C26">
        <v>178.21000699999999</v>
      </c>
      <c r="J26">
        <v>25</v>
      </c>
      <c r="K26">
        <f t="shared" si="12"/>
        <v>911.10998500000005</v>
      </c>
      <c r="L26" s="59">
        <f t="shared" si="8"/>
        <v>0.29844919765641681</v>
      </c>
      <c r="N26">
        <v>25</v>
      </c>
      <c r="O26">
        <f t="shared" si="5"/>
        <v>911.10998500000005</v>
      </c>
      <c r="P26">
        <f>0</f>
        <v>0</v>
      </c>
    </row>
    <row r="27" spans="1:16">
      <c r="A27">
        <f t="shared" si="6"/>
        <v>26</v>
      </c>
      <c r="B27" s="30">
        <v>32782</v>
      </c>
      <c r="C27">
        <v>167.470001</v>
      </c>
      <c r="J27">
        <v>26</v>
      </c>
      <c r="K27">
        <f t="shared" si="12"/>
        <v>1183.030029</v>
      </c>
      <c r="L27" s="59">
        <f t="shared" si="8"/>
        <v>4.2551722919959796E-2</v>
      </c>
      <c r="N27">
        <v>26</v>
      </c>
      <c r="O27">
        <f t="shared" si="5"/>
        <v>1183.030029</v>
      </c>
      <c r="P27">
        <f t="shared" ref="P27" si="19">(O28-O26)/O26</f>
        <v>0.35370044814073676</v>
      </c>
    </row>
    <row r="28" spans="1:16">
      <c r="A28">
        <f t="shared" si="6"/>
        <v>27</v>
      </c>
      <c r="B28" s="30">
        <v>32813</v>
      </c>
      <c r="C28">
        <v>168.16999799999999</v>
      </c>
      <c r="J28">
        <v>27</v>
      </c>
      <c r="K28">
        <f t="shared" si="12"/>
        <v>1233.369995</v>
      </c>
      <c r="L28" s="59">
        <f t="shared" si="8"/>
        <v>-0.16172760145669021</v>
      </c>
      <c r="N28">
        <v>27</v>
      </c>
      <c r="O28">
        <f t="shared" si="5"/>
        <v>1233.369995</v>
      </c>
      <c r="P28">
        <f>0</f>
        <v>0</v>
      </c>
    </row>
    <row r="29" spans="1:16">
      <c r="A29">
        <f t="shared" si="6"/>
        <v>28</v>
      </c>
      <c r="B29" s="30">
        <v>32843</v>
      </c>
      <c r="C29">
        <v>168.30999800000001</v>
      </c>
      <c r="J29">
        <v>28</v>
      </c>
      <c r="K29">
        <f t="shared" si="12"/>
        <v>1033.900024</v>
      </c>
      <c r="L29" s="59">
        <f t="shared" si="8"/>
        <v>0.34121290435331286</v>
      </c>
      <c r="N29">
        <v>28</v>
      </c>
      <c r="O29">
        <f t="shared" si="5"/>
        <v>1033.900024</v>
      </c>
      <c r="P29">
        <f t="shared" ref="P29" si="20">(O30-O28)/O28</f>
        <v>0.12430175828949033</v>
      </c>
    </row>
    <row r="30" spans="1:16">
      <c r="A30">
        <f t="shared" si="6"/>
        <v>29</v>
      </c>
      <c r="B30" s="30">
        <v>32874</v>
      </c>
      <c r="C30">
        <v>153.270004</v>
      </c>
      <c r="J30">
        <v>29</v>
      </c>
      <c r="K30">
        <f t="shared" si="12"/>
        <v>1386.6800539999999</v>
      </c>
      <c r="L30" s="59">
        <f t="shared" si="8"/>
        <v>9.0698569318283517E-2</v>
      </c>
      <c r="N30">
        <v>29</v>
      </c>
      <c r="O30">
        <f t="shared" si="5"/>
        <v>1386.6800539999999</v>
      </c>
      <c r="P30">
        <f>0</f>
        <v>0</v>
      </c>
    </row>
    <row r="31" spans="1:16">
      <c r="A31">
        <f t="shared" si="6"/>
        <v>30</v>
      </c>
      <c r="B31" s="30">
        <v>32905</v>
      </c>
      <c r="C31">
        <v>157.720001</v>
      </c>
      <c r="J31">
        <v>30</v>
      </c>
      <c r="K31">
        <f t="shared" si="12"/>
        <v>1512.4499510000001</v>
      </c>
      <c r="L31" s="59">
        <f t="shared" si="8"/>
        <v>4.1720453598004636E-2</v>
      </c>
      <c r="N31">
        <v>30</v>
      </c>
      <c r="O31">
        <f t="shared" si="5"/>
        <v>1512.4499510000001</v>
      </c>
      <c r="P31">
        <f t="shared" ref="P31" si="21">(O32-O30)/O30</f>
        <v>0.13620300836893701</v>
      </c>
    </row>
    <row r="32" spans="1:16">
      <c r="A32">
        <f t="shared" si="6"/>
        <v>31</v>
      </c>
      <c r="B32" s="30">
        <v>32933</v>
      </c>
      <c r="C32">
        <v>163.63000500000001</v>
      </c>
      <c r="J32">
        <v>31</v>
      </c>
      <c r="K32">
        <f t="shared" si="12"/>
        <v>1575.5500489999999</v>
      </c>
      <c r="L32" s="59">
        <f t="shared" si="8"/>
        <v>-6.291135915543361E-2</v>
      </c>
      <c r="N32">
        <v>31</v>
      </c>
      <c r="O32">
        <f t="shared" si="5"/>
        <v>1575.5500489999999</v>
      </c>
      <c r="P32">
        <f>0</f>
        <v>0</v>
      </c>
    </row>
    <row r="33" spans="1:16">
      <c r="A33">
        <f t="shared" si="6"/>
        <v>32</v>
      </c>
      <c r="B33" s="30">
        <v>32964</v>
      </c>
      <c r="C33">
        <v>158.08999600000001</v>
      </c>
      <c r="J33">
        <v>32</v>
      </c>
      <c r="K33">
        <f t="shared" si="12"/>
        <v>1476.4300539999999</v>
      </c>
      <c r="L33" s="59">
        <f t="shared" si="8"/>
        <v>0.45040457026621861</v>
      </c>
      <c r="N33">
        <v>32</v>
      </c>
      <c r="O33">
        <f t="shared" si="5"/>
        <v>1476.4300539999999</v>
      </c>
      <c r="P33">
        <f t="shared" ref="P33" si="22">(O34-O32)/O32</f>
        <v>0.3591576474255182</v>
      </c>
    </row>
    <row r="34" spans="1:16">
      <c r="A34">
        <f t="shared" si="6"/>
        <v>33</v>
      </c>
      <c r="B34" s="30">
        <v>32994</v>
      </c>
      <c r="C34">
        <v>168.91000399999999</v>
      </c>
      <c r="J34">
        <v>33</v>
      </c>
      <c r="K34">
        <f t="shared" si="12"/>
        <v>2141.4208979999999</v>
      </c>
      <c r="L34" s="59">
        <f t="shared" si="8"/>
        <v>-0.61546559447090998</v>
      </c>
      <c r="N34">
        <v>33</v>
      </c>
      <c r="O34">
        <f t="shared" si="5"/>
        <v>2141.4208979999999</v>
      </c>
      <c r="P34">
        <f>0</f>
        <v>0</v>
      </c>
    </row>
    <row r="35" spans="1:16">
      <c r="A35">
        <f t="shared" si="6"/>
        <v>34</v>
      </c>
      <c r="B35" s="30">
        <v>33025</v>
      </c>
      <c r="C35">
        <v>169.11999499999999</v>
      </c>
      <c r="J35">
        <v>34</v>
      </c>
      <c r="K35">
        <f t="shared" si="12"/>
        <v>823.45001200000002</v>
      </c>
      <c r="L35" s="59">
        <f t="shared" si="8"/>
        <v>-1.5192191168490705E-2</v>
      </c>
      <c r="N35">
        <v>34</v>
      </c>
      <c r="O35">
        <f t="shared" si="5"/>
        <v>823.45001200000002</v>
      </c>
      <c r="P35">
        <f t="shared" ref="P35" si="23">(O36-O34)/O34</f>
        <v>-0.62130751467056988</v>
      </c>
    </row>
    <row r="36" spans="1:16">
      <c r="A36">
        <f t="shared" si="6"/>
        <v>35</v>
      </c>
      <c r="B36" s="30">
        <v>33055</v>
      </c>
      <c r="C36">
        <v>161.509995</v>
      </c>
      <c r="J36">
        <v>35</v>
      </c>
      <c r="K36">
        <f t="shared" si="12"/>
        <v>810.94000200000005</v>
      </c>
      <c r="L36" s="59">
        <f t="shared" si="8"/>
        <v>0.12352329734993144</v>
      </c>
      <c r="N36">
        <v>35</v>
      </c>
      <c r="O36">
        <f t="shared" si="5"/>
        <v>810.94000200000005</v>
      </c>
      <c r="P36">
        <f>0</f>
        <v>0</v>
      </c>
    </row>
    <row r="37" spans="1:16">
      <c r="A37">
        <f t="shared" si="6"/>
        <v>36</v>
      </c>
      <c r="B37" s="30">
        <v>33086</v>
      </c>
      <c r="C37">
        <v>139.509995</v>
      </c>
      <c r="J37">
        <v>36</v>
      </c>
      <c r="K37">
        <f t="shared" si="12"/>
        <v>911.10998500000005</v>
      </c>
      <c r="L37" s="59">
        <f t="shared" si="8"/>
        <v>0.29844919765641681</v>
      </c>
      <c r="N37">
        <v>36</v>
      </c>
      <c r="O37">
        <f t="shared" si="5"/>
        <v>911.10998500000005</v>
      </c>
      <c r="P37">
        <f t="shared" ref="P37" si="24">(O38-O36)/O36</f>
        <v>0.45883792399231027</v>
      </c>
    </row>
    <row r="38" spans="1:16">
      <c r="A38">
        <f t="shared" si="6"/>
        <v>37</v>
      </c>
      <c r="B38" s="30">
        <v>33117</v>
      </c>
      <c r="C38">
        <v>126.699997</v>
      </c>
      <c r="J38">
        <v>37</v>
      </c>
      <c r="K38">
        <f t="shared" si="12"/>
        <v>1183.030029</v>
      </c>
      <c r="L38" s="59">
        <f t="shared" si="8"/>
        <v>4.2551722919959796E-2</v>
      </c>
      <c r="N38">
        <v>37</v>
      </c>
      <c r="O38">
        <f t="shared" si="5"/>
        <v>1183.030029</v>
      </c>
      <c r="P38">
        <f>0</f>
        <v>0</v>
      </c>
    </row>
    <row r="39" spans="1:16">
      <c r="A39">
        <f t="shared" si="6"/>
        <v>38</v>
      </c>
      <c r="B39" s="30">
        <v>33147</v>
      </c>
      <c r="C39">
        <v>118.83000199999999</v>
      </c>
      <c r="J39">
        <v>38</v>
      </c>
      <c r="K39">
        <f t="shared" si="12"/>
        <v>1233.369995</v>
      </c>
      <c r="L39" s="59">
        <f t="shared" si="8"/>
        <v>-0.16172760145669021</v>
      </c>
      <c r="N39">
        <v>38</v>
      </c>
      <c r="O39">
        <f t="shared" si="5"/>
        <v>1233.369995</v>
      </c>
      <c r="P39">
        <f t="shared" ref="P39" si="25">(O40-O38)/O38</f>
        <v>-0.12605766662242518</v>
      </c>
    </row>
    <row r="40" spans="1:16">
      <c r="A40">
        <f t="shared" si="6"/>
        <v>39</v>
      </c>
      <c r="B40" s="30">
        <v>33178</v>
      </c>
      <c r="C40">
        <v>127.510002</v>
      </c>
      <c r="J40">
        <v>39</v>
      </c>
      <c r="K40">
        <f t="shared" si="12"/>
        <v>1033.900024</v>
      </c>
      <c r="L40" s="59">
        <f t="shared" si="8"/>
        <v>0.34121290435331286</v>
      </c>
      <c r="N40">
        <v>39</v>
      </c>
      <c r="O40">
        <f t="shared" si="5"/>
        <v>1033.900024</v>
      </c>
      <c r="P40">
        <f>0</f>
        <v>0</v>
      </c>
    </row>
    <row r="41" spans="1:16">
      <c r="A41">
        <f t="shared" si="6"/>
        <v>40</v>
      </c>
      <c r="B41" s="30">
        <v>33208</v>
      </c>
      <c r="C41">
        <v>132.199997</v>
      </c>
      <c r="J41">
        <v>40</v>
      </c>
      <c r="K41">
        <f t="shared" si="12"/>
        <v>1386.6800539999999</v>
      </c>
      <c r="L41" s="59">
        <f t="shared" si="8"/>
        <v>9.0698569318283517E-2</v>
      </c>
      <c r="N41">
        <v>40</v>
      </c>
      <c r="O41">
        <f t="shared" si="5"/>
        <v>1386.6800539999999</v>
      </c>
      <c r="P41">
        <f t="shared" ref="P41" si="26">(O42-O40)/O40</f>
        <v>0.46285899592937818</v>
      </c>
    </row>
    <row r="42" spans="1:16">
      <c r="A42">
        <f t="shared" si="6"/>
        <v>41</v>
      </c>
      <c r="B42" s="30">
        <v>33239</v>
      </c>
      <c r="C42">
        <v>144.16999799999999</v>
      </c>
      <c r="J42">
        <v>41</v>
      </c>
      <c r="K42">
        <f t="shared" si="12"/>
        <v>1512.4499510000001</v>
      </c>
      <c r="L42" s="59">
        <f t="shared" si="8"/>
        <v>4.1720453598004636E-2</v>
      </c>
      <c r="N42">
        <v>41</v>
      </c>
      <c r="O42">
        <f t="shared" si="5"/>
        <v>1512.4499510000001</v>
      </c>
      <c r="P42">
        <f>0</f>
        <v>0</v>
      </c>
    </row>
    <row r="43" spans="1:16">
      <c r="A43">
        <f t="shared" si="6"/>
        <v>42</v>
      </c>
      <c r="B43" s="30">
        <v>33270</v>
      </c>
      <c r="C43">
        <v>160</v>
      </c>
      <c r="J43">
        <v>42</v>
      </c>
      <c r="K43">
        <f t="shared" si="12"/>
        <v>1575.5500489999999</v>
      </c>
      <c r="L43" s="59">
        <f t="shared" si="8"/>
        <v>-6.291135915543361E-2</v>
      </c>
      <c r="N43">
        <v>42</v>
      </c>
      <c r="O43">
        <f t="shared" si="5"/>
        <v>1575.5500489999999</v>
      </c>
      <c r="P43">
        <f t="shared" ref="P43" si="27">(O44-O42)/O42</f>
        <v>-2.3815595997860643E-2</v>
      </c>
    </row>
    <row r="44" spans="1:16">
      <c r="A44">
        <f t="shared" si="6"/>
        <v>43</v>
      </c>
      <c r="B44" s="30">
        <v>33298</v>
      </c>
      <c r="C44">
        <v>171.009995</v>
      </c>
      <c r="J44">
        <v>43</v>
      </c>
      <c r="K44">
        <f t="shared" si="12"/>
        <v>1476.4300539999999</v>
      </c>
      <c r="L44" s="59">
        <f t="shared" si="8"/>
        <v>0.45040457026621861</v>
      </c>
      <c r="N44">
        <v>43</v>
      </c>
      <c r="O44">
        <f t="shared" si="5"/>
        <v>1476.4300539999999</v>
      </c>
      <c r="P44">
        <f>0</f>
        <v>0</v>
      </c>
    </row>
    <row r="45" spans="1:16">
      <c r="A45">
        <f t="shared" si="6"/>
        <v>44</v>
      </c>
      <c r="B45" s="30">
        <v>33329</v>
      </c>
      <c r="C45">
        <v>170.61000100000001</v>
      </c>
      <c r="J45">
        <v>44</v>
      </c>
      <c r="K45">
        <f t="shared" si="12"/>
        <v>2141.4208979999999</v>
      </c>
      <c r="L45" s="59">
        <f t="shared" si="8"/>
        <v>-0.61546559447090998</v>
      </c>
      <c r="N45">
        <v>44</v>
      </c>
      <c r="O45">
        <f t="shared" si="5"/>
        <v>2141.4208979999999</v>
      </c>
      <c r="P45">
        <f t="shared" ref="P45" si="28">(O46-O44)/O44</f>
        <v>-0.44226954079600439</v>
      </c>
    </row>
    <row r="46" spans="1:16">
      <c r="A46">
        <f t="shared" si="6"/>
        <v>45</v>
      </c>
      <c r="B46" s="30">
        <v>33359</v>
      </c>
      <c r="C46">
        <v>178.33999600000001</v>
      </c>
      <c r="J46">
        <v>45</v>
      </c>
      <c r="K46">
        <f t="shared" si="12"/>
        <v>823.45001200000002</v>
      </c>
      <c r="L46" s="59">
        <f t="shared" si="8"/>
        <v>-1.5192191168490705E-2</v>
      </c>
      <c r="N46">
        <v>45</v>
      </c>
      <c r="O46">
        <f t="shared" si="5"/>
        <v>823.45001200000002</v>
      </c>
      <c r="P46">
        <f>0</f>
        <v>0</v>
      </c>
    </row>
    <row r="47" spans="1:16">
      <c r="A47">
        <f t="shared" si="6"/>
        <v>46</v>
      </c>
      <c r="B47" s="30">
        <v>33390</v>
      </c>
      <c r="C47">
        <v>167.61000100000001</v>
      </c>
      <c r="J47">
        <v>46</v>
      </c>
      <c r="K47">
        <f t="shared" si="12"/>
        <v>810.94000200000005</v>
      </c>
      <c r="L47" s="59">
        <f t="shared" si="8"/>
        <v>0.12352329734993144</v>
      </c>
      <c r="N47">
        <v>46</v>
      </c>
      <c r="O47">
        <f t="shared" si="5"/>
        <v>810.94000200000005</v>
      </c>
      <c r="P47">
        <f t="shared" ref="P47" si="29">(O48-O46)/O46</f>
        <v>0.10645451663433825</v>
      </c>
    </row>
    <row r="48" spans="1:16">
      <c r="A48">
        <f t="shared" si="6"/>
        <v>47</v>
      </c>
      <c r="B48" s="30">
        <v>33420</v>
      </c>
      <c r="C48">
        <v>172.759995</v>
      </c>
      <c r="J48">
        <v>47</v>
      </c>
      <c r="K48">
        <f t="shared" si="12"/>
        <v>911.10998500000005</v>
      </c>
      <c r="L48" s="59">
        <f t="shared" si="8"/>
        <v>0.29844919765641681</v>
      </c>
      <c r="N48">
        <v>47</v>
      </c>
      <c r="O48">
        <f t="shared" si="5"/>
        <v>911.10998500000005</v>
      </c>
      <c r="P48">
        <f>0</f>
        <v>0</v>
      </c>
    </row>
    <row r="49" spans="1:16">
      <c r="A49">
        <f t="shared" si="6"/>
        <v>48</v>
      </c>
      <c r="B49" s="30">
        <v>33451</v>
      </c>
      <c r="C49">
        <v>179.11000100000001</v>
      </c>
      <c r="J49">
        <v>48</v>
      </c>
      <c r="K49">
        <f t="shared" si="12"/>
        <v>1183.030029</v>
      </c>
      <c r="L49" s="59">
        <f t="shared" si="8"/>
        <v>4.2551722919959796E-2</v>
      </c>
      <c r="N49">
        <v>48</v>
      </c>
      <c r="O49">
        <f t="shared" si="5"/>
        <v>1183.030029</v>
      </c>
      <c r="P49">
        <f t="shared" ref="P49" si="30">(O50-O48)/O48</f>
        <v>0.35370044814073676</v>
      </c>
    </row>
    <row r="50" spans="1:16">
      <c r="A50">
        <f t="shared" si="6"/>
        <v>49</v>
      </c>
      <c r="B50" s="30">
        <v>33482</v>
      </c>
      <c r="C50">
        <v>180.16000399999999</v>
      </c>
      <c r="J50">
        <v>49</v>
      </c>
      <c r="K50">
        <f t="shared" si="12"/>
        <v>1233.369995</v>
      </c>
      <c r="L50" s="59">
        <f t="shared" si="8"/>
        <v>-0.16172760145669021</v>
      </c>
      <c r="N50">
        <v>49</v>
      </c>
      <c r="O50">
        <f t="shared" si="5"/>
        <v>1233.369995</v>
      </c>
      <c r="P50">
        <f>0</f>
        <v>0</v>
      </c>
    </row>
    <row r="51" spans="1:16">
      <c r="A51">
        <f t="shared" si="6"/>
        <v>50</v>
      </c>
      <c r="B51" s="30">
        <v>33512</v>
      </c>
      <c r="C51">
        <v>185</v>
      </c>
      <c r="J51">
        <v>50</v>
      </c>
      <c r="K51">
        <f t="shared" si="12"/>
        <v>1033.900024</v>
      </c>
      <c r="L51" s="59">
        <f t="shared" si="8"/>
        <v>0.34121290435331286</v>
      </c>
      <c r="N51">
        <v>50</v>
      </c>
      <c r="O51">
        <f t="shared" si="5"/>
        <v>1033.900024</v>
      </c>
      <c r="P51">
        <f t="shared" ref="P51" si="31">(O52-O50)/O50</f>
        <v>0.12430175828949033</v>
      </c>
    </row>
    <row r="52" spans="1:16">
      <c r="A52">
        <f t="shared" si="6"/>
        <v>51</v>
      </c>
      <c r="B52" s="30">
        <v>33543</v>
      </c>
      <c r="C52">
        <v>176.36999499999999</v>
      </c>
      <c r="J52">
        <v>51</v>
      </c>
      <c r="K52">
        <f t="shared" si="12"/>
        <v>1386.6800539999999</v>
      </c>
      <c r="L52" s="59">
        <f t="shared" si="8"/>
        <v>9.0698569318283517E-2</v>
      </c>
      <c r="N52">
        <v>51</v>
      </c>
      <c r="O52">
        <f t="shared" si="5"/>
        <v>1386.6800539999999</v>
      </c>
      <c r="P52">
        <f>0</f>
        <v>0</v>
      </c>
    </row>
    <row r="53" spans="1:16">
      <c r="A53">
        <f t="shared" si="6"/>
        <v>52</v>
      </c>
      <c r="B53" s="30">
        <v>33573</v>
      </c>
      <c r="C53">
        <v>189.94000199999999</v>
      </c>
      <c r="J53">
        <v>52</v>
      </c>
      <c r="K53">
        <f t="shared" si="12"/>
        <v>1512.4499510000001</v>
      </c>
      <c r="L53" s="59">
        <f t="shared" si="8"/>
        <v>4.1720453598004636E-2</v>
      </c>
      <c r="N53">
        <v>52</v>
      </c>
      <c r="O53">
        <f t="shared" si="5"/>
        <v>1512.4499510000001</v>
      </c>
      <c r="P53">
        <f t="shared" ref="P53" si="32">(O54-O52)/O52</f>
        <v>0.13620300836893701</v>
      </c>
    </row>
    <row r="54" spans="1:16">
      <c r="A54">
        <f t="shared" si="6"/>
        <v>53</v>
      </c>
      <c r="B54" s="30">
        <v>33604</v>
      </c>
      <c r="C54">
        <v>205.16000399999999</v>
      </c>
      <c r="J54">
        <v>53</v>
      </c>
      <c r="K54">
        <f t="shared" si="12"/>
        <v>1575.5500489999999</v>
      </c>
      <c r="L54" s="59">
        <f t="shared" si="8"/>
        <v>-6.291135915543361E-2</v>
      </c>
      <c r="N54">
        <v>53</v>
      </c>
      <c r="O54">
        <f t="shared" si="5"/>
        <v>1575.5500489999999</v>
      </c>
      <c r="P54">
        <f>0</f>
        <v>0</v>
      </c>
    </row>
    <row r="55" spans="1:16">
      <c r="A55">
        <f t="shared" si="6"/>
        <v>54</v>
      </c>
      <c r="B55" s="30">
        <v>33635</v>
      </c>
      <c r="C55">
        <v>211.14999399999999</v>
      </c>
      <c r="J55">
        <v>54</v>
      </c>
      <c r="K55">
        <f t="shared" si="12"/>
        <v>1476.4300539999999</v>
      </c>
      <c r="L55" s="59">
        <f t="shared" si="8"/>
        <v>0.45040457026621861</v>
      </c>
      <c r="N55">
        <v>54</v>
      </c>
      <c r="O55">
        <f t="shared" si="5"/>
        <v>1476.4300539999999</v>
      </c>
      <c r="P55">
        <f t="shared" ref="P55" si="33">(O56-O54)/O54</f>
        <v>0.3591576474255182</v>
      </c>
    </row>
    <row r="56" spans="1:16">
      <c r="A56">
        <f t="shared" si="6"/>
        <v>55</v>
      </c>
      <c r="B56" s="30">
        <v>33664</v>
      </c>
      <c r="C56">
        <v>203.699997</v>
      </c>
      <c r="J56">
        <v>55</v>
      </c>
      <c r="K56">
        <f t="shared" si="12"/>
        <v>2141.4208979999999</v>
      </c>
      <c r="L56" s="59">
        <f>(K57-K56)/K56</f>
        <v>-0.61546559447090998</v>
      </c>
      <c r="N56">
        <v>55</v>
      </c>
      <c r="O56">
        <f t="shared" si="5"/>
        <v>2141.4208979999999</v>
      </c>
      <c r="P56">
        <f>0</f>
        <v>0</v>
      </c>
    </row>
    <row r="57" spans="1:16">
      <c r="A57">
        <f t="shared" si="6"/>
        <v>56</v>
      </c>
      <c r="B57" s="30">
        <v>33695</v>
      </c>
      <c r="C57">
        <v>196.259995</v>
      </c>
      <c r="J57">
        <v>56</v>
      </c>
      <c r="K57">
        <f t="shared" si="12"/>
        <v>823.45001200000002</v>
      </c>
      <c r="L57" s="59">
        <f>(K58-K57)/K57</f>
        <v>-1.5192191168490705E-2</v>
      </c>
      <c r="N57">
        <v>56</v>
      </c>
      <c r="O57">
        <f t="shared" si="5"/>
        <v>823.45001200000002</v>
      </c>
      <c r="P57">
        <f t="shared" ref="P57" si="34">(O58-O56)/O56</f>
        <v>-0.62130751467056988</v>
      </c>
    </row>
    <row r="58" spans="1:16">
      <c r="A58">
        <f t="shared" si="6"/>
        <v>57</v>
      </c>
      <c r="B58" s="30">
        <v>33725</v>
      </c>
      <c r="C58">
        <v>198.520004</v>
      </c>
      <c r="J58">
        <v>57</v>
      </c>
      <c r="K58">
        <f t="shared" si="12"/>
        <v>810.94000200000005</v>
      </c>
      <c r="L58" s="59">
        <f>(K59-K58)/K58</f>
        <v>0.12352329734993144</v>
      </c>
      <c r="N58">
        <v>57</v>
      </c>
      <c r="O58">
        <f t="shared" si="5"/>
        <v>810.94000200000005</v>
      </c>
      <c r="P58">
        <f>0</f>
        <v>0</v>
      </c>
    </row>
    <row r="59" spans="1:16">
      <c r="A59">
        <f t="shared" si="6"/>
        <v>58</v>
      </c>
      <c r="B59" s="30">
        <v>33756</v>
      </c>
      <c r="C59">
        <v>188.58000200000001</v>
      </c>
      <c r="J59">
        <v>58</v>
      </c>
      <c r="K59">
        <f t="shared" si="12"/>
        <v>911.10998500000005</v>
      </c>
      <c r="L59" s="59">
        <f>(K60-K59)/K59</f>
        <v>0.29844919765641681</v>
      </c>
      <c r="N59">
        <v>58</v>
      </c>
      <c r="O59">
        <f t="shared" si="5"/>
        <v>911.10998500000005</v>
      </c>
      <c r="P59">
        <f t="shared" ref="P59" si="35">(O60-O58)/O58</f>
        <v>0.45883792399231027</v>
      </c>
    </row>
    <row r="60" spans="1:16">
      <c r="A60">
        <f t="shared" si="6"/>
        <v>59</v>
      </c>
      <c r="B60" s="30">
        <v>33786</v>
      </c>
      <c r="C60">
        <v>194.740005</v>
      </c>
      <c r="J60">
        <v>59</v>
      </c>
      <c r="K60">
        <f t="shared" si="12"/>
        <v>1183.030029</v>
      </c>
      <c r="L60" s="59">
        <f>(K61-K60)/K60</f>
        <v>4.2551722919959796E-2</v>
      </c>
      <c r="N60">
        <v>59</v>
      </c>
      <c r="O60">
        <f t="shared" si="5"/>
        <v>1183.030029</v>
      </c>
      <c r="P60">
        <f>0</f>
        <v>0</v>
      </c>
    </row>
    <row r="61" spans="1:16">
      <c r="A61">
        <f t="shared" si="6"/>
        <v>60</v>
      </c>
      <c r="B61" s="30">
        <v>33817</v>
      </c>
      <c r="C61">
        <v>188.78999300000001</v>
      </c>
      <c r="J61">
        <v>60</v>
      </c>
      <c r="K61">
        <f t="shared" si="12"/>
        <v>1233.369995</v>
      </c>
      <c r="L61" s="59">
        <f t="shared" si="8"/>
        <v>-0.16172760145669021</v>
      </c>
      <c r="N61">
        <v>60</v>
      </c>
      <c r="O61">
        <f t="shared" si="5"/>
        <v>1233.369995</v>
      </c>
      <c r="P61">
        <f t="shared" ref="P61" si="36">(O62-O60)/O60</f>
        <v>-0.12605766662242518</v>
      </c>
    </row>
    <row r="62" spans="1:16">
      <c r="A62">
        <f t="shared" si="6"/>
        <v>61</v>
      </c>
      <c r="B62" s="30">
        <v>33848</v>
      </c>
      <c r="C62">
        <v>192.91000399999999</v>
      </c>
      <c r="J62">
        <v>61</v>
      </c>
      <c r="K62">
        <f t="shared" si="12"/>
        <v>1033.900024</v>
      </c>
      <c r="L62" s="59">
        <f t="shared" si="8"/>
        <v>0.34121290435331286</v>
      </c>
      <c r="N62">
        <v>61</v>
      </c>
      <c r="O62">
        <f t="shared" si="5"/>
        <v>1033.900024</v>
      </c>
      <c r="P62">
        <f>0</f>
        <v>0</v>
      </c>
    </row>
    <row r="63" spans="1:16">
      <c r="A63">
        <f t="shared" si="6"/>
        <v>62</v>
      </c>
      <c r="B63" s="30">
        <v>33878</v>
      </c>
      <c r="C63">
        <v>198.91000399999999</v>
      </c>
      <c r="J63">
        <v>62</v>
      </c>
      <c r="K63">
        <f t="shared" si="12"/>
        <v>1386.6800539999999</v>
      </c>
      <c r="L63" s="59">
        <f t="shared" si="8"/>
        <v>9.0698569318283517E-2</v>
      </c>
      <c r="N63">
        <v>62</v>
      </c>
      <c r="O63">
        <f t="shared" si="5"/>
        <v>1386.6800539999999</v>
      </c>
      <c r="P63">
        <f t="shared" ref="P63" si="37">(O64-O62)/O62</f>
        <v>0.46285899592937818</v>
      </c>
    </row>
    <row r="64" spans="1:16">
      <c r="A64">
        <f t="shared" si="6"/>
        <v>63</v>
      </c>
      <c r="B64" s="30">
        <v>33909</v>
      </c>
      <c r="C64">
        <v>213.80999800000001</v>
      </c>
      <c r="J64">
        <v>63</v>
      </c>
      <c r="K64">
        <f t="shared" si="12"/>
        <v>1512.4499510000001</v>
      </c>
      <c r="L64" s="59">
        <f t="shared" si="8"/>
        <v>4.1720453598004636E-2</v>
      </c>
      <c r="N64">
        <v>63</v>
      </c>
      <c r="O64">
        <f t="shared" si="5"/>
        <v>1512.4499510000001</v>
      </c>
      <c r="P64">
        <f>0</f>
        <v>0</v>
      </c>
    </row>
    <row r="65" spans="1:16">
      <c r="A65">
        <f t="shared" si="6"/>
        <v>64</v>
      </c>
      <c r="B65" s="30">
        <v>33939</v>
      </c>
      <c r="C65">
        <v>221.009995</v>
      </c>
      <c r="J65">
        <v>64</v>
      </c>
      <c r="K65">
        <f t="shared" si="12"/>
        <v>1575.5500489999999</v>
      </c>
      <c r="L65" s="59">
        <f t="shared" si="8"/>
        <v>-6.291135915543361E-2</v>
      </c>
      <c r="N65">
        <v>64</v>
      </c>
      <c r="O65">
        <f t="shared" si="5"/>
        <v>1575.5500489999999</v>
      </c>
      <c r="P65">
        <f t="shared" ref="P65" si="38">(O66-O64)/O64</f>
        <v>-2.3815595997860643E-2</v>
      </c>
    </row>
    <row r="66" spans="1:16">
      <c r="A66">
        <f t="shared" si="6"/>
        <v>65</v>
      </c>
      <c r="B66" s="30">
        <v>33970</v>
      </c>
      <c r="C66">
        <v>228.10000600000001</v>
      </c>
      <c r="J66">
        <v>65</v>
      </c>
      <c r="K66">
        <f t="shared" si="12"/>
        <v>1476.4300539999999</v>
      </c>
      <c r="L66" s="59">
        <f t="shared" si="8"/>
        <v>0.45040457026621861</v>
      </c>
      <c r="N66">
        <v>65</v>
      </c>
      <c r="O66">
        <f t="shared" si="5"/>
        <v>1476.4300539999999</v>
      </c>
      <c r="P66">
        <f>0</f>
        <v>0</v>
      </c>
    </row>
    <row r="67" spans="1:16">
      <c r="A67">
        <f t="shared" si="6"/>
        <v>66</v>
      </c>
      <c r="B67" s="30">
        <v>34001</v>
      </c>
      <c r="C67">
        <v>222.41000399999999</v>
      </c>
      <c r="J67">
        <v>66</v>
      </c>
      <c r="K67">
        <f t="shared" si="12"/>
        <v>2141.4208979999999</v>
      </c>
      <c r="L67" s="59">
        <f t="shared" si="8"/>
        <v>-0.61546559447090998</v>
      </c>
      <c r="N67">
        <v>66</v>
      </c>
      <c r="O67">
        <f t="shared" ref="O67:O104" si="39">K67</f>
        <v>2141.4208979999999</v>
      </c>
      <c r="P67">
        <f t="shared" ref="P67" si="40">(O68-O66)/O66</f>
        <v>-0.44226954079600439</v>
      </c>
    </row>
    <row r="68" spans="1:16">
      <c r="A68">
        <f t="shared" ref="A68:A131" si="41">A67+1</f>
        <v>67</v>
      </c>
      <c r="B68" s="30">
        <v>34029</v>
      </c>
      <c r="C68">
        <v>229.21000699999999</v>
      </c>
      <c r="J68">
        <v>67</v>
      </c>
      <c r="K68">
        <f t="shared" si="12"/>
        <v>823.45001200000002</v>
      </c>
      <c r="L68" s="59">
        <f t="shared" si="8"/>
        <v>-1.5192191168490705E-2</v>
      </c>
      <c r="N68">
        <v>67</v>
      </c>
      <c r="O68">
        <f t="shared" si="39"/>
        <v>823.45001200000002</v>
      </c>
      <c r="P68">
        <f>0</f>
        <v>0</v>
      </c>
    </row>
    <row r="69" spans="1:16">
      <c r="A69">
        <f t="shared" si="41"/>
        <v>68</v>
      </c>
      <c r="B69" s="30">
        <v>34060</v>
      </c>
      <c r="C69">
        <v>222.679993</v>
      </c>
      <c r="J69">
        <v>68</v>
      </c>
      <c r="K69">
        <f t="shared" si="12"/>
        <v>810.94000200000005</v>
      </c>
      <c r="L69" s="59">
        <f t="shared" si="8"/>
        <v>0.12352329734993144</v>
      </c>
      <c r="N69">
        <v>68</v>
      </c>
      <c r="O69">
        <f t="shared" si="39"/>
        <v>810.94000200000005</v>
      </c>
      <c r="P69">
        <f t="shared" ref="P69" si="42">(O70-O68)/O68</f>
        <v>0.10645451663433825</v>
      </c>
    </row>
    <row r="70" spans="1:16">
      <c r="A70">
        <f t="shared" si="41"/>
        <v>69</v>
      </c>
      <c r="B70" s="30">
        <v>34090</v>
      </c>
      <c r="C70">
        <v>232.19000199999999</v>
      </c>
      <c r="J70">
        <v>69</v>
      </c>
      <c r="K70">
        <f t="shared" si="12"/>
        <v>911.10998500000005</v>
      </c>
      <c r="L70" s="59">
        <f t="shared" si="8"/>
        <v>0.29844919765641681</v>
      </c>
      <c r="N70">
        <v>69</v>
      </c>
      <c r="O70">
        <f t="shared" si="39"/>
        <v>911.10998500000005</v>
      </c>
      <c r="P70">
        <f>0</f>
        <v>0</v>
      </c>
    </row>
    <row r="71" spans="1:16">
      <c r="A71">
        <f t="shared" si="41"/>
        <v>70</v>
      </c>
      <c r="B71" s="30">
        <v>34121</v>
      </c>
      <c r="C71">
        <v>233.35000600000001</v>
      </c>
      <c r="J71">
        <v>70</v>
      </c>
      <c r="K71">
        <f t="shared" si="12"/>
        <v>1183.030029</v>
      </c>
      <c r="L71" s="59">
        <f t="shared" si="8"/>
        <v>4.2551722919959796E-2</v>
      </c>
      <c r="N71">
        <v>70</v>
      </c>
      <c r="O71">
        <f t="shared" si="39"/>
        <v>1183.030029</v>
      </c>
      <c r="P71">
        <f t="shared" ref="P71" si="43">(O72-O70)/O70</f>
        <v>0.35370044814073676</v>
      </c>
    </row>
    <row r="72" spans="1:16">
      <c r="A72">
        <f t="shared" si="41"/>
        <v>71</v>
      </c>
      <c r="B72" s="30">
        <v>34151</v>
      </c>
      <c r="C72">
        <v>236.46000699999999</v>
      </c>
      <c r="J72">
        <v>71</v>
      </c>
      <c r="K72">
        <f t="shared" si="12"/>
        <v>1233.369995</v>
      </c>
      <c r="L72" s="59">
        <f t="shared" ref="L72:L103" si="44">(K73-K72)/K72</f>
        <v>-0.16172760145669021</v>
      </c>
      <c r="N72">
        <v>71</v>
      </c>
      <c r="O72">
        <f t="shared" si="39"/>
        <v>1233.369995</v>
      </c>
      <c r="P72">
        <f>0</f>
        <v>0</v>
      </c>
    </row>
    <row r="73" spans="1:16">
      <c r="A73">
        <f t="shared" si="41"/>
        <v>72</v>
      </c>
      <c r="B73" s="30">
        <v>34182</v>
      </c>
      <c r="C73">
        <v>246.16999799999999</v>
      </c>
      <c r="J73">
        <v>72</v>
      </c>
      <c r="K73">
        <f t="shared" si="12"/>
        <v>1033.900024</v>
      </c>
      <c r="L73" s="59">
        <f t="shared" si="44"/>
        <v>0.34121290435331286</v>
      </c>
      <c r="N73">
        <v>72</v>
      </c>
      <c r="O73">
        <f t="shared" si="39"/>
        <v>1033.900024</v>
      </c>
      <c r="P73">
        <f t="shared" ref="P73" si="45">(O74-O72)/O72</f>
        <v>0.12430175828949033</v>
      </c>
    </row>
    <row r="74" spans="1:16">
      <c r="A74">
        <f t="shared" si="41"/>
        <v>73</v>
      </c>
      <c r="B74" s="30">
        <v>34213</v>
      </c>
      <c r="C74">
        <v>252.949997</v>
      </c>
      <c r="J74">
        <v>73</v>
      </c>
      <c r="K74">
        <f t="shared" si="12"/>
        <v>1386.6800539999999</v>
      </c>
      <c r="L74" s="59">
        <f t="shared" si="44"/>
        <v>9.0698569318283517E-2</v>
      </c>
      <c r="N74">
        <v>73</v>
      </c>
      <c r="O74">
        <f t="shared" si="39"/>
        <v>1386.6800539999999</v>
      </c>
      <c r="P74">
        <f>0</f>
        <v>0</v>
      </c>
    </row>
    <row r="75" spans="1:16">
      <c r="A75">
        <f t="shared" si="41"/>
        <v>74</v>
      </c>
      <c r="B75" s="30">
        <v>34243</v>
      </c>
      <c r="C75">
        <v>259.17999300000002</v>
      </c>
      <c r="J75">
        <v>74</v>
      </c>
      <c r="K75">
        <f t="shared" si="12"/>
        <v>1512.4499510000001</v>
      </c>
      <c r="L75" s="59">
        <f t="shared" si="44"/>
        <v>4.1720453598004636E-2</v>
      </c>
      <c r="N75">
        <v>74</v>
      </c>
      <c r="O75">
        <f t="shared" si="39"/>
        <v>1512.4499510000001</v>
      </c>
      <c r="P75">
        <f t="shared" ref="P75" si="46">(O76-O74)/O74</f>
        <v>0.13620300836893701</v>
      </c>
    </row>
    <row r="76" spans="1:16">
      <c r="A76">
        <f t="shared" si="41"/>
        <v>75</v>
      </c>
      <c r="B76" s="30">
        <v>34274</v>
      </c>
      <c r="C76">
        <v>250.41000399999999</v>
      </c>
      <c r="J76">
        <v>75</v>
      </c>
      <c r="K76">
        <f t="shared" si="12"/>
        <v>1575.5500489999999</v>
      </c>
      <c r="L76" s="59">
        <f t="shared" si="44"/>
        <v>-6.291135915543361E-2</v>
      </c>
      <c r="N76">
        <v>75</v>
      </c>
      <c r="O76">
        <f t="shared" si="39"/>
        <v>1575.5500489999999</v>
      </c>
      <c r="P76">
        <f>0</f>
        <v>0</v>
      </c>
    </row>
    <row r="77" spans="1:16">
      <c r="A77">
        <f t="shared" si="41"/>
        <v>76</v>
      </c>
      <c r="B77" s="30">
        <v>34304</v>
      </c>
      <c r="C77">
        <v>258.58999599999999</v>
      </c>
      <c r="J77">
        <v>76</v>
      </c>
      <c r="K77">
        <f t="shared" si="12"/>
        <v>1476.4300539999999</v>
      </c>
      <c r="L77" s="59">
        <f t="shared" si="44"/>
        <v>0.45040457026621861</v>
      </c>
      <c r="N77">
        <v>76</v>
      </c>
      <c r="O77">
        <f t="shared" si="39"/>
        <v>1476.4300539999999</v>
      </c>
      <c r="P77">
        <f t="shared" ref="P77" si="47">(O78-O76)/O76</f>
        <v>0.3591576474255182</v>
      </c>
    </row>
    <row r="78" spans="1:16">
      <c r="A78">
        <f t="shared" si="41"/>
        <v>77</v>
      </c>
      <c r="B78" s="30">
        <v>34335</v>
      </c>
      <c r="C78">
        <v>266.51998900000001</v>
      </c>
      <c r="J78">
        <v>77</v>
      </c>
      <c r="K78">
        <f t="shared" ref="K78:K102" si="48">K67</f>
        <v>2141.4208979999999</v>
      </c>
      <c r="L78" s="59">
        <f t="shared" si="44"/>
        <v>-0.61546559447090998</v>
      </c>
      <c r="N78">
        <v>77</v>
      </c>
      <c r="O78">
        <f t="shared" si="39"/>
        <v>2141.4208979999999</v>
      </c>
      <c r="P78">
        <f>0</f>
        <v>0</v>
      </c>
    </row>
    <row r="79" spans="1:16">
      <c r="A79">
        <f t="shared" si="41"/>
        <v>78</v>
      </c>
      <c r="B79" s="30">
        <v>34366</v>
      </c>
      <c r="C79">
        <v>265.52999899999998</v>
      </c>
      <c r="J79">
        <v>78</v>
      </c>
      <c r="K79">
        <f t="shared" si="48"/>
        <v>823.45001200000002</v>
      </c>
      <c r="L79" s="59">
        <f t="shared" si="44"/>
        <v>-1.5192191168490705E-2</v>
      </c>
      <c r="N79">
        <v>78</v>
      </c>
      <c r="O79">
        <f t="shared" si="39"/>
        <v>823.45001200000002</v>
      </c>
      <c r="P79">
        <f t="shared" ref="P79" si="49">(O80-O78)/O78</f>
        <v>-0.62130751467056988</v>
      </c>
    </row>
    <row r="80" spans="1:16">
      <c r="A80">
        <f t="shared" si="41"/>
        <v>79</v>
      </c>
      <c r="B80" s="30">
        <v>34394</v>
      </c>
      <c r="C80">
        <v>251.05999800000001</v>
      </c>
      <c r="J80">
        <v>79</v>
      </c>
      <c r="K80">
        <f t="shared" si="48"/>
        <v>810.94000200000005</v>
      </c>
      <c r="L80" s="59">
        <f t="shared" si="44"/>
        <v>0.12352329734993144</v>
      </c>
      <c r="N80">
        <v>79</v>
      </c>
      <c r="O80">
        <f t="shared" si="39"/>
        <v>810.94000200000005</v>
      </c>
      <c r="P80">
        <f>0</f>
        <v>0</v>
      </c>
    </row>
    <row r="81" spans="1:16">
      <c r="A81">
        <f t="shared" si="41"/>
        <v>80</v>
      </c>
      <c r="B81" s="30">
        <v>34425</v>
      </c>
      <c r="C81">
        <v>252.550003</v>
      </c>
      <c r="J81">
        <v>80</v>
      </c>
      <c r="K81">
        <f t="shared" si="48"/>
        <v>911.10998500000005</v>
      </c>
      <c r="L81" s="59">
        <f t="shared" si="44"/>
        <v>0.29844919765641681</v>
      </c>
      <c r="N81">
        <v>80</v>
      </c>
      <c r="O81">
        <f t="shared" si="39"/>
        <v>911.10998500000005</v>
      </c>
      <c r="P81">
        <f t="shared" ref="P81" si="50">(O82-O80)/O80</f>
        <v>0.45883792399231027</v>
      </c>
    </row>
    <row r="82" spans="1:16">
      <c r="A82">
        <f t="shared" si="41"/>
        <v>81</v>
      </c>
      <c r="B82" s="30">
        <v>34455</v>
      </c>
      <c r="C82">
        <v>249.279999</v>
      </c>
      <c r="J82">
        <v>81</v>
      </c>
      <c r="K82">
        <f t="shared" si="48"/>
        <v>1183.030029</v>
      </c>
      <c r="L82" s="59">
        <f t="shared" si="44"/>
        <v>4.2551722919959796E-2</v>
      </c>
      <c r="N82">
        <v>81</v>
      </c>
      <c r="O82">
        <f t="shared" si="39"/>
        <v>1183.030029</v>
      </c>
      <c r="P82">
        <f>0</f>
        <v>0</v>
      </c>
    </row>
    <row r="83" spans="1:16">
      <c r="A83">
        <f t="shared" si="41"/>
        <v>82</v>
      </c>
      <c r="B83" s="30">
        <v>34486</v>
      </c>
      <c r="C83">
        <v>240.28999300000001</v>
      </c>
      <c r="J83">
        <v>82</v>
      </c>
      <c r="K83">
        <f t="shared" si="48"/>
        <v>1233.369995</v>
      </c>
      <c r="L83" s="59">
        <f t="shared" si="44"/>
        <v>-0.16172760145669021</v>
      </c>
      <c r="N83">
        <v>82</v>
      </c>
      <c r="O83">
        <f t="shared" si="39"/>
        <v>1233.369995</v>
      </c>
      <c r="P83">
        <f t="shared" ref="P83" si="51">(O84-O82)/O82</f>
        <v>-0.12605766662242518</v>
      </c>
    </row>
    <row r="84" spans="1:16">
      <c r="A84">
        <f t="shared" si="41"/>
        <v>83</v>
      </c>
      <c r="B84" s="30">
        <v>34516</v>
      </c>
      <c r="C84">
        <v>244.05999800000001</v>
      </c>
      <c r="J84">
        <v>83</v>
      </c>
      <c r="K84">
        <f t="shared" si="48"/>
        <v>1033.900024</v>
      </c>
      <c r="L84" s="59">
        <f t="shared" si="44"/>
        <v>0.34121290435331286</v>
      </c>
      <c r="N84">
        <v>83</v>
      </c>
      <c r="O84">
        <f t="shared" si="39"/>
        <v>1033.900024</v>
      </c>
      <c r="P84">
        <f>0</f>
        <v>0</v>
      </c>
    </row>
    <row r="85" spans="1:16">
      <c r="A85">
        <f t="shared" si="41"/>
        <v>84</v>
      </c>
      <c r="B85" s="30">
        <v>34547</v>
      </c>
      <c r="C85">
        <v>257.32000699999998</v>
      </c>
      <c r="J85">
        <v>84</v>
      </c>
      <c r="K85">
        <f t="shared" si="48"/>
        <v>1386.6800539999999</v>
      </c>
      <c r="L85" s="59">
        <f t="shared" si="44"/>
        <v>9.0698569318283517E-2</v>
      </c>
      <c r="N85">
        <v>84</v>
      </c>
      <c r="O85">
        <f t="shared" si="39"/>
        <v>1386.6800539999999</v>
      </c>
      <c r="P85">
        <f t="shared" ref="P85" si="52">(O86-O84)/O84</f>
        <v>0.46285899592937818</v>
      </c>
    </row>
    <row r="86" spans="1:16">
      <c r="A86">
        <f t="shared" si="41"/>
        <v>85</v>
      </c>
      <c r="B86" s="30">
        <v>34578</v>
      </c>
      <c r="C86">
        <v>256.11999500000002</v>
      </c>
      <c r="J86">
        <v>85</v>
      </c>
      <c r="K86">
        <f t="shared" si="48"/>
        <v>1512.4499510000001</v>
      </c>
      <c r="L86" s="59">
        <f t="shared" si="44"/>
        <v>4.1720453598004636E-2</v>
      </c>
      <c r="N86">
        <v>85</v>
      </c>
      <c r="O86">
        <f t="shared" si="39"/>
        <v>1512.4499510000001</v>
      </c>
      <c r="P86">
        <f>0</f>
        <v>0</v>
      </c>
    </row>
    <row r="87" spans="1:16">
      <c r="A87">
        <f t="shared" si="41"/>
        <v>86</v>
      </c>
      <c r="B87" s="30">
        <v>34608</v>
      </c>
      <c r="C87">
        <v>255.020004</v>
      </c>
      <c r="J87">
        <v>86</v>
      </c>
      <c r="K87">
        <f t="shared" si="48"/>
        <v>1575.5500489999999</v>
      </c>
      <c r="L87" s="59">
        <f t="shared" si="44"/>
        <v>-6.291135915543361E-2</v>
      </c>
      <c r="N87">
        <v>86</v>
      </c>
      <c r="O87">
        <f t="shared" si="39"/>
        <v>1575.5500489999999</v>
      </c>
      <c r="P87">
        <f t="shared" ref="P87" si="53">(O88-O86)/O86</f>
        <v>-2.3815595997860643E-2</v>
      </c>
    </row>
    <row r="88" spans="1:16">
      <c r="A88">
        <f t="shared" si="41"/>
        <v>87</v>
      </c>
      <c r="B88" s="30">
        <v>34639</v>
      </c>
      <c r="C88">
        <v>244.25</v>
      </c>
      <c r="J88">
        <v>87</v>
      </c>
      <c r="K88">
        <f t="shared" si="48"/>
        <v>1476.4300539999999</v>
      </c>
      <c r="L88" s="59">
        <f t="shared" si="44"/>
        <v>0.45040457026621861</v>
      </c>
      <c r="N88">
        <v>87</v>
      </c>
      <c r="O88">
        <f t="shared" si="39"/>
        <v>1476.4300539999999</v>
      </c>
      <c r="P88">
        <f>0</f>
        <v>0</v>
      </c>
    </row>
    <row r="89" spans="1:16">
      <c r="A89">
        <f t="shared" si="41"/>
        <v>88</v>
      </c>
      <c r="B89" s="30">
        <v>34669</v>
      </c>
      <c r="C89">
        <v>250.36000100000001</v>
      </c>
      <c r="J89">
        <v>88</v>
      </c>
      <c r="K89">
        <f t="shared" si="48"/>
        <v>2141.4208979999999</v>
      </c>
      <c r="L89" s="59">
        <f t="shared" si="44"/>
        <v>-0.61546559447090998</v>
      </c>
      <c r="N89">
        <v>88</v>
      </c>
      <c r="O89">
        <f t="shared" si="39"/>
        <v>2141.4208979999999</v>
      </c>
      <c r="P89">
        <f t="shared" ref="P89" si="54">(O90-O88)/O88</f>
        <v>-0.44226954079600439</v>
      </c>
    </row>
    <row r="90" spans="1:16">
      <c r="A90">
        <f t="shared" si="41"/>
        <v>89</v>
      </c>
      <c r="B90" s="30">
        <v>34700</v>
      </c>
      <c r="C90">
        <v>246.85000600000001</v>
      </c>
      <c r="J90">
        <v>89</v>
      </c>
      <c r="K90">
        <f t="shared" si="48"/>
        <v>823.45001200000002</v>
      </c>
      <c r="L90" s="59">
        <f t="shared" si="44"/>
        <v>-1.5192191168490705E-2</v>
      </c>
      <c r="N90">
        <v>89</v>
      </c>
      <c r="O90">
        <f t="shared" si="39"/>
        <v>823.45001200000002</v>
      </c>
      <c r="P90">
        <f>0</f>
        <v>0</v>
      </c>
    </row>
    <row r="91" spans="1:16">
      <c r="A91">
        <f t="shared" si="41"/>
        <v>90</v>
      </c>
      <c r="B91" s="30">
        <v>34731</v>
      </c>
      <c r="C91">
        <v>256.57000699999998</v>
      </c>
      <c r="J91">
        <v>90</v>
      </c>
      <c r="K91">
        <f t="shared" si="48"/>
        <v>810.94000200000005</v>
      </c>
      <c r="L91" s="59">
        <f t="shared" si="44"/>
        <v>0.12352329734993144</v>
      </c>
      <c r="N91">
        <v>90</v>
      </c>
      <c r="O91">
        <f t="shared" si="39"/>
        <v>810.94000200000005</v>
      </c>
      <c r="P91">
        <f t="shared" ref="P91" si="55">(O92-O90)/O90</f>
        <v>0.10645451663433825</v>
      </c>
    </row>
    <row r="92" spans="1:16">
      <c r="A92">
        <f t="shared" si="41"/>
        <v>91</v>
      </c>
      <c r="B92" s="30">
        <v>34759</v>
      </c>
      <c r="C92">
        <v>260.76998900000001</v>
      </c>
      <c r="J92">
        <v>91</v>
      </c>
      <c r="K92">
        <f t="shared" si="48"/>
        <v>911.10998500000005</v>
      </c>
      <c r="L92" s="59">
        <f t="shared" si="44"/>
        <v>0.29844919765641681</v>
      </c>
      <c r="N92">
        <v>91</v>
      </c>
      <c r="O92">
        <f t="shared" si="39"/>
        <v>911.10998500000005</v>
      </c>
      <c r="P92">
        <f>0</f>
        <v>0</v>
      </c>
    </row>
    <row r="93" spans="1:16">
      <c r="A93">
        <f t="shared" si="41"/>
        <v>92</v>
      </c>
      <c r="B93" s="30">
        <v>34790</v>
      </c>
      <c r="C93">
        <v>266.17001299999998</v>
      </c>
      <c r="J93">
        <v>92</v>
      </c>
      <c r="K93">
        <f t="shared" si="48"/>
        <v>1183.030029</v>
      </c>
      <c r="L93" s="59">
        <f t="shared" si="44"/>
        <v>4.2551722919959796E-2</v>
      </c>
      <c r="N93">
        <v>92</v>
      </c>
      <c r="O93">
        <f t="shared" si="39"/>
        <v>1183.030029</v>
      </c>
      <c r="P93">
        <f t="shared" ref="P93" si="56">(O94-O92)/O92</f>
        <v>0.35370044814073676</v>
      </c>
    </row>
    <row r="94" spans="1:16">
      <c r="A94">
        <f t="shared" si="41"/>
        <v>93</v>
      </c>
      <c r="B94" s="30">
        <v>34820</v>
      </c>
      <c r="C94">
        <v>270.25</v>
      </c>
      <c r="J94">
        <v>93</v>
      </c>
      <c r="K94">
        <f t="shared" si="48"/>
        <v>1233.369995</v>
      </c>
      <c r="L94" s="59">
        <f t="shared" si="44"/>
        <v>-0.16172760145669021</v>
      </c>
      <c r="N94">
        <v>93</v>
      </c>
      <c r="O94">
        <f t="shared" si="39"/>
        <v>1233.369995</v>
      </c>
      <c r="P94">
        <f>0</f>
        <v>0</v>
      </c>
    </row>
    <row r="95" spans="1:16">
      <c r="A95">
        <f t="shared" si="41"/>
        <v>94</v>
      </c>
      <c r="B95" s="30">
        <v>34851</v>
      </c>
      <c r="C95">
        <v>283.63000499999998</v>
      </c>
      <c r="J95">
        <v>94</v>
      </c>
      <c r="K95">
        <f t="shared" si="48"/>
        <v>1033.900024</v>
      </c>
      <c r="L95" s="59">
        <f t="shared" si="44"/>
        <v>0.34121290435331286</v>
      </c>
      <c r="N95">
        <v>94</v>
      </c>
      <c r="O95">
        <f t="shared" si="39"/>
        <v>1033.900024</v>
      </c>
      <c r="P95">
        <f t="shared" ref="P95" si="57">(O96-O94)/O94</f>
        <v>0.12430175828949033</v>
      </c>
    </row>
    <row r="96" spans="1:16">
      <c r="A96">
        <f t="shared" si="41"/>
        <v>95</v>
      </c>
      <c r="B96" s="30">
        <v>34881</v>
      </c>
      <c r="C96">
        <v>299.72000100000002</v>
      </c>
      <c r="J96">
        <v>95</v>
      </c>
      <c r="K96">
        <f t="shared" si="48"/>
        <v>1386.6800539999999</v>
      </c>
      <c r="L96" s="59">
        <f t="shared" si="44"/>
        <v>9.0698569318283517E-2</v>
      </c>
      <c r="N96">
        <v>95</v>
      </c>
      <c r="O96">
        <f t="shared" si="39"/>
        <v>1386.6800539999999</v>
      </c>
      <c r="P96">
        <f>0</f>
        <v>0</v>
      </c>
    </row>
    <row r="97" spans="1:16">
      <c r="A97">
        <f t="shared" si="41"/>
        <v>96</v>
      </c>
      <c r="B97" s="30">
        <v>34912</v>
      </c>
      <c r="C97">
        <v>305.30999800000001</v>
      </c>
      <c r="J97">
        <v>96</v>
      </c>
      <c r="K97">
        <f t="shared" si="48"/>
        <v>1512.4499510000001</v>
      </c>
      <c r="L97" s="59">
        <f t="shared" si="44"/>
        <v>4.1720453598004636E-2</v>
      </c>
      <c r="N97">
        <v>96</v>
      </c>
      <c r="O97">
        <f t="shared" si="39"/>
        <v>1512.4499510000001</v>
      </c>
      <c r="P97">
        <f t="shared" ref="P97" si="58">(O98-O96)/O96</f>
        <v>0.13620300836893701</v>
      </c>
    </row>
    <row r="98" spans="1:16">
      <c r="A98">
        <f t="shared" si="41"/>
        <v>97</v>
      </c>
      <c r="B98" s="30">
        <v>34943</v>
      </c>
      <c r="C98">
        <v>310.38000499999998</v>
      </c>
      <c r="J98">
        <v>97</v>
      </c>
      <c r="K98">
        <f t="shared" si="48"/>
        <v>1575.5500489999999</v>
      </c>
      <c r="L98" s="59">
        <f t="shared" si="44"/>
        <v>-6.291135915543361E-2</v>
      </c>
      <c r="N98">
        <v>97</v>
      </c>
      <c r="O98">
        <f t="shared" si="39"/>
        <v>1575.5500489999999</v>
      </c>
      <c r="P98">
        <f>0</f>
        <v>0</v>
      </c>
    </row>
    <row r="99" spans="1:16">
      <c r="A99">
        <f t="shared" si="41"/>
        <v>98</v>
      </c>
      <c r="B99" s="30">
        <v>34973</v>
      </c>
      <c r="C99">
        <v>296.25</v>
      </c>
      <c r="J99">
        <v>98</v>
      </c>
      <c r="K99">
        <f t="shared" si="48"/>
        <v>1476.4300539999999</v>
      </c>
      <c r="L99" s="59">
        <f t="shared" si="44"/>
        <v>0.45040457026621861</v>
      </c>
      <c r="N99">
        <v>98</v>
      </c>
      <c r="O99">
        <f t="shared" si="39"/>
        <v>1476.4300539999999</v>
      </c>
      <c r="P99">
        <f t="shared" ref="P99" si="59">(O100-O98)/O98</f>
        <v>0.3591576474255182</v>
      </c>
    </row>
    <row r="100" spans="1:16">
      <c r="A100">
        <f t="shared" si="41"/>
        <v>99</v>
      </c>
      <c r="B100" s="30">
        <v>35004</v>
      </c>
      <c r="C100">
        <v>308.57998700000002</v>
      </c>
      <c r="J100">
        <v>99</v>
      </c>
      <c r="K100">
        <f t="shared" si="48"/>
        <v>2141.4208979999999</v>
      </c>
      <c r="L100" s="59">
        <f t="shared" si="44"/>
        <v>-0.61546559447090998</v>
      </c>
      <c r="N100">
        <v>99</v>
      </c>
      <c r="O100">
        <f t="shared" si="39"/>
        <v>2141.4208979999999</v>
      </c>
      <c r="P100">
        <f>0</f>
        <v>0</v>
      </c>
    </row>
    <row r="101" spans="1:16">
      <c r="A101">
        <f t="shared" si="41"/>
        <v>100</v>
      </c>
      <c r="B101" s="30">
        <v>35034</v>
      </c>
      <c r="C101">
        <v>315.97000100000002</v>
      </c>
      <c r="J101">
        <v>100</v>
      </c>
      <c r="K101">
        <f t="shared" si="48"/>
        <v>823.45001200000002</v>
      </c>
      <c r="L101" s="59">
        <f t="shared" si="44"/>
        <v>-1.5192191168490705E-2</v>
      </c>
      <c r="N101">
        <v>100</v>
      </c>
      <c r="O101">
        <f t="shared" si="39"/>
        <v>823.45001200000002</v>
      </c>
      <c r="P101">
        <f t="shared" ref="P101" si="60">(O102-O100)/O100</f>
        <v>-0.62130751467056988</v>
      </c>
    </row>
    <row r="102" spans="1:16">
      <c r="A102">
        <f t="shared" si="41"/>
        <v>101</v>
      </c>
      <c r="B102" s="30">
        <v>35065</v>
      </c>
      <c r="C102">
        <v>315.38000499999998</v>
      </c>
      <c r="J102">
        <v>101</v>
      </c>
      <c r="K102">
        <f t="shared" si="48"/>
        <v>810.94000200000005</v>
      </c>
      <c r="L102" s="59">
        <f t="shared" si="44"/>
        <v>0.12352329734993144</v>
      </c>
      <c r="N102">
        <v>101</v>
      </c>
      <c r="O102">
        <f t="shared" si="39"/>
        <v>810.94000200000005</v>
      </c>
      <c r="P102">
        <f>0</f>
        <v>0</v>
      </c>
    </row>
    <row r="103" spans="1:16">
      <c r="A103">
        <f t="shared" si="41"/>
        <v>102</v>
      </c>
      <c r="B103" s="30">
        <v>35096</v>
      </c>
      <c r="C103">
        <v>324.92999300000002</v>
      </c>
      <c r="J103">
        <v>102</v>
      </c>
      <c r="K103">
        <f>K92</f>
        <v>911.10998500000005</v>
      </c>
      <c r="L103" s="59">
        <f t="shared" si="44"/>
        <v>0.29844919765641681</v>
      </c>
      <c r="N103">
        <v>102</v>
      </c>
      <c r="O103">
        <f t="shared" si="39"/>
        <v>911.10998500000005</v>
      </c>
      <c r="P103">
        <f t="shared" ref="P103" si="61">(O104-O102)/O102</f>
        <v>0.45883792399231027</v>
      </c>
    </row>
    <row r="104" spans="1:16">
      <c r="A104">
        <f t="shared" si="41"/>
        <v>103</v>
      </c>
      <c r="B104" s="30">
        <v>35125</v>
      </c>
      <c r="C104">
        <v>330.76998900000001</v>
      </c>
      <c r="J104">
        <v>103</v>
      </c>
      <c r="K104">
        <f>K93</f>
        <v>1183.030029</v>
      </c>
      <c r="L104" s="59">
        <f>(K105-K104)/K104</f>
        <v>-1</v>
      </c>
      <c r="N104">
        <v>103</v>
      </c>
      <c r="O104">
        <f t="shared" si="39"/>
        <v>1183.030029</v>
      </c>
      <c r="P104">
        <f>0</f>
        <v>0</v>
      </c>
    </row>
    <row r="105" spans="1:16">
      <c r="A105">
        <f t="shared" si="41"/>
        <v>104</v>
      </c>
      <c r="B105" s="30">
        <v>35156</v>
      </c>
      <c r="C105">
        <v>348.27999899999998</v>
      </c>
    </row>
    <row r="106" spans="1:16">
      <c r="A106">
        <f t="shared" si="41"/>
        <v>105</v>
      </c>
      <c r="B106" s="30">
        <v>35186</v>
      </c>
      <c r="C106">
        <v>361.85000600000001</v>
      </c>
    </row>
    <row r="107" spans="1:16">
      <c r="A107">
        <f t="shared" si="41"/>
        <v>106</v>
      </c>
      <c r="B107" s="30">
        <v>35217</v>
      </c>
      <c r="C107">
        <v>346.60998499999999</v>
      </c>
    </row>
    <row r="108" spans="1:16">
      <c r="A108">
        <f t="shared" si="41"/>
        <v>107</v>
      </c>
      <c r="B108" s="30">
        <v>35247</v>
      </c>
      <c r="C108">
        <v>316</v>
      </c>
    </row>
    <row r="109" spans="1:16">
      <c r="A109">
        <f t="shared" si="41"/>
        <v>108</v>
      </c>
      <c r="B109" s="30">
        <v>35278</v>
      </c>
      <c r="C109">
        <v>333.88000499999998</v>
      </c>
    </row>
    <row r="110" spans="1:16">
      <c r="A110">
        <f t="shared" si="41"/>
        <v>109</v>
      </c>
      <c r="B110" s="30">
        <v>35309</v>
      </c>
      <c r="C110">
        <v>346.39001500000001</v>
      </c>
    </row>
    <row r="111" spans="1:16">
      <c r="A111">
        <f t="shared" si="41"/>
        <v>110</v>
      </c>
      <c r="B111" s="30">
        <v>35339</v>
      </c>
      <c r="C111">
        <v>340.57000699999998</v>
      </c>
    </row>
    <row r="112" spans="1:16">
      <c r="A112">
        <f t="shared" si="41"/>
        <v>111</v>
      </c>
      <c r="B112" s="30">
        <v>35370</v>
      </c>
      <c r="C112">
        <v>354.10998499999999</v>
      </c>
    </row>
    <row r="113" spans="1:3">
      <c r="A113">
        <f t="shared" si="41"/>
        <v>112</v>
      </c>
      <c r="B113" s="30">
        <v>35400</v>
      </c>
      <c r="C113">
        <v>362.60998499999999</v>
      </c>
    </row>
    <row r="114" spans="1:3">
      <c r="A114">
        <f t="shared" si="41"/>
        <v>113</v>
      </c>
      <c r="B114" s="30">
        <v>35431</v>
      </c>
      <c r="C114">
        <v>369.45001200000002</v>
      </c>
    </row>
    <row r="115" spans="1:3">
      <c r="A115">
        <f t="shared" si="41"/>
        <v>114</v>
      </c>
      <c r="B115" s="30">
        <v>35462</v>
      </c>
      <c r="C115">
        <v>360.04998799999998</v>
      </c>
    </row>
    <row r="116" spans="1:3">
      <c r="A116">
        <f t="shared" si="41"/>
        <v>115</v>
      </c>
      <c r="B116" s="30">
        <v>35490</v>
      </c>
      <c r="C116">
        <v>342.55999800000001</v>
      </c>
    </row>
    <row r="117" spans="1:3">
      <c r="A117">
        <f t="shared" si="41"/>
        <v>116</v>
      </c>
      <c r="B117" s="30">
        <v>35521</v>
      </c>
      <c r="C117">
        <v>343</v>
      </c>
    </row>
    <row r="118" spans="1:3">
      <c r="A118">
        <f t="shared" si="41"/>
        <v>117</v>
      </c>
      <c r="B118" s="30">
        <v>35551</v>
      </c>
      <c r="C118">
        <v>380.76001000000002</v>
      </c>
    </row>
    <row r="119" spans="1:3">
      <c r="A119">
        <f t="shared" si="41"/>
        <v>118</v>
      </c>
      <c r="B119" s="30">
        <v>35582</v>
      </c>
      <c r="C119">
        <v>396.36999500000002</v>
      </c>
    </row>
    <row r="120" spans="1:3">
      <c r="A120">
        <f t="shared" si="41"/>
        <v>119</v>
      </c>
      <c r="B120" s="30">
        <v>35612</v>
      </c>
      <c r="C120">
        <v>414.48001099999999</v>
      </c>
    </row>
    <row r="121" spans="1:3">
      <c r="A121">
        <f t="shared" si="41"/>
        <v>120</v>
      </c>
      <c r="B121" s="30">
        <v>35643</v>
      </c>
      <c r="C121">
        <v>423.42999300000002</v>
      </c>
    </row>
    <row r="122" spans="1:3">
      <c r="A122">
        <f t="shared" si="41"/>
        <v>121</v>
      </c>
      <c r="B122" s="30">
        <v>35674</v>
      </c>
      <c r="C122">
        <v>453.82000699999998</v>
      </c>
    </row>
    <row r="123" spans="1:3">
      <c r="A123">
        <f t="shared" si="41"/>
        <v>122</v>
      </c>
      <c r="B123" s="30">
        <v>35704</v>
      </c>
      <c r="C123">
        <v>433.26001000000002</v>
      </c>
    </row>
    <row r="124" spans="1:3">
      <c r="A124">
        <f t="shared" si="41"/>
        <v>123</v>
      </c>
      <c r="B124" s="30">
        <v>35735</v>
      </c>
      <c r="C124">
        <v>429.92001299999998</v>
      </c>
    </row>
    <row r="125" spans="1:3">
      <c r="A125">
        <f t="shared" si="41"/>
        <v>124</v>
      </c>
      <c r="B125" s="30">
        <v>35765</v>
      </c>
      <c r="C125">
        <v>437.01998900000001</v>
      </c>
    </row>
    <row r="126" spans="1:3">
      <c r="A126">
        <f t="shared" si="41"/>
        <v>125</v>
      </c>
      <c r="B126" s="30">
        <v>35796</v>
      </c>
      <c r="C126">
        <v>430.04998799999998</v>
      </c>
    </row>
    <row r="127" spans="1:3">
      <c r="A127">
        <f t="shared" si="41"/>
        <v>126</v>
      </c>
      <c r="B127" s="30">
        <v>35827</v>
      </c>
      <c r="C127">
        <v>461.82998700000002</v>
      </c>
    </row>
    <row r="128" spans="1:3">
      <c r="A128">
        <f t="shared" si="41"/>
        <v>127</v>
      </c>
      <c r="B128" s="30">
        <v>35855</v>
      </c>
      <c r="C128">
        <v>480.67999300000002</v>
      </c>
    </row>
    <row r="129" spans="1:3">
      <c r="A129">
        <f t="shared" si="41"/>
        <v>128</v>
      </c>
      <c r="B129" s="30">
        <v>35886</v>
      </c>
      <c r="C129">
        <v>482.89001500000001</v>
      </c>
    </row>
    <row r="130" spans="1:3">
      <c r="A130">
        <f t="shared" si="41"/>
        <v>129</v>
      </c>
      <c r="B130" s="30">
        <v>35916</v>
      </c>
      <c r="C130">
        <v>456.61999500000002</v>
      </c>
    </row>
    <row r="131" spans="1:3">
      <c r="A131">
        <f t="shared" si="41"/>
        <v>130</v>
      </c>
      <c r="B131" s="30">
        <v>35947</v>
      </c>
      <c r="C131">
        <v>457.39001500000001</v>
      </c>
    </row>
    <row r="132" spans="1:3">
      <c r="A132">
        <f t="shared" ref="A132:A195" si="62">A131+1</f>
        <v>131</v>
      </c>
      <c r="B132" s="30">
        <v>35977</v>
      </c>
      <c r="C132">
        <v>419.75</v>
      </c>
    </row>
    <row r="133" spans="1:3">
      <c r="A133">
        <f t="shared" si="62"/>
        <v>132</v>
      </c>
      <c r="B133" s="30">
        <v>36008</v>
      </c>
      <c r="C133">
        <v>337.95001200000002</v>
      </c>
    </row>
    <row r="134" spans="1:3">
      <c r="A134">
        <f t="shared" si="62"/>
        <v>133</v>
      </c>
      <c r="B134" s="30">
        <v>36039</v>
      </c>
      <c r="C134">
        <v>363.58999599999999</v>
      </c>
    </row>
    <row r="135" spans="1:3">
      <c r="A135">
        <f t="shared" si="62"/>
        <v>134</v>
      </c>
      <c r="B135" s="30">
        <v>36069</v>
      </c>
      <c r="C135">
        <v>378.16000400000001</v>
      </c>
    </row>
    <row r="136" spans="1:3">
      <c r="A136">
        <f t="shared" si="62"/>
        <v>135</v>
      </c>
      <c r="B136" s="30">
        <v>36100</v>
      </c>
      <c r="C136">
        <v>397.75</v>
      </c>
    </row>
    <row r="137" spans="1:3">
      <c r="A137">
        <f t="shared" si="62"/>
        <v>136</v>
      </c>
      <c r="B137" s="30">
        <v>36130</v>
      </c>
      <c r="C137">
        <v>421.959991</v>
      </c>
    </row>
    <row r="138" spans="1:3">
      <c r="A138">
        <f t="shared" si="62"/>
        <v>137</v>
      </c>
      <c r="B138" s="30">
        <v>36161</v>
      </c>
      <c r="C138">
        <v>427.22000100000002</v>
      </c>
    </row>
    <row r="139" spans="1:3">
      <c r="A139">
        <f t="shared" si="62"/>
        <v>138</v>
      </c>
      <c r="B139" s="30">
        <v>36192</v>
      </c>
      <c r="C139">
        <v>392.26001000000002</v>
      </c>
    </row>
    <row r="140" spans="1:3">
      <c r="A140">
        <f t="shared" si="62"/>
        <v>139</v>
      </c>
      <c r="B140" s="30">
        <v>36220</v>
      </c>
      <c r="C140">
        <v>397.63000499999998</v>
      </c>
    </row>
    <row r="141" spans="1:3">
      <c r="A141">
        <f t="shared" si="62"/>
        <v>140</v>
      </c>
      <c r="B141" s="30">
        <v>36251</v>
      </c>
      <c r="C141">
        <v>432.80999800000001</v>
      </c>
    </row>
    <row r="142" spans="1:3">
      <c r="A142">
        <f t="shared" si="62"/>
        <v>141</v>
      </c>
      <c r="B142" s="30">
        <v>36281</v>
      </c>
      <c r="C142">
        <v>438.67999300000002</v>
      </c>
    </row>
    <row r="143" spans="1:3">
      <c r="A143">
        <f t="shared" si="62"/>
        <v>142</v>
      </c>
      <c r="B143" s="30">
        <v>36312</v>
      </c>
      <c r="C143">
        <v>457.67999300000002</v>
      </c>
    </row>
    <row r="144" spans="1:3">
      <c r="A144">
        <f t="shared" si="62"/>
        <v>143</v>
      </c>
      <c r="B144" s="30">
        <v>36342</v>
      </c>
      <c r="C144">
        <v>444.76998900000001</v>
      </c>
    </row>
    <row r="145" spans="1:3">
      <c r="A145">
        <f t="shared" si="62"/>
        <v>144</v>
      </c>
      <c r="B145" s="30">
        <v>36373</v>
      </c>
      <c r="C145">
        <v>427.82998700000002</v>
      </c>
    </row>
    <row r="146" spans="1:3">
      <c r="A146">
        <f t="shared" si="62"/>
        <v>145</v>
      </c>
      <c r="B146" s="30">
        <v>36404</v>
      </c>
      <c r="C146">
        <v>427.29998799999998</v>
      </c>
    </row>
    <row r="147" spans="1:3">
      <c r="A147">
        <f t="shared" si="62"/>
        <v>146</v>
      </c>
      <c r="B147" s="30">
        <v>36434</v>
      </c>
      <c r="C147">
        <v>428.64001500000001</v>
      </c>
    </row>
    <row r="148" spans="1:3">
      <c r="A148">
        <f t="shared" si="62"/>
        <v>147</v>
      </c>
      <c r="B148" s="30">
        <v>36465</v>
      </c>
      <c r="C148">
        <v>454.07998700000002</v>
      </c>
    </row>
    <row r="149" spans="1:3">
      <c r="A149">
        <f t="shared" si="62"/>
        <v>148</v>
      </c>
      <c r="B149" s="30">
        <v>36495</v>
      </c>
      <c r="C149">
        <v>504.75</v>
      </c>
    </row>
    <row r="150" spans="1:3">
      <c r="A150">
        <f t="shared" si="62"/>
        <v>149</v>
      </c>
      <c r="B150" s="30">
        <v>36526</v>
      </c>
      <c r="C150">
        <v>496.23001099999999</v>
      </c>
    </row>
    <row r="151" spans="1:3">
      <c r="A151">
        <f t="shared" si="62"/>
        <v>150</v>
      </c>
      <c r="B151" s="30">
        <v>36557</v>
      </c>
      <c r="C151">
        <v>577.71002199999998</v>
      </c>
    </row>
    <row r="152" spans="1:3">
      <c r="A152">
        <f t="shared" si="62"/>
        <v>151</v>
      </c>
      <c r="B152" s="30">
        <v>36586</v>
      </c>
      <c r="C152">
        <v>539.09002699999996</v>
      </c>
    </row>
    <row r="153" spans="1:3">
      <c r="A153">
        <f t="shared" si="62"/>
        <v>152</v>
      </c>
      <c r="B153" s="30">
        <v>36617</v>
      </c>
      <c r="C153">
        <v>506.25</v>
      </c>
    </row>
    <row r="154" spans="1:3">
      <c r="A154">
        <f t="shared" si="62"/>
        <v>153</v>
      </c>
      <c r="B154" s="30">
        <v>36647</v>
      </c>
      <c r="C154">
        <v>476.17999300000002</v>
      </c>
    </row>
    <row r="155" spans="1:3">
      <c r="A155">
        <f t="shared" si="62"/>
        <v>154</v>
      </c>
      <c r="B155" s="30">
        <v>36678</v>
      </c>
      <c r="C155">
        <v>517.22997999999995</v>
      </c>
    </row>
    <row r="156" spans="1:3">
      <c r="A156">
        <f t="shared" si="62"/>
        <v>155</v>
      </c>
      <c r="B156" s="30">
        <v>36708</v>
      </c>
      <c r="C156">
        <v>500.64001500000001</v>
      </c>
    </row>
    <row r="157" spans="1:3">
      <c r="A157">
        <f t="shared" si="62"/>
        <v>156</v>
      </c>
      <c r="B157" s="30">
        <v>36739</v>
      </c>
      <c r="C157">
        <v>537.89001499999995</v>
      </c>
    </row>
    <row r="158" spans="1:3">
      <c r="A158">
        <f t="shared" si="62"/>
        <v>157</v>
      </c>
      <c r="B158" s="30">
        <v>36770</v>
      </c>
      <c r="C158">
        <v>521.36999500000002</v>
      </c>
    </row>
    <row r="159" spans="1:3">
      <c r="A159">
        <f t="shared" si="62"/>
        <v>158</v>
      </c>
      <c r="B159" s="30">
        <v>36800</v>
      </c>
      <c r="C159">
        <v>497.67999300000002</v>
      </c>
    </row>
    <row r="160" spans="1:3">
      <c r="A160">
        <f t="shared" si="62"/>
        <v>159</v>
      </c>
      <c r="B160" s="30">
        <v>36831</v>
      </c>
      <c r="C160">
        <v>445.94000199999999</v>
      </c>
    </row>
    <row r="161" spans="1:3">
      <c r="A161">
        <f t="shared" si="62"/>
        <v>160</v>
      </c>
      <c r="B161" s="30">
        <v>36861</v>
      </c>
      <c r="C161">
        <v>483.52999899999998</v>
      </c>
    </row>
    <row r="162" spans="1:3">
      <c r="A162">
        <f t="shared" si="62"/>
        <v>161</v>
      </c>
      <c r="B162" s="30">
        <v>36892</v>
      </c>
      <c r="C162">
        <v>508.33999599999999</v>
      </c>
    </row>
    <row r="163" spans="1:3">
      <c r="A163">
        <f t="shared" si="62"/>
        <v>162</v>
      </c>
      <c r="B163" s="30">
        <v>36923</v>
      </c>
      <c r="C163">
        <v>474.36999500000002</v>
      </c>
    </row>
    <row r="164" spans="1:3">
      <c r="A164">
        <f t="shared" si="62"/>
        <v>163</v>
      </c>
      <c r="B164" s="30">
        <v>36951</v>
      </c>
      <c r="C164">
        <v>450.52999899999998</v>
      </c>
    </row>
    <row r="165" spans="1:3">
      <c r="A165">
        <f t="shared" si="62"/>
        <v>164</v>
      </c>
      <c r="B165" s="30">
        <v>36982</v>
      </c>
      <c r="C165">
        <v>485.32000699999998</v>
      </c>
    </row>
    <row r="166" spans="1:3">
      <c r="A166">
        <f t="shared" si="62"/>
        <v>165</v>
      </c>
      <c r="B166" s="30">
        <v>37012</v>
      </c>
      <c r="C166">
        <v>496.5</v>
      </c>
    </row>
    <row r="167" spans="1:3">
      <c r="A167">
        <f t="shared" si="62"/>
        <v>166</v>
      </c>
      <c r="B167" s="30">
        <v>37043</v>
      </c>
      <c r="C167">
        <v>512.64001499999995</v>
      </c>
    </row>
    <row r="168" spans="1:3">
      <c r="A168">
        <f t="shared" si="62"/>
        <v>167</v>
      </c>
      <c r="B168" s="30">
        <v>37073</v>
      </c>
      <c r="C168">
        <v>484.77999899999998</v>
      </c>
    </row>
    <row r="169" spans="1:3">
      <c r="A169">
        <f t="shared" si="62"/>
        <v>168</v>
      </c>
      <c r="B169" s="30">
        <v>37104</v>
      </c>
      <c r="C169">
        <v>468.55999800000001</v>
      </c>
    </row>
    <row r="170" spans="1:3">
      <c r="A170">
        <f t="shared" si="62"/>
        <v>169</v>
      </c>
      <c r="B170" s="30">
        <v>37135</v>
      </c>
      <c r="C170">
        <v>404.86999500000002</v>
      </c>
    </row>
    <row r="171" spans="1:3">
      <c r="A171">
        <f t="shared" si="62"/>
        <v>170</v>
      </c>
      <c r="B171" s="30">
        <v>37165</v>
      </c>
      <c r="C171">
        <v>428.17001299999998</v>
      </c>
    </row>
    <row r="172" spans="1:3">
      <c r="A172">
        <f t="shared" si="62"/>
        <v>171</v>
      </c>
      <c r="B172" s="30">
        <v>37196</v>
      </c>
      <c r="C172">
        <v>460.77999899999998</v>
      </c>
    </row>
    <row r="173" spans="1:3">
      <c r="A173">
        <f t="shared" si="62"/>
        <v>172</v>
      </c>
      <c r="B173" s="30">
        <v>37226</v>
      </c>
      <c r="C173">
        <v>488.5</v>
      </c>
    </row>
    <row r="174" spans="1:3">
      <c r="A174">
        <f t="shared" si="62"/>
        <v>173</v>
      </c>
      <c r="B174" s="30">
        <v>37257</v>
      </c>
      <c r="C174">
        <v>483.10000600000001</v>
      </c>
    </row>
    <row r="175" spans="1:3">
      <c r="A175">
        <f t="shared" si="62"/>
        <v>174</v>
      </c>
      <c r="B175" s="30">
        <v>37288</v>
      </c>
      <c r="C175">
        <v>469.35998499999999</v>
      </c>
    </row>
    <row r="176" spans="1:3">
      <c r="A176">
        <f t="shared" si="62"/>
        <v>175</v>
      </c>
      <c r="B176" s="30">
        <v>37316</v>
      </c>
      <c r="C176">
        <v>506.459991</v>
      </c>
    </row>
    <row r="177" spans="1:3">
      <c r="A177">
        <f t="shared" si="62"/>
        <v>176</v>
      </c>
      <c r="B177" s="30">
        <v>37347</v>
      </c>
      <c r="C177">
        <v>510.67001299999998</v>
      </c>
    </row>
    <row r="178" spans="1:3">
      <c r="A178">
        <f t="shared" si="62"/>
        <v>177</v>
      </c>
      <c r="B178" s="30">
        <v>37377</v>
      </c>
      <c r="C178">
        <v>487.47000100000002</v>
      </c>
    </row>
    <row r="179" spans="1:3">
      <c r="A179">
        <f t="shared" si="62"/>
        <v>178</v>
      </c>
      <c r="B179" s="30">
        <v>37408</v>
      </c>
      <c r="C179">
        <v>462.64001500000001</v>
      </c>
    </row>
    <row r="180" spans="1:3">
      <c r="A180">
        <f t="shared" si="62"/>
        <v>179</v>
      </c>
      <c r="B180" s="30">
        <v>37438</v>
      </c>
      <c r="C180">
        <v>392.42001299999998</v>
      </c>
    </row>
    <row r="181" spans="1:3">
      <c r="A181">
        <f t="shared" si="62"/>
        <v>180</v>
      </c>
      <c r="B181" s="30">
        <v>37469</v>
      </c>
      <c r="C181">
        <v>390.959991</v>
      </c>
    </row>
    <row r="182" spans="1:3">
      <c r="A182">
        <f t="shared" si="62"/>
        <v>181</v>
      </c>
      <c r="B182" s="30">
        <v>37500</v>
      </c>
      <c r="C182">
        <v>362.26998900000001</v>
      </c>
    </row>
    <row r="183" spans="1:3">
      <c r="A183">
        <f t="shared" si="62"/>
        <v>182</v>
      </c>
      <c r="B183" s="30">
        <v>37530</v>
      </c>
      <c r="C183">
        <v>373.5</v>
      </c>
    </row>
    <row r="184" spans="1:3">
      <c r="A184">
        <f t="shared" si="62"/>
        <v>183</v>
      </c>
      <c r="B184" s="30">
        <v>37561</v>
      </c>
      <c r="C184">
        <v>406.35000600000001</v>
      </c>
    </row>
    <row r="185" spans="1:3">
      <c r="A185">
        <f t="shared" si="62"/>
        <v>184</v>
      </c>
      <c r="B185" s="30">
        <v>37591</v>
      </c>
      <c r="C185">
        <v>383.08999599999999</v>
      </c>
    </row>
    <row r="186" spans="1:3">
      <c r="A186">
        <f t="shared" si="62"/>
        <v>185</v>
      </c>
      <c r="B186" s="30">
        <v>37622</v>
      </c>
      <c r="C186">
        <v>372.17001299999998</v>
      </c>
    </row>
    <row r="187" spans="1:3">
      <c r="A187">
        <f t="shared" si="62"/>
        <v>186</v>
      </c>
      <c r="B187" s="30">
        <v>37653</v>
      </c>
      <c r="C187">
        <v>360.51998900000001</v>
      </c>
    </row>
    <row r="188" spans="1:3">
      <c r="A188">
        <f t="shared" si="62"/>
        <v>187</v>
      </c>
      <c r="B188" s="30">
        <v>37681</v>
      </c>
      <c r="C188">
        <v>364.540009</v>
      </c>
    </row>
    <row r="189" spans="1:3">
      <c r="A189">
        <f t="shared" si="62"/>
        <v>188</v>
      </c>
      <c r="B189" s="30">
        <v>37712</v>
      </c>
      <c r="C189">
        <v>398.67999300000002</v>
      </c>
    </row>
    <row r="190" spans="1:3">
      <c r="A190">
        <f t="shared" si="62"/>
        <v>189</v>
      </c>
      <c r="B190" s="30">
        <v>37742</v>
      </c>
      <c r="C190">
        <v>441</v>
      </c>
    </row>
    <row r="191" spans="1:3">
      <c r="A191">
        <f t="shared" si="62"/>
        <v>190</v>
      </c>
      <c r="B191" s="30">
        <v>37773</v>
      </c>
      <c r="C191">
        <v>448.36999500000002</v>
      </c>
    </row>
    <row r="192" spans="1:3">
      <c r="A192">
        <f t="shared" si="62"/>
        <v>191</v>
      </c>
      <c r="B192" s="30">
        <v>37803</v>
      </c>
      <c r="C192">
        <v>476.01998900000001</v>
      </c>
    </row>
    <row r="193" spans="1:3">
      <c r="A193">
        <f t="shared" si="62"/>
        <v>192</v>
      </c>
      <c r="B193" s="30">
        <v>37834</v>
      </c>
      <c r="C193">
        <v>497.42001299999998</v>
      </c>
    </row>
    <row r="194" spans="1:3">
      <c r="A194">
        <f t="shared" si="62"/>
        <v>193</v>
      </c>
      <c r="B194" s="30">
        <v>37865</v>
      </c>
      <c r="C194">
        <v>487.67999300000002</v>
      </c>
    </row>
    <row r="195" spans="1:3">
      <c r="A195">
        <f t="shared" si="62"/>
        <v>194</v>
      </c>
      <c r="B195" s="30">
        <v>37895</v>
      </c>
      <c r="C195">
        <v>528.21997099999999</v>
      </c>
    </row>
    <row r="196" spans="1:3">
      <c r="A196">
        <f t="shared" ref="A196:A259" si="63">A195+1</f>
        <v>195</v>
      </c>
      <c r="B196" s="30">
        <v>37926</v>
      </c>
      <c r="C196">
        <v>546.51000999999997</v>
      </c>
    </row>
    <row r="197" spans="1:3">
      <c r="A197">
        <f t="shared" si="63"/>
        <v>196</v>
      </c>
      <c r="B197" s="30">
        <v>37956</v>
      </c>
      <c r="C197">
        <v>556.90997300000004</v>
      </c>
    </row>
    <row r="198" spans="1:3">
      <c r="A198">
        <f t="shared" si="63"/>
        <v>197</v>
      </c>
      <c r="B198" s="30">
        <v>37987</v>
      </c>
      <c r="C198">
        <v>580.76000999999997</v>
      </c>
    </row>
    <row r="199" spans="1:3">
      <c r="A199">
        <f t="shared" si="63"/>
        <v>198</v>
      </c>
      <c r="B199" s="30">
        <v>38018</v>
      </c>
      <c r="C199">
        <v>585.55999799999995</v>
      </c>
    </row>
    <row r="200" spans="1:3">
      <c r="A200">
        <f t="shared" si="63"/>
        <v>199</v>
      </c>
      <c r="B200" s="30">
        <v>38047</v>
      </c>
      <c r="C200">
        <v>590.30999799999995</v>
      </c>
    </row>
    <row r="201" spans="1:3">
      <c r="A201">
        <f t="shared" si="63"/>
        <v>200</v>
      </c>
      <c r="B201" s="30">
        <v>38078</v>
      </c>
      <c r="C201">
        <v>559.79998799999998</v>
      </c>
    </row>
    <row r="202" spans="1:3">
      <c r="A202">
        <f t="shared" si="63"/>
        <v>201</v>
      </c>
      <c r="B202" s="30">
        <v>38108</v>
      </c>
      <c r="C202">
        <v>568.28002900000001</v>
      </c>
    </row>
    <row r="203" spans="1:3">
      <c r="A203">
        <f t="shared" si="63"/>
        <v>202</v>
      </c>
      <c r="B203" s="30">
        <v>38139</v>
      </c>
      <c r="C203">
        <v>591.52002000000005</v>
      </c>
    </row>
    <row r="204" spans="1:3">
      <c r="A204">
        <f t="shared" si="63"/>
        <v>203</v>
      </c>
      <c r="B204" s="30">
        <v>38169</v>
      </c>
      <c r="C204">
        <v>551.28997800000002</v>
      </c>
    </row>
    <row r="205" spans="1:3">
      <c r="A205">
        <f t="shared" si="63"/>
        <v>204</v>
      </c>
      <c r="B205" s="30">
        <v>38200</v>
      </c>
      <c r="C205">
        <v>547.92999299999997</v>
      </c>
    </row>
    <row r="206" spans="1:3">
      <c r="A206">
        <f t="shared" si="63"/>
        <v>205</v>
      </c>
      <c r="B206" s="30">
        <v>38231</v>
      </c>
      <c r="C206">
        <v>572.94000200000005</v>
      </c>
    </row>
    <row r="207" spans="1:3">
      <c r="A207">
        <f t="shared" si="63"/>
        <v>206</v>
      </c>
      <c r="B207" s="30">
        <v>38261</v>
      </c>
      <c r="C207">
        <v>583.78997800000002</v>
      </c>
    </row>
    <row r="208" spans="1:3">
      <c r="A208">
        <f t="shared" si="63"/>
        <v>207</v>
      </c>
      <c r="B208" s="30">
        <v>38292</v>
      </c>
      <c r="C208">
        <v>633.77002000000005</v>
      </c>
    </row>
    <row r="209" spans="1:3">
      <c r="A209">
        <f t="shared" si="63"/>
        <v>208</v>
      </c>
      <c r="B209" s="30">
        <v>38322</v>
      </c>
      <c r="C209">
        <v>651.57000700000003</v>
      </c>
    </row>
    <row r="210" spans="1:3">
      <c r="A210">
        <f t="shared" si="63"/>
        <v>209</v>
      </c>
      <c r="B210" s="30">
        <v>38353</v>
      </c>
      <c r="C210">
        <v>624.02002000000005</v>
      </c>
    </row>
    <row r="211" spans="1:3">
      <c r="A211">
        <f t="shared" si="63"/>
        <v>210</v>
      </c>
      <c r="B211" s="30">
        <v>38384</v>
      </c>
      <c r="C211">
        <v>634.05999799999995</v>
      </c>
    </row>
    <row r="212" spans="1:3">
      <c r="A212">
        <f t="shared" si="63"/>
        <v>211</v>
      </c>
      <c r="B212" s="30">
        <v>38412</v>
      </c>
      <c r="C212">
        <v>615.07000700000003</v>
      </c>
    </row>
    <row r="213" spans="1:3">
      <c r="A213">
        <f t="shared" si="63"/>
        <v>212</v>
      </c>
      <c r="B213" s="30">
        <v>38443</v>
      </c>
      <c r="C213">
        <v>579.38000499999998</v>
      </c>
    </row>
    <row r="214" spans="1:3">
      <c r="A214">
        <f t="shared" si="63"/>
        <v>213</v>
      </c>
      <c r="B214" s="30">
        <v>38473</v>
      </c>
      <c r="C214">
        <v>616.71002199999998</v>
      </c>
    </row>
    <row r="215" spans="1:3">
      <c r="A215">
        <f t="shared" si="63"/>
        <v>214</v>
      </c>
      <c r="B215" s="30">
        <v>38504</v>
      </c>
      <c r="C215">
        <v>639.65997300000004</v>
      </c>
    </row>
    <row r="216" spans="1:3">
      <c r="A216">
        <f t="shared" si="63"/>
        <v>215</v>
      </c>
      <c r="B216" s="30">
        <v>38534</v>
      </c>
      <c r="C216">
        <v>679.75</v>
      </c>
    </row>
    <row r="217" spans="1:3">
      <c r="A217">
        <f t="shared" si="63"/>
        <v>216</v>
      </c>
      <c r="B217" s="30">
        <v>38565</v>
      </c>
      <c r="C217">
        <v>666.51000999999997</v>
      </c>
    </row>
    <row r="218" spans="1:3">
      <c r="A218">
        <f t="shared" si="63"/>
        <v>217</v>
      </c>
      <c r="B218" s="30">
        <v>38596</v>
      </c>
      <c r="C218">
        <v>667.79998799999998</v>
      </c>
    </row>
    <row r="219" spans="1:3">
      <c r="A219">
        <f t="shared" si="63"/>
        <v>218</v>
      </c>
      <c r="B219" s="30">
        <v>38626</v>
      </c>
      <c r="C219">
        <v>646.60998500000005</v>
      </c>
    </row>
    <row r="220" spans="1:3">
      <c r="A220">
        <f t="shared" si="63"/>
        <v>219</v>
      </c>
      <c r="B220" s="30">
        <v>38657</v>
      </c>
      <c r="C220">
        <v>677.28997800000002</v>
      </c>
    </row>
    <row r="221" spans="1:3">
      <c r="A221">
        <f t="shared" si="63"/>
        <v>220</v>
      </c>
      <c r="B221" s="30">
        <v>38687</v>
      </c>
      <c r="C221">
        <v>673.21997099999999</v>
      </c>
    </row>
    <row r="222" spans="1:3">
      <c r="A222">
        <f t="shared" si="63"/>
        <v>221</v>
      </c>
      <c r="B222" s="30">
        <v>38718</v>
      </c>
      <c r="C222">
        <v>733.20001200000002</v>
      </c>
    </row>
    <row r="223" spans="1:3">
      <c r="A223">
        <f t="shared" si="63"/>
        <v>222</v>
      </c>
      <c r="B223" s="30">
        <v>38749</v>
      </c>
      <c r="C223">
        <v>730.64001499999995</v>
      </c>
    </row>
    <row r="224" spans="1:3">
      <c r="A224">
        <f t="shared" si="63"/>
        <v>223</v>
      </c>
      <c r="B224" s="30">
        <v>38777</v>
      </c>
      <c r="C224">
        <v>765.14001499999995</v>
      </c>
    </row>
    <row r="225" spans="1:3">
      <c r="A225">
        <f t="shared" si="63"/>
        <v>224</v>
      </c>
      <c r="B225" s="30">
        <v>38808</v>
      </c>
      <c r="C225">
        <v>764.53997800000002</v>
      </c>
    </row>
    <row r="226" spans="1:3">
      <c r="A226">
        <f t="shared" si="63"/>
        <v>225</v>
      </c>
      <c r="B226" s="30">
        <v>38838</v>
      </c>
      <c r="C226">
        <v>721.01000999999997</v>
      </c>
    </row>
    <row r="227" spans="1:3">
      <c r="A227">
        <f t="shared" si="63"/>
        <v>226</v>
      </c>
      <c r="B227" s="30">
        <v>38869</v>
      </c>
      <c r="C227">
        <v>724.669983</v>
      </c>
    </row>
    <row r="228" spans="1:3">
      <c r="A228">
        <f t="shared" si="63"/>
        <v>227</v>
      </c>
      <c r="B228" s="30">
        <v>38899</v>
      </c>
      <c r="C228">
        <v>700.55999799999995</v>
      </c>
    </row>
    <row r="229" spans="1:3">
      <c r="A229">
        <f t="shared" si="63"/>
        <v>228</v>
      </c>
      <c r="B229" s="30">
        <v>38930</v>
      </c>
      <c r="C229">
        <v>720.53002900000001</v>
      </c>
    </row>
    <row r="230" spans="1:3">
      <c r="A230">
        <f t="shared" si="63"/>
        <v>229</v>
      </c>
      <c r="B230" s="30">
        <v>38961</v>
      </c>
      <c r="C230">
        <v>725.59002699999996</v>
      </c>
    </row>
    <row r="231" spans="1:3">
      <c r="A231">
        <f t="shared" si="63"/>
        <v>230</v>
      </c>
      <c r="B231" s="30">
        <v>38991</v>
      </c>
      <c r="C231">
        <v>766.84002699999996</v>
      </c>
    </row>
    <row r="232" spans="1:3">
      <c r="A232">
        <f t="shared" si="63"/>
        <v>231</v>
      </c>
      <c r="B232" s="30">
        <v>39022</v>
      </c>
      <c r="C232">
        <v>786.11999500000002</v>
      </c>
    </row>
    <row r="233" spans="1:3">
      <c r="A233">
        <f t="shared" si="63"/>
        <v>232</v>
      </c>
      <c r="B233" s="30">
        <v>39052</v>
      </c>
      <c r="C233">
        <v>787.65997300000004</v>
      </c>
    </row>
    <row r="234" spans="1:3">
      <c r="A234">
        <f t="shared" si="63"/>
        <v>233</v>
      </c>
      <c r="B234" s="30">
        <v>39083</v>
      </c>
      <c r="C234">
        <v>800.34002699999996</v>
      </c>
    </row>
    <row r="235" spans="1:3">
      <c r="A235">
        <f t="shared" si="63"/>
        <v>234</v>
      </c>
      <c r="B235" s="30">
        <v>39114</v>
      </c>
      <c r="C235">
        <v>793.29998799999998</v>
      </c>
    </row>
    <row r="236" spans="1:3">
      <c r="A236">
        <f t="shared" si="63"/>
        <v>235</v>
      </c>
      <c r="B236" s="30">
        <v>39142</v>
      </c>
      <c r="C236">
        <v>800.71002199999998</v>
      </c>
    </row>
    <row r="237" spans="1:3">
      <c r="A237">
        <f t="shared" si="63"/>
        <v>236</v>
      </c>
      <c r="B237" s="30">
        <v>39173</v>
      </c>
      <c r="C237">
        <v>814.57000700000003</v>
      </c>
    </row>
    <row r="238" spans="1:3">
      <c r="A238">
        <f t="shared" si="63"/>
        <v>237</v>
      </c>
      <c r="B238" s="30">
        <v>39203</v>
      </c>
      <c r="C238">
        <v>847.17999299999997</v>
      </c>
    </row>
    <row r="239" spans="1:3">
      <c r="A239">
        <f t="shared" si="63"/>
        <v>238</v>
      </c>
      <c r="B239" s="30">
        <v>39234</v>
      </c>
      <c r="C239">
        <v>833.70001200000002</v>
      </c>
    </row>
    <row r="240" spans="1:3">
      <c r="A240">
        <f t="shared" si="63"/>
        <v>239</v>
      </c>
      <c r="B240" s="30">
        <v>39264</v>
      </c>
      <c r="C240">
        <v>776.11999500000002</v>
      </c>
    </row>
    <row r="241" spans="1:3">
      <c r="A241">
        <f t="shared" si="63"/>
        <v>240</v>
      </c>
      <c r="B241" s="30">
        <v>39295</v>
      </c>
      <c r="C241">
        <v>792.85998500000005</v>
      </c>
    </row>
    <row r="242" spans="1:3">
      <c r="A242">
        <f t="shared" si="63"/>
        <v>241</v>
      </c>
      <c r="B242" s="30">
        <v>39326</v>
      </c>
      <c r="C242">
        <v>805.45001200000002</v>
      </c>
    </row>
    <row r="243" spans="1:3">
      <c r="A243">
        <f t="shared" si="63"/>
        <v>242</v>
      </c>
      <c r="B243" s="30">
        <v>39356</v>
      </c>
      <c r="C243">
        <v>828.02002000000005</v>
      </c>
    </row>
    <row r="244" spans="1:3">
      <c r="A244">
        <f t="shared" si="63"/>
        <v>243</v>
      </c>
      <c r="B244" s="30">
        <v>39387</v>
      </c>
      <c r="C244">
        <v>767.77002000000005</v>
      </c>
    </row>
    <row r="245" spans="1:3">
      <c r="A245">
        <f t="shared" si="63"/>
        <v>244</v>
      </c>
      <c r="B245" s="30">
        <v>39417</v>
      </c>
      <c r="C245">
        <v>766.03002900000001</v>
      </c>
    </row>
    <row r="246" spans="1:3">
      <c r="A246">
        <f t="shared" si="63"/>
        <v>245</v>
      </c>
      <c r="B246" s="30">
        <v>39448</v>
      </c>
      <c r="C246">
        <v>713.29998799999998</v>
      </c>
    </row>
    <row r="247" spans="1:3">
      <c r="A247">
        <f t="shared" si="63"/>
        <v>246</v>
      </c>
      <c r="B247" s="30">
        <v>39479</v>
      </c>
      <c r="C247">
        <v>686.17999299999997</v>
      </c>
    </row>
    <row r="248" spans="1:3">
      <c r="A248">
        <f t="shared" si="63"/>
        <v>247</v>
      </c>
      <c r="B248" s="30">
        <v>39508</v>
      </c>
      <c r="C248">
        <v>687.96997099999999</v>
      </c>
    </row>
    <row r="249" spans="1:3">
      <c r="A249">
        <f t="shared" si="63"/>
        <v>248</v>
      </c>
      <c r="B249" s="30">
        <v>39539</v>
      </c>
      <c r="C249">
        <v>716.17999299999997</v>
      </c>
    </row>
    <row r="250" spans="1:3">
      <c r="A250">
        <f t="shared" si="63"/>
        <v>249</v>
      </c>
      <c r="B250" s="30">
        <v>39569</v>
      </c>
      <c r="C250">
        <v>748.28002900000001</v>
      </c>
    </row>
    <row r="251" spans="1:3">
      <c r="A251">
        <f t="shared" si="63"/>
        <v>250</v>
      </c>
      <c r="B251" s="30">
        <v>39600</v>
      </c>
      <c r="C251">
        <v>689.65997300000004</v>
      </c>
    </row>
    <row r="252" spans="1:3">
      <c r="A252">
        <f t="shared" si="63"/>
        <v>251</v>
      </c>
      <c r="B252" s="30">
        <v>39630</v>
      </c>
      <c r="C252">
        <v>714.52002000000005</v>
      </c>
    </row>
    <row r="253" spans="1:3">
      <c r="A253">
        <f t="shared" si="63"/>
        <v>252</v>
      </c>
      <c r="B253" s="30">
        <v>39661</v>
      </c>
      <c r="C253">
        <v>739.5</v>
      </c>
    </row>
    <row r="254" spans="1:3">
      <c r="A254">
        <f t="shared" si="63"/>
        <v>253</v>
      </c>
      <c r="B254" s="30">
        <v>39692</v>
      </c>
      <c r="C254">
        <v>679.580017</v>
      </c>
    </row>
    <row r="255" spans="1:3">
      <c r="A255">
        <f t="shared" si="63"/>
        <v>254</v>
      </c>
      <c r="B255" s="30">
        <v>39722</v>
      </c>
      <c r="C255">
        <v>537.52002000000005</v>
      </c>
    </row>
    <row r="256" spans="1:3">
      <c r="A256">
        <f t="shared" si="63"/>
        <v>255</v>
      </c>
      <c r="B256" s="30">
        <v>39753</v>
      </c>
      <c r="C256">
        <v>473.14001500000001</v>
      </c>
    </row>
    <row r="257" spans="1:3">
      <c r="A257">
        <f t="shared" si="63"/>
        <v>256</v>
      </c>
      <c r="B257" s="30">
        <v>39783</v>
      </c>
      <c r="C257">
        <v>499.45001200000002</v>
      </c>
    </row>
    <row r="258" spans="1:3">
      <c r="A258">
        <f t="shared" si="63"/>
        <v>257</v>
      </c>
      <c r="B258" s="30">
        <v>39814</v>
      </c>
      <c r="C258">
        <v>443.52999899999998</v>
      </c>
    </row>
    <row r="259" spans="1:3">
      <c r="A259">
        <f t="shared" si="63"/>
        <v>258</v>
      </c>
      <c r="B259" s="30">
        <v>39845</v>
      </c>
      <c r="C259">
        <v>389.01998900000001</v>
      </c>
    </row>
    <row r="260" spans="1:3">
      <c r="A260">
        <f t="shared" ref="A260:A323" si="64">A259+1</f>
        <v>259</v>
      </c>
      <c r="B260" s="30">
        <v>39873</v>
      </c>
      <c r="C260">
        <v>422.75</v>
      </c>
    </row>
    <row r="261" spans="1:3">
      <c r="A261">
        <f t="shared" si="64"/>
        <v>260</v>
      </c>
      <c r="B261" s="30">
        <v>39904</v>
      </c>
      <c r="C261">
        <v>487.55999800000001</v>
      </c>
    </row>
    <row r="262" spans="1:3">
      <c r="A262">
        <f t="shared" si="64"/>
        <v>261</v>
      </c>
      <c r="B262" s="30">
        <v>39934</v>
      </c>
      <c r="C262">
        <v>501.57998700000002</v>
      </c>
    </row>
    <row r="263" spans="1:3">
      <c r="A263">
        <f t="shared" si="64"/>
        <v>262</v>
      </c>
      <c r="B263" s="30">
        <v>39965</v>
      </c>
      <c r="C263">
        <v>508.27999899999998</v>
      </c>
    </row>
    <row r="264" spans="1:3">
      <c r="A264">
        <f t="shared" si="64"/>
        <v>263</v>
      </c>
      <c r="B264" s="30">
        <v>39995</v>
      </c>
      <c r="C264">
        <v>556.71002199999998</v>
      </c>
    </row>
    <row r="265" spans="1:3">
      <c r="A265">
        <f t="shared" si="64"/>
        <v>264</v>
      </c>
      <c r="B265" s="30">
        <v>40026</v>
      </c>
      <c r="C265">
        <v>572.07000700000003</v>
      </c>
    </row>
    <row r="266" spans="1:3">
      <c r="A266">
        <f t="shared" si="64"/>
        <v>265</v>
      </c>
      <c r="B266" s="30">
        <v>40057</v>
      </c>
      <c r="C266">
        <v>604.28002900000001</v>
      </c>
    </row>
    <row r="267" spans="1:3">
      <c r="A267">
        <f t="shared" si="64"/>
        <v>266</v>
      </c>
      <c r="B267" s="30">
        <v>40087</v>
      </c>
      <c r="C267">
        <v>562.77002000000005</v>
      </c>
    </row>
    <row r="268" spans="1:3">
      <c r="A268">
        <f t="shared" si="64"/>
        <v>267</v>
      </c>
      <c r="B268" s="30">
        <v>40118</v>
      </c>
      <c r="C268">
        <v>579.72997999999995</v>
      </c>
    </row>
    <row r="269" spans="1:3">
      <c r="A269">
        <f t="shared" si="64"/>
        <v>268</v>
      </c>
      <c r="B269" s="30">
        <v>40148</v>
      </c>
      <c r="C269">
        <v>625.39001499999995</v>
      </c>
    </row>
    <row r="270" spans="1:3">
      <c r="A270">
        <f t="shared" si="64"/>
        <v>269</v>
      </c>
      <c r="B270" s="30">
        <v>40179</v>
      </c>
      <c r="C270">
        <v>602.03997800000002</v>
      </c>
    </row>
    <row r="271" spans="1:3">
      <c r="A271">
        <f t="shared" si="64"/>
        <v>270</v>
      </c>
      <c r="B271" s="30">
        <v>40210</v>
      </c>
      <c r="C271">
        <v>628.55999799999995</v>
      </c>
    </row>
    <row r="272" spans="1:3">
      <c r="A272">
        <f t="shared" si="64"/>
        <v>271</v>
      </c>
      <c r="B272" s="30">
        <v>40238</v>
      </c>
      <c r="C272">
        <v>678.64001499999995</v>
      </c>
    </row>
    <row r="273" spans="1:3">
      <c r="A273">
        <f t="shared" si="64"/>
        <v>272</v>
      </c>
      <c r="B273" s="30">
        <v>40269</v>
      </c>
      <c r="C273">
        <v>716.59997599999997</v>
      </c>
    </row>
    <row r="274" spans="1:3">
      <c r="A274">
        <f t="shared" si="64"/>
        <v>273</v>
      </c>
      <c r="B274" s="30">
        <v>40299</v>
      </c>
      <c r="C274">
        <v>661.60998500000005</v>
      </c>
    </row>
    <row r="275" spans="1:3">
      <c r="A275">
        <f t="shared" si="64"/>
        <v>274</v>
      </c>
      <c r="B275" s="30">
        <v>40330</v>
      </c>
      <c r="C275">
        <v>609.48999000000003</v>
      </c>
    </row>
    <row r="276" spans="1:3">
      <c r="A276">
        <f t="shared" si="64"/>
        <v>275</v>
      </c>
      <c r="B276" s="30">
        <v>40360</v>
      </c>
      <c r="C276">
        <v>650.89001499999995</v>
      </c>
    </row>
    <row r="277" spans="1:3">
      <c r="A277">
        <f t="shared" si="64"/>
        <v>276</v>
      </c>
      <c r="B277" s="30">
        <v>40391</v>
      </c>
      <c r="C277">
        <v>602.05999799999995</v>
      </c>
    </row>
    <row r="278" spans="1:3">
      <c r="A278">
        <f t="shared" si="64"/>
        <v>277</v>
      </c>
      <c r="B278" s="30">
        <v>40422</v>
      </c>
      <c r="C278">
        <v>676.14001499999995</v>
      </c>
    </row>
    <row r="279" spans="1:3">
      <c r="A279">
        <f t="shared" si="64"/>
        <v>278</v>
      </c>
      <c r="B279" s="30">
        <v>40452</v>
      </c>
      <c r="C279">
        <v>703.34997599999997</v>
      </c>
    </row>
    <row r="280" spans="1:3">
      <c r="A280">
        <f t="shared" si="64"/>
        <v>279</v>
      </c>
      <c r="B280" s="30">
        <v>40483</v>
      </c>
      <c r="C280">
        <v>727.01000999999997</v>
      </c>
    </row>
    <row r="281" spans="1:3">
      <c r="A281">
        <f t="shared" si="64"/>
        <v>280</v>
      </c>
      <c r="B281" s="30">
        <v>40513</v>
      </c>
      <c r="C281">
        <v>783.65002400000003</v>
      </c>
    </row>
    <row r="282" spans="1:3">
      <c r="A282">
        <f t="shared" si="64"/>
        <v>281</v>
      </c>
      <c r="B282" s="30">
        <v>40544</v>
      </c>
      <c r="C282">
        <v>781.25</v>
      </c>
    </row>
    <row r="283" spans="1:3">
      <c r="A283">
        <f t="shared" si="64"/>
        <v>282</v>
      </c>
      <c r="B283" s="30">
        <v>40575</v>
      </c>
      <c r="C283">
        <v>823.45001200000002</v>
      </c>
    </row>
    <row r="284" spans="1:3">
      <c r="A284">
        <f t="shared" si="64"/>
        <v>283</v>
      </c>
      <c r="B284" s="30">
        <v>40603</v>
      </c>
      <c r="C284">
        <v>843.54998799999998</v>
      </c>
    </row>
    <row r="285" spans="1:3">
      <c r="A285">
        <f t="shared" si="64"/>
        <v>284</v>
      </c>
      <c r="B285" s="30">
        <v>40634</v>
      </c>
      <c r="C285">
        <v>865.28997800000002</v>
      </c>
    </row>
    <row r="286" spans="1:3">
      <c r="A286">
        <f t="shared" si="64"/>
        <v>285</v>
      </c>
      <c r="B286" s="30">
        <v>40664</v>
      </c>
      <c r="C286">
        <v>848.29998799999998</v>
      </c>
    </row>
    <row r="287" spans="1:3">
      <c r="A287">
        <f t="shared" si="64"/>
        <v>286</v>
      </c>
      <c r="B287" s="30">
        <v>40695</v>
      </c>
      <c r="C287">
        <v>827.42999299999997</v>
      </c>
    </row>
    <row r="288" spans="1:3">
      <c r="A288">
        <f t="shared" si="64"/>
        <v>287</v>
      </c>
      <c r="B288" s="30">
        <v>40725</v>
      </c>
      <c r="C288">
        <v>797.03002900000001</v>
      </c>
    </row>
    <row r="289" spans="1:3">
      <c r="A289">
        <f t="shared" si="64"/>
        <v>288</v>
      </c>
      <c r="B289" s="30">
        <v>40756</v>
      </c>
      <c r="C289">
        <v>726.80999799999995</v>
      </c>
    </row>
    <row r="290" spans="1:3">
      <c r="A290">
        <f t="shared" si="64"/>
        <v>289</v>
      </c>
      <c r="B290" s="30">
        <v>40787</v>
      </c>
      <c r="C290">
        <v>644.15997300000004</v>
      </c>
    </row>
    <row r="291" spans="1:3">
      <c r="A291">
        <f t="shared" si="64"/>
        <v>290</v>
      </c>
      <c r="B291" s="30">
        <v>40817</v>
      </c>
      <c r="C291">
        <v>741.05999799999995</v>
      </c>
    </row>
    <row r="292" spans="1:3">
      <c r="A292">
        <f t="shared" si="64"/>
        <v>291</v>
      </c>
      <c r="B292" s="30">
        <v>40848</v>
      </c>
      <c r="C292">
        <v>737.419983</v>
      </c>
    </row>
    <row r="293" spans="1:3">
      <c r="A293">
        <f t="shared" si="64"/>
        <v>292</v>
      </c>
      <c r="B293" s="30">
        <v>40878</v>
      </c>
      <c r="C293">
        <v>740.919983</v>
      </c>
    </row>
    <row r="294" spans="1:3">
      <c r="A294">
        <f t="shared" si="64"/>
        <v>293</v>
      </c>
      <c r="B294" s="30">
        <v>40909</v>
      </c>
      <c r="C294">
        <v>792.82000700000003</v>
      </c>
    </row>
    <row r="295" spans="1:3">
      <c r="A295">
        <f t="shared" si="64"/>
        <v>294</v>
      </c>
      <c r="B295" s="30">
        <v>40940</v>
      </c>
      <c r="C295">
        <v>810.94000200000005</v>
      </c>
    </row>
    <row r="296" spans="1:3">
      <c r="A296">
        <f t="shared" si="64"/>
        <v>295</v>
      </c>
      <c r="B296" s="30">
        <v>40969</v>
      </c>
      <c r="C296">
        <v>830.29998799999998</v>
      </c>
    </row>
    <row r="297" spans="1:3">
      <c r="A297">
        <f t="shared" si="64"/>
        <v>296</v>
      </c>
      <c r="B297" s="30">
        <v>41000</v>
      </c>
      <c r="C297">
        <v>816.88000499999998</v>
      </c>
    </row>
    <row r="298" spans="1:3">
      <c r="A298">
        <f t="shared" si="64"/>
        <v>297</v>
      </c>
      <c r="B298" s="30">
        <v>41030</v>
      </c>
      <c r="C298">
        <v>761.82000700000003</v>
      </c>
    </row>
    <row r="299" spans="1:3">
      <c r="A299">
        <f t="shared" si="64"/>
        <v>298</v>
      </c>
      <c r="B299" s="30">
        <v>41061</v>
      </c>
      <c r="C299">
        <v>798.48999000000003</v>
      </c>
    </row>
    <row r="300" spans="1:3">
      <c r="A300">
        <f t="shared" si="64"/>
        <v>299</v>
      </c>
      <c r="B300" s="30">
        <v>41091</v>
      </c>
      <c r="C300">
        <v>786.94000200000005</v>
      </c>
    </row>
    <row r="301" spans="1:3">
      <c r="A301">
        <f t="shared" si="64"/>
        <v>300</v>
      </c>
      <c r="B301" s="30">
        <v>41122</v>
      </c>
      <c r="C301">
        <v>812.09002699999996</v>
      </c>
    </row>
    <row r="302" spans="1:3">
      <c r="A302">
        <f t="shared" si="64"/>
        <v>301</v>
      </c>
      <c r="B302" s="30">
        <v>41153</v>
      </c>
      <c r="C302">
        <v>837.45001200000002</v>
      </c>
    </row>
    <row r="303" spans="1:3">
      <c r="A303">
        <f t="shared" si="64"/>
        <v>302</v>
      </c>
      <c r="B303" s="30">
        <v>41183</v>
      </c>
      <c r="C303">
        <v>818.72997999999995</v>
      </c>
    </row>
    <row r="304" spans="1:3">
      <c r="A304">
        <f t="shared" si="64"/>
        <v>303</v>
      </c>
      <c r="B304" s="30">
        <v>41214</v>
      </c>
      <c r="C304">
        <v>821.919983</v>
      </c>
    </row>
    <row r="305" spans="1:3">
      <c r="A305">
        <f t="shared" si="64"/>
        <v>304</v>
      </c>
      <c r="B305" s="30">
        <v>41244</v>
      </c>
      <c r="C305">
        <v>849.34997599999997</v>
      </c>
    </row>
    <row r="306" spans="1:3">
      <c r="A306">
        <f t="shared" si="64"/>
        <v>305</v>
      </c>
      <c r="B306" s="30">
        <v>41275</v>
      </c>
      <c r="C306">
        <v>902.09002699999996</v>
      </c>
    </row>
    <row r="307" spans="1:3">
      <c r="A307">
        <f t="shared" si="64"/>
        <v>306</v>
      </c>
      <c r="B307" s="30">
        <v>41306</v>
      </c>
      <c r="C307">
        <v>911.10998500000005</v>
      </c>
    </row>
    <row r="308" spans="1:3">
      <c r="A308">
        <f t="shared" si="64"/>
        <v>307</v>
      </c>
      <c r="B308" s="30">
        <v>41334</v>
      </c>
      <c r="C308">
        <v>951.53997800000002</v>
      </c>
    </row>
    <row r="309" spans="1:3">
      <c r="A309">
        <f t="shared" si="64"/>
        <v>308</v>
      </c>
      <c r="B309" s="30">
        <v>41365</v>
      </c>
      <c r="C309">
        <v>947.46002199999998</v>
      </c>
    </row>
    <row r="310" spans="1:3">
      <c r="A310">
        <f t="shared" si="64"/>
        <v>309</v>
      </c>
      <c r="B310" s="30">
        <v>41395</v>
      </c>
      <c r="C310">
        <v>984.15002400000003</v>
      </c>
    </row>
    <row r="311" spans="1:3">
      <c r="A311">
        <f t="shared" si="64"/>
        <v>310</v>
      </c>
      <c r="B311" s="30">
        <v>41426</v>
      </c>
      <c r="C311">
        <v>977.47997999999995</v>
      </c>
    </row>
    <row r="312" spans="1:3">
      <c r="A312">
        <f t="shared" si="64"/>
        <v>311</v>
      </c>
      <c r="B312" s="30">
        <v>41456</v>
      </c>
      <c r="C312">
        <v>1045.26001</v>
      </c>
    </row>
    <row r="313" spans="1:3">
      <c r="A313">
        <f t="shared" si="64"/>
        <v>312</v>
      </c>
      <c r="B313" s="30">
        <v>41487</v>
      </c>
      <c r="C313">
        <v>1010.900024</v>
      </c>
    </row>
    <row r="314" spans="1:3">
      <c r="A314">
        <f t="shared" si="64"/>
        <v>313</v>
      </c>
      <c r="B314" s="30">
        <v>41518</v>
      </c>
      <c r="C314">
        <v>1073.790039</v>
      </c>
    </row>
    <row r="315" spans="1:3">
      <c r="A315">
        <f t="shared" si="64"/>
        <v>314</v>
      </c>
      <c r="B315" s="30">
        <v>41548</v>
      </c>
      <c r="C315">
        <v>1100.150024</v>
      </c>
    </row>
    <row r="316" spans="1:3">
      <c r="A316">
        <f t="shared" si="64"/>
        <v>315</v>
      </c>
      <c r="B316" s="30">
        <v>41579</v>
      </c>
      <c r="C316">
        <v>1142.8900149999999</v>
      </c>
    </row>
    <row r="317" spans="1:3">
      <c r="A317">
        <f t="shared" si="64"/>
        <v>316</v>
      </c>
      <c r="B317" s="30">
        <v>41609</v>
      </c>
      <c r="C317">
        <v>1163.6400149999999</v>
      </c>
    </row>
    <row r="318" spans="1:3">
      <c r="A318">
        <f t="shared" si="64"/>
        <v>317</v>
      </c>
      <c r="B318" s="30">
        <v>41640</v>
      </c>
      <c r="C318">
        <v>1130.880005</v>
      </c>
    </row>
    <row r="319" spans="1:3">
      <c r="A319">
        <f t="shared" si="64"/>
        <v>318</v>
      </c>
      <c r="B319" s="30">
        <v>41671</v>
      </c>
      <c r="C319">
        <v>1183.030029</v>
      </c>
    </row>
    <row r="320" spans="1:3">
      <c r="A320">
        <f t="shared" si="64"/>
        <v>319</v>
      </c>
      <c r="B320" s="30">
        <v>41699</v>
      </c>
      <c r="C320">
        <v>1173.040039</v>
      </c>
    </row>
    <row r="321" spans="1:3">
      <c r="A321">
        <f t="shared" si="64"/>
        <v>320</v>
      </c>
      <c r="B321" s="30">
        <v>41730</v>
      </c>
      <c r="C321">
        <v>1126.8599850000001</v>
      </c>
    </row>
    <row r="322" spans="1:3">
      <c r="A322">
        <f t="shared" si="64"/>
        <v>321</v>
      </c>
      <c r="B322" s="30">
        <v>41760</v>
      </c>
      <c r="C322">
        <v>1134.5</v>
      </c>
    </row>
    <row r="323" spans="1:3">
      <c r="A323">
        <f t="shared" si="64"/>
        <v>322</v>
      </c>
      <c r="B323" s="30">
        <v>41791</v>
      </c>
      <c r="C323">
        <v>1192.959961</v>
      </c>
    </row>
    <row r="324" spans="1:3">
      <c r="A324">
        <f t="shared" ref="A324:A387" si="65">A323+1</f>
        <v>323</v>
      </c>
      <c r="B324" s="30">
        <v>41821</v>
      </c>
      <c r="C324">
        <v>1120.0699460000001</v>
      </c>
    </row>
    <row r="325" spans="1:3">
      <c r="A325">
        <f t="shared" si="65"/>
        <v>324</v>
      </c>
      <c r="B325" s="30">
        <v>41852</v>
      </c>
      <c r="C325">
        <v>1174.349976</v>
      </c>
    </row>
    <row r="326" spans="1:3">
      <c r="A326">
        <f t="shared" si="65"/>
        <v>325</v>
      </c>
      <c r="B326" s="30">
        <v>41883</v>
      </c>
      <c r="C326">
        <v>1101.6800539999999</v>
      </c>
    </row>
    <row r="327" spans="1:3">
      <c r="A327">
        <f t="shared" si="65"/>
        <v>326</v>
      </c>
      <c r="B327" s="30">
        <v>41913</v>
      </c>
      <c r="C327">
        <v>1173.51001</v>
      </c>
    </row>
    <row r="328" spans="1:3">
      <c r="A328">
        <f t="shared" si="65"/>
        <v>327</v>
      </c>
      <c r="B328" s="30">
        <v>41944</v>
      </c>
      <c r="C328">
        <v>1173.2299800000001</v>
      </c>
    </row>
    <row r="329" spans="1:3">
      <c r="A329">
        <f t="shared" si="65"/>
        <v>328</v>
      </c>
      <c r="B329" s="30">
        <v>41974</v>
      </c>
      <c r="C329">
        <v>1204.6999510000001</v>
      </c>
    </row>
    <row r="330" spans="1:3">
      <c r="A330">
        <f t="shared" si="65"/>
        <v>329</v>
      </c>
      <c r="B330" s="30">
        <v>42005</v>
      </c>
      <c r="C330">
        <v>1165.3900149999999</v>
      </c>
    </row>
    <row r="331" spans="1:3">
      <c r="A331">
        <f t="shared" si="65"/>
        <v>330</v>
      </c>
      <c r="B331" s="30">
        <v>42036</v>
      </c>
      <c r="C331">
        <v>1233.369995</v>
      </c>
    </row>
    <row r="332" spans="1:3">
      <c r="A332">
        <f t="shared" si="65"/>
        <v>331</v>
      </c>
      <c r="B332" s="30">
        <v>42064</v>
      </c>
      <c r="C332">
        <v>1252.7700199999999</v>
      </c>
    </row>
    <row r="333" spans="1:3">
      <c r="A333">
        <f t="shared" si="65"/>
        <v>332</v>
      </c>
      <c r="B333" s="30">
        <v>42095</v>
      </c>
      <c r="C333">
        <v>1220.130005</v>
      </c>
    </row>
    <row r="334" spans="1:3">
      <c r="A334">
        <f t="shared" si="65"/>
        <v>333</v>
      </c>
      <c r="B334" s="30">
        <v>42125</v>
      </c>
      <c r="C334">
        <v>1246.530029</v>
      </c>
    </row>
    <row r="335" spans="1:3">
      <c r="A335">
        <f t="shared" si="65"/>
        <v>334</v>
      </c>
      <c r="B335" s="30">
        <v>42156</v>
      </c>
      <c r="C335">
        <v>1253.9499510000001</v>
      </c>
    </row>
    <row r="336" spans="1:3">
      <c r="A336">
        <f t="shared" si="65"/>
        <v>335</v>
      </c>
      <c r="B336" s="30">
        <v>42186</v>
      </c>
      <c r="C336">
        <v>1238.6800539999999</v>
      </c>
    </row>
    <row r="337" spans="1:3">
      <c r="A337">
        <f t="shared" si="65"/>
        <v>336</v>
      </c>
      <c r="B337" s="30">
        <v>42217</v>
      </c>
      <c r="C337">
        <v>1159.4499510000001</v>
      </c>
    </row>
    <row r="338" spans="1:3">
      <c r="A338">
        <f t="shared" si="65"/>
        <v>337</v>
      </c>
      <c r="B338" s="30">
        <v>42248</v>
      </c>
      <c r="C338">
        <v>1100.6899410000001</v>
      </c>
    </row>
    <row r="339" spans="1:3">
      <c r="A339">
        <f t="shared" si="65"/>
        <v>338</v>
      </c>
      <c r="B339" s="30">
        <v>42278</v>
      </c>
      <c r="C339">
        <v>1161.8599850000001</v>
      </c>
    </row>
    <row r="340" spans="1:3">
      <c r="A340">
        <f t="shared" si="65"/>
        <v>339</v>
      </c>
      <c r="B340" s="30">
        <v>42309</v>
      </c>
      <c r="C340">
        <v>1198.1099850000001</v>
      </c>
    </row>
    <row r="341" spans="1:3">
      <c r="A341">
        <f t="shared" si="65"/>
        <v>340</v>
      </c>
      <c r="B341" s="30">
        <v>42339</v>
      </c>
      <c r="C341">
        <v>1135.8900149999999</v>
      </c>
    </row>
    <row r="342" spans="1:3">
      <c r="A342">
        <f t="shared" si="65"/>
        <v>341</v>
      </c>
      <c r="B342" s="30">
        <v>42370</v>
      </c>
      <c r="C342">
        <v>1035.380005</v>
      </c>
    </row>
    <row r="343" spans="1:3">
      <c r="A343">
        <f t="shared" si="65"/>
        <v>342</v>
      </c>
      <c r="B343" s="30">
        <v>42401</v>
      </c>
      <c r="C343">
        <v>1033.900024</v>
      </c>
    </row>
    <row r="344" spans="1:3">
      <c r="A344">
        <f t="shared" si="65"/>
        <v>343</v>
      </c>
      <c r="B344" s="30">
        <v>42430</v>
      </c>
      <c r="C344">
        <v>1114.030029</v>
      </c>
    </row>
    <row r="345" spans="1:3">
      <c r="A345">
        <f t="shared" si="65"/>
        <v>344</v>
      </c>
      <c r="B345" s="30">
        <v>42461</v>
      </c>
      <c r="C345">
        <v>1130.849976</v>
      </c>
    </row>
    <row r="346" spans="1:3">
      <c r="A346">
        <f t="shared" si="65"/>
        <v>345</v>
      </c>
      <c r="B346" s="30">
        <v>42491</v>
      </c>
      <c r="C346">
        <v>1154.790039</v>
      </c>
    </row>
    <row r="347" spans="1:3">
      <c r="A347">
        <f t="shared" si="65"/>
        <v>346</v>
      </c>
      <c r="B347" s="30">
        <v>42522</v>
      </c>
      <c r="C347">
        <v>1151.920044</v>
      </c>
    </row>
    <row r="348" spans="1:3">
      <c r="A348">
        <f t="shared" si="65"/>
        <v>347</v>
      </c>
      <c r="B348" s="30">
        <v>42552</v>
      </c>
      <c r="C348">
        <v>1219.9399410000001</v>
      </c>
    </row>
    <row r="349" spans="1:3">
      <c r="A349">
        <f t="shared" si="65"/>
        <v>348</v>
      </c>
      <c r="B349" s="30">
        <v>42583</v>
      </c>
      <c r="C349">
        <v>1239.910034</v>
      </c>
    </row>
    <row r="350" spans="1:3">
      <c r="A350">
        <f t="shared" si="65"/>
        <v>349</v>
      </c>
      <c r="B350" s="30">
        <v>42614</v>
      </c>
      <c r="C350">
        <v>1251.650024</v>
      </c>
    </row>
    <row r="351" spans="1:3">
      <c r="A351">
        <f t="shared" si="65"/>
        <v>350</v>
      </c>
      <c r="B351" s="30">
        <v>42644</v>
      </c>
      <c r="C351">
        <v>1191.3900149999999</v>
      </c>
    </row>
    <row r="352" spans="1:3">
      <c r="A352">
        <f t="shared" si="65"/>
        <v>351</v>
      </c>
      <c r="B352" s="30">
        <v>42675</v>
      </c>
      <c r="C352">
        <v>1322.339966</v>
      </c>
    </row>
    <row r="353" spans="1:3">
      <c r="A353">
        <f t="shared" si="65"/>
        <v>352</v>
      </c>
      <c r="B353" s="30">
        <v>42705</v>
      </c>
      <c r="C353">
        <v>1357.130005</v>
      </c>
    </row>
    <row r="354" spans="1:3">
      <c r="A354">
        <f t="shared" si="65"/>
        <v>353</v>
      </c>
      <c r="B354" s="30">
        <v>42736</v>
      </c>
      <c r="C354">
        <v>1361.8199460000001</v>
      </c>
    </row>
    <row r="355" spans="1:3">
      <c r="A355">
        <f t="shared" si="65"/>
        <v>354</v>
      </c>
      <c r="B355" s="30">
        <v>42767</v>
      </c>
      <c r="C355">
        <v>1386.6800539999999</v>
      </c>
    </row>
    <row r="356" spans="1:3">
      <c r="A356">
        <f t="shared" si="65"/>
        <v>355</v>
      </c>
      <c r="B356" s="30">
        <v>42795</v>
      </c>
      <c r="C356">
        <v>1385.920044</v>
      </c>
    </row>
    <row r="357" spans="1:3">
      <c r="A357">
        <f t="shared" si="65"/>
        <v>356</v>
      </c>
      <c r="B357" s="30">
        <v>42826</v>
      </c>
      <c r="C357">
        <v>1400.4300539999999</v>
      </c>
    </row>
    <row r="358" spans="1:3">
      <c r="A358">
        <f t="shared" si="65"/>
        <v>357</v>
      </c>
      <c r="B358" s="30">
        <v>42856</v>
      </c>
      <c r="C358">
        <v>1370.209961</v>
      </c>
    </row>
    <row r="359" spans="1:3">
      <c r="A359">
        <f t="shared" si="65"/>
        <v>358</v>
      </c>
      <c r="B359" s="30">
        <v>42887</v>
      </c>
      <c r="C359">
        <v>1415.3599850000001</v>
      </c>
    </row>
    <row r="360" spans="1:3">
      <c r="A360">
        <f t="shared" si="65"/>
        <v>359</v>
      </c>
      <c r="B360" s="30">
        <v>42917</v>
      </c>
      <c r="C360">
        <v>1425.1400149999999</v>
      </c>
    </row>
    <row r="361" spans="1:3">
      <c r="A361">
        <f t="shared" si="65"/>
        <v>360</v>
      </c>
      <c r="B361" s="30">
        <v>42948</v>
      </c>
      <c r="C361">
        <v>1405.280029</v>
      </c>
    </row>
    <row r="362" spans="1:3">
      <c r="A362">
        <f t="shared" si="65"/>
        <v>361</v>
      </c>
      <c r="B362" s="30">
        <v>42979</v>
      </c>
      <c r="C362">
        <v>1490.8599850000001</v>
      </c>
    </row>
    <row r="363" spans="1:3">
      <c r="A363">
        <f t="shared" si="65"/>
        <v>362</v>
      </c>
      <c r="B363" s="30">
        <v>43009</v>
      </c>
      <c r="C363">
        <v>1502.530029</v>
      </c>
    </row>
    <row r="364" spans="1:3">
      <c r="A364">
        <f t="shared" si="65"/>
        <v>363</v>
      </c>
      <c r="B364" s="30">
        <v>43040</v>
      </c>
      <c r="C364">
        <v>1486.880005</v>
      </c>
    </row>
    <row r="365" spans="1:3">
      <c r="A365">
        <f t="shared" si="65"/>
        <v>364</v>
      </c>
      <c r="B365" s="30">
        <v>43070</v>
      </c>
      <c r="C365">
        <v>1535.51001</v>
      </c>
    </row>
    <row r="366" spans="1:3">
      <c r="A366">
        <f t="shared" si="65"/>
        <v>365</v>
      </c>
      <c r="B366" s="30">
        <v>43101</v>
      </c>
      <c r="C366">
        <v>1574.9799800000001</v>
      </c>
    </row>
    <row r="367" spans="1:3">
      <c r="A367">
        <f t="shared" si="65"/>
        <v>366</v>
      </c>
      <c r="B367" s="30">
        <v>43132</v>
      </c>
      <c r="C367">
        <v>1512.4499510000001</v>
      </c>
    </row>
    <row r="368" spans="1:3">
      <c r="A368">
        <f t="shared" si="65"/>
        <v>367</v>
      </c>
      <c r="B368" s="30">
        <v>43160</v>
      </c>
      <c r="C368">
        <v>1529.4300539999999</v>
      </c>
    </row>
    <row r="369" spans="1:3">
      <c r="A369">
        <f t="shared" si="65"/>
        <v>368</v>
      </c>
      <c r="B369" s="30">
        <v>43191</v>
      </c>
      <c r="C369">
        <v>1541.880005</v>
      </c>
    </row>
    <row r="370" spans="1:3">
      <c r="A370">
        <f t="shared" si="65"/>
        <v>369</v>
      </c>
      <c r="B370" s="30">
        <v>43221</v>
      </c>
      <c r="C370">
        <v>1633.6099850000001</v>
      </c>
    </row>
    <row r="371" spans="1:3">
      <c r="A371">
        <f t="shared" si="65"/>
        <v>370</v>
      </c>
      <c r="B371" s="30">
        <v>43252</v>
      </c>
      <c r="C371">
        <v>1643.0699460000001</v>
      </c>
    </row>
    <row r="372" spans="1:3">
      <c r="A372">
        <f t="shared" si="65"/>
        <v>371</v>
      </c>
      <c r="B372" s="30">
        <v>43282</v>
      </c>
      <c r="C372">
        <v>1670.8000489999999</v>
      </c>
    </row>
    <row r="373" spans="1:3">
      <c r="A373">
        <f t="shared" si="65"/>
        <v>372</v>
      </c>
      <c r="B373" s="30">
        <v>43313</v>
      </c>
      <c r="C373">
        <v>1740.75</v>
      </c>
    </row>
    <row r="374" spans="1:3">
      <c r="A374">
        <f t="shared" si="65"/>
        <v>373</v>
      </c>
      <c r="B374" s="30">
        <v>43344</v>
      </c>
      <c r="C374">
        <v>1696.5699460000001</v>
      </c>
    </row>
    <row r="375" spans="1:3">
      <c r="A375">
        <f t="shared" si="65"/>
        <v>374</v>
      </c>
      <c r="B375" s="30">
        <v>43374</v>
      </c>
      <c r="C375">
        <v>1511.410034</v>
      </c>
    </row>
    <row r="376" spans="1:3">
      <c r="A376">
        <f t="shared" si="65"/>
        <v>375</v>
      </c>
      <c r="B376" s="30">
        <v>43405</v>
      </c>
      <c r="C376">
        <v>1533.2700199999999</v>
      </c>
    </row>
    <row r="377" spans="1:3">
      <c r="A377">
        <f t="shared" si="65"/>
        <v>376</v>
      </c>
      <c r="B377" s="30">
        <v>43435</v>
      </c>
      <c r="C377">
        <v>1477.410034</v>
      </c>
    </row>
    <row r="378" spans="1:3">
      <c r="A378">
        <f t="shared" si="65"/>
        <v>377</v>
      </c>
      <c r="B378" s="30">
        <v>43466</v>
      </c>
      <c r="C378">
        <v>1499.420044</v>
      </c>
    </row>
    <row r="379" spans="1:3">
      <c r="A379">
        <f t="shared" si="65"/>
        <v>378</v>
      </c>
      <c r="B379" s="30">
        <v>43497</v>
      </c>
      <c r="C379">
        <v>1575.5500489999999</v>
      </c>
    </row>
    <row r="380" spans="1:3">
      <c r="A380">
        <f t="shared" si="65"/>
        <v>379</v>
      </c>
      <c r="B380" s="30">
        <v>43525</v>
      </c>
      <c r="C380">
        <v>1539.73999</v>
      </c>
    </row>
    <row r="381" spans="1:3">
      <c r="A381">
        <f t="shared" si="65"/>
        <v>380</v>
      </c>
      <c r="B381" s="30">
        <v>43556</v>
      </c>
      <c r="C381">
        <v>1591.209961</v>
      </c>
    </row>
    <row r="382" spans="1:3">
      <c r="A382">
        <f t="shared" si="65"/>
        <v>381</v>
      </c>
      <c r="B382" s="30">
        <v>43586</v>
      </c>
      <c r="C382">
        <v>1465.48999</v>
      </c>
    </row>
    <row r="383" spans="1:3">
      <c r="A383">
        <f t="shared" si="65"/>
        <v>382</v>
      </c>
      <c r="B383" s="30">
        <v>43617</v>
      </c>
      <c r="C383">
        <v>1566.5699460000001</v>
      </c>
    </row>
    <row r="384" spans="1:3">
      <c r="A384">
        <f t="shared" si="65"/>
        <v>383</v>
      </c>
      <c r="B384" s="30">
        <v>43647</v>
      </c>
      <c r="C384">
        <v>1574.6099850000001</v>
      </c>
    </row>
    <row r="385" spans="1:3">
      <c r="A385">
        <f t="shared" si="65"/>
        <v>384</v>
      </c>
      <c r="B385" s="30">
        <v>43678</v>
      </c>
      <c r="C385">
        <v>1494.839966</v>
      </c>
    </row>
    <row r="386" spans="1:3">
      <c r="A386">
        <f t="shared" si="65"/>
        <v>385</v>
      </c>
      <c r="B386" s="30">
        <v>43709</v>
      </c>
      <c r="C386">
        <v>1523.369995</v>
      </c>
    </row>
    <row r="387" spans="1:3">
      <c r="A387">
        <f t="shared" si="65"/>
        <v>386</v>
      </c>
      <c r="B387" s="30">
        <v>43739</v>
      </c>
      <c r="C387">
        <v>1562.4499510000001</v>
      </c>
    </row>
    <row r="388" spans="1:3">
      <c r="A388">
        <f t="shared" ref="A388:A403" si="66">A387+1</f>
        <v>387</v>
      </c>
      <c r="B388" s="30">
        <v>43770</v>
      </c>
      <c r="C388">
        <v>1624.5</v>
      </c>
    </row>
    <row r="389" spans="1:3">
      <c r="A389">
        <f t="shared" si="66"/>
        <v>388</v>
      </c>
      <c r="B389" s="30">
        <v>43800</v>
      </c>
      <c r="C389">
        <v>1668.469971</v>
      </c>
    </row>
    <row r="390" spans="1:3">
      <c r="A390">
        <f t="shared" si="66"/>
        <v>389</v>
      </c>
      <c r="B390" s="30">
        <v>43831</v>
      </c>
      <c r="C390">
        <v>1614.0600589999999</v>
      </c>
    </row>
    <row r="391" spans="1:3">
      <c r="A391">
        <f t="shared" si="66"/>
        <v>390</v>
      </c>
      <c r="B391" s="30">
        <v>43862</v>
      </c>
      <c r="C391">
        <v>1476.4300539999999</v>
      </c>
    </row>
    <row r="392" spans="1:3">
      <c r="A392">
        <f t="shared" si="66"/>
        <v>391</v>
      </c>
      <c r="B392" s="30">
        <v>43891</v>
      </c>
      <c r="C392">
        <v>1153.099976</v>
      </c>
    </row>
    <row r="393" spans="1:3">
      <c r="A393">
        <f t="shared" si="66"/>
        <v>392</v>
      </c>
      <c r="B393" s="30">
        <v>43922</v>
      </c>
      <c r="C393">
        <v>1310.660034</v>
      </c>
    </row>
    <row r="394" spans="1:3">
      <c r="A394">
        <f t="shared" si="66"/>
        <v>393</v>
      </c>
      <c r="B394" s="30">
        <v>43952</v>
      </c>
      <c r="C394">
        <v>1394.040039</v>
      </c>
    </row>
    <row r="395" spans="1:3">
      <c r="A395">
        <f t="shared" si="66"/>
        <v>394</v>
      </c>
      <c r="B395" s="30">
        <v>43983</v>
      </c>
      <c r="C395">
        <v>1441.369995</v>
      </c>
    </row>
    <row r="396" spans="1:3">
      <c r="A396">
        <f t="shared" si="66"/>
        <v>395</v>
      </c>
      <c r="B396" s="30">
        <v>44013</v>
      </c>
      <c r="C396">
        <v>1480.4300539999999</v>
      </c>
    </row>
    <row r="397" spans="1:3">
      <c r="A397">
        <f t="shared" si="66"/>
        <v>396</v>
      </c>
      <c r="B397" s="30">
        <v>44044</v>
      </c>
      <c r="C397">
        <v>1561.880005</v>
      </c>
    </row>
    <row r="398" spans="1:3">
      <c r="A398">
        <f t="shared" si="66"/>
        <v>397</v>
      </c>
      <c r="B398" s="30">
        <v>44075</v>
      </c>
      <c r="C398">
        <v>1507.6899410000001</v>
      </c>
    </row>
    <row r="399" spans="1:3">
      <c r="A399">
        <f t="shared" si="66"/>
        <v>398</v>
      </c>
      <c r="B399" s="30">
        <v>44105</v>
      </c>
      <c r="C399">
        <v>1538.4799800000001</v>
      </c>
    </row>
    <row r="400" spans="1:3">
      <c r="A400">
        <f t="shared" si="66"/>
        <v>399</v>
      </c>
      <c r="B400" s="30">
        <v>44136</v>
      </c>
      <c r="C400">
        <v>1819.8199460000001</v>
      </c>
    </row>
    <row r="401" spans="1:3">
      <c r="A401">
        <f t="shared" si="66"/>
        <v>400</v>
      </c>
      <c r="B401" s="30">
        <v>44166</v>
      </c>
      <c r="C401">
        <v>1974.8599850000001</v>
      </c>
    </row>
    <row r="402" spans="1:3">
      <c r="A402">
        <f t="shared" si="66"/>
        <v>401</v>
      </c>
      <c r="B402" s="30">
        <v>44197</v>
      </c>
      <c r="C402">
        <v>2160.6201169999999</v>
      </c>
    </row>
    <row r="403" spans="1:3">
      <c r="A403">
        <f t="shared" si="66"/>
        <v>402</v>
      </c>
      <c r="B403" s="30">
        <v>44217</v>
      </c>
      <c r="C403">
        <v>2141.4208979999999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3E30E-F673-4BBF-813C-593DE0603661}">
  <sheetPr codeName="Sheet13"/>
  <dimension ref="A1:P783"/>
  <sheetViews>
    <sheetView workbookViewId="0">
      <selection activeCell="N1" sqref="N1:P1048576"/>
    </sheetView>
  </sheetViews>
  <sheetFormatPr defaultColWidth="9.3046875" defaultRowHeight="14.6"/>
  <cols>
    <col min="1" max="1" width="9.3046875" style="33"/>
    <col min="2" max="2" width="12.3046875" style="38" bestFit="1" customWidth="1"/>
    <col min="3" max="3" width="11.69140625" style="33" bestFit="1" customWidth="1"/>
    <col min="4" max="4" width="9.3046875" style="33"/>
    <col min="5" max="5" width="12" bestFit="1" customWidth="1"/>
    <col min="6" max="6" width="6.69140625" bestFit="1" customWidth="1"/>
    <col min="7" max="7" width="10.69140625" bestFit="1" customWidth="1"/>
    <col min="8" max="8" width="8" customWidth="1"/>
    <col min="9" max="9" width="12.3046875" style="33" bestFit="1" customWidth="1"/>
    <col min="10" max="10" width="10.3046875" bestFit="1" customWidth="1"/>
    <col min="11" max="11" width="9.3046875" style="33"/>
    <col min="12" max="12" width="7.69140625" style="33" bestFit="1" customWidth="1"/>
    <col min="13" max="13" width="9.3046875" style="33"/>
    <col min="17" max="16384" width="9.3046875" style="33"/>
  </cols>
  <sheetData>
    <row r="1" spans="1:16">
      <c r="A1" s="33" t="s">
        <v>108</v>
      </c>
      <c r="B1" s="39" t="s">
        <v>103</v>
      </c>
      <c r="C1" s="32" t="s">
        <v>109</v>
      </c>
      <c r="E1" t="s">
        <v>105</v>
      </c>
      <c r="F1" t="s">
        <v>102</v>
      </c>
      <c r="G1" t="s">
        <v>103</v>
      </c>
      <c r="H1" t="s">
        <v>104</v>
      </c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1:16">
      <c r="A2" s="33">
        <v>1</v>
      </c>
      <c r="B2" s="38">
        <v>43119</v>
      </c>
      <c r="C2" s="34" t="s">
        <v>110</v>
      </c>
      <c r="D2" s="38"/>
      <c r="E2">
        <v>2</v>
      </c>
      <c r="F2" s="43"/>
      <c r="G2" s="30">
        <f>B2</f>
        <v>43119</v>
      </c>
      <c r="H2" t="str">
        <f>VLOOKUP(G2,$B:$C,2,TRUE)</f>
        <v>152.56</v>
      </c>
      <c r="I2" s="30"/>
      <c r="J2">
        <v>1</v>
      </c>
      <c r="K2" s="33" t="str">
        <f>H2</f>
        <v>152.56</v>
      </c>
      <c r="L2" s="58">
        <f>(K3-K2)/K2</f>
        <v>-3.1659674882013718E-2</v>
      </c>
      <c r="N2">
        <v>1</v>
      </c>
      <c r="O2" t="str">
        <f>K2</f>
        <v>152.56</v>
      </c>
      <c r="P2">
        <f>0</f>
        <v>0</v>
      </c>
    </row>
    <row r="3" spans="1:16">
      <c r="A3" s="33">
        <f>A2+1</f>
        <v>2</v>
      </c>
      <c r="B3" s="38">
        <v>43122</v>
      </c>
      <c r="C3" s="34" t="s">
        <v>111</v>
      </c>
      <c r="D3" s="38"/>
      <c r="E3">
        <v>1</v>
      </c>
      <c r="F3" s="43"/>
      <c r="G3" s="30">
        <f>DATE(YEAR(G2)+1,MONTH(G2),DAY(G2))</f>
        <v>43484</v>
      </c>
      <c r="H3" t="str">
        <f t="shared" ref="H3:H4" si="0">VLOOKUP(G3,$B:$C,2,TRUE)</f>
        <v>147.73</v>
      </c>
      <c r="I3" s="30"/>
      <c r="J3">
        <v>2</v>
      </c>
      <c r="K3" s="33" t="str">
        <f>H3</f>
        <v>147.73</v>
      </c>
      <c r="L3" s="58">
        <f t="shared" ref="L3:L66" si="1">(K4-K3)/K3</f>
        <v>0.12319772558045095</v>
      </c>
      <c r="N3">
        <v>2</v>
      </c>
      <c r="O3" t="str">
        <f t="shared" ref="O3:O66" si="2">K3</f>
        <v>147.73</v>
      </c>
      <c r="P3">
        <f>(O4-O2)/O2</f>
        <v>8.7637650760356609E-2</v>
      </c>
    </row>
    <row r="4" spans="1:16">
      <c r="A4" s="33">
        <f t="shared" ref="A4:A67" si="3">A3+1</f>
        <v>3</v>
      </c>
      <c r="B4" s="38">
        <v>43123</v>
      </c>
      <c r="C4" s="34" t="s">
        <v>112</v>
      </c>
      <c r="D4" s="38"/>
      <c r="E4">
        <v>0</v>
      </c>
      <c r="F4" s="43"/>
      <c r="G4" s="30">
        <f>DATE(YEAR(G3)+1,MONTH(G3),DAY(G3))</f>
        <v>43849</v>
      </c>
      <c r="H4" t="str">
        <f t="shared" si="0"/>
        <v>165.93</v>
      </c>
      <c r="I4" s="30"/>
      <c r="J4">
        <v>3</v>
      </c>
      <c r="K4" s="33" t="str">
        <f>H4</f>
        <v>165.93</v>
      </c>
      <c r="L4" s="58">
        <f t="shared" si="1"/>
        <v>-8.0576146567829826E-2</v>
      </c>
      <c r="N4">
        <v>3</v>
      </c>
      <c r="O4" t="str">
        <f t="shared" si="2"/>
        <v>165.93</v>
      </c>
      <c r="P4">
        <f>0</f>
        <v>0</v>
      </c>
    </row>
    <row r="5" spans="1:16">
      <c r="A5" s="33">
        <f t="shared" si="3"/>
        <v>4</v>
      </c>
      <c r="B5" s="38">
        <v>43124</v>
      </c>
      <c r="C5" s="34" t="s">
        <v>113</v>
      </c>
      <c r="D5" s="38"/>
      <c r="F5" s="43"/>
      <c r="G5" s="30"/>
      <c r="I5" s="30"/>
      <c r="J5">
        <v>4</v>
      </c>
      <c r="K5" s="33" t="str">
        <f>K2</f>
        <v>152.56</v>
      </c>
      <c r="L5" s="58">
        <f t="shared" si="1"/>
        <v>-3.1659674882013718E-2</v>
      </c>
      <c r="N5">
        <v>4</v>
      </c>
      <c r="O5" t="str">
        <f t="shared" si="2"/>
        <v>152.56</v>
      </c>
      <c r="P5">
        <f>(O6-O4)/O4</f>
        <v>-0.10968480684626057</v>
      </c>
    </row>
    <row r="6" spans="1:16">
      <c r="A6" s="33">
        <f t="shared" si="3"/>
        <v>5</v>
      </c>
      <c r="B6" s="38">
        <v>43125</v>
      </c>
      <c r="C6" s="34" t="s">
        <v>114</v>
      </c>
      <c r="D6" s="38"/>
      <c r="F6" s="43"/>
      <c r="G6" s="30"/>
      <c r="I6" s="30"/>
      <c r="J6">
        <v>5</v>
      </c>
      <c r="K6" s="33" t="str">
        <f t="shared" ref="K6:K69" si="4">K3</f>
        <v>147.73</v>
      </c>
      <c r="L6" s="58">
        <f t="shared" si="1"/>
        <v>0.12319772558045095</v>
      </c>
      <c r="N6">
        <v>5</v>
      </c>
      <c r="O6" t="str">
        <f t="shared" si="2"/>
        <v>147.73</v>
      </c>
      <c r="P6">
        <f>0</f>
        <v>0</v>
      </c>
    </row>
    <row r="7" spans="1:16">
      <c r="A7" s="33">
        <f t="shared" si="3"/>
        <v>6</v>
      </c>
      <c r="B7" s="38">
        <v>43126</v>
      </c>
      <c r="C7" s="34" t="s">
        <v>115</v>
      </c>
      <c r="D7" s="38"/>
      <c r="F7" s="43"/>
      <c r="G7" s="30"/>
      <c r="J7">
        <v>6</v>
      </c>
      <c r="K7" s="33" t="str">
        <f t="shared" si="4"/>
        <v>165.93</v>
      </c>
      <c r="L7" s="58">
        <f t="shared" si="1"/>
        <v>-8.0576146567829826E-2</v>
      </c>
      <c r="N7">
        <v>6</v>
      </c>
      <c r="O7" t="str">
        <f t="shared" si="2"/>
        <v>165.93</v>
      </c>
      <c r="P7">
        <f t="shared" ref="P7" si="5">(O8-O6)/O6</f>
        <v>3.2694781019427417E-2</v>
      </c>
    </row>
    <row r="8" spans="1:16">
      <c r="A8" s="33">
        <f t="shared" si="3"/>
        <v>7</v>
      </c>
      <c r="B8" s="38">
        <v>43129</v>
      </c>
      <c r="C8" s="34" t="s">
        <v>116</v>
      </c>
      <c r="D8" s="38"/>
      <c r="F8" s="43"/>
      <c r="G8" s="30"/>
      <c r="J8">
        <v>7</v>
      </c>
      <c r="K8" s="33" t="str">
        <f t="shared" si="4"/>
        <v>152.56</v>
      </c>
      <c r="L8" s="58">
        <f t="shared" si="1"/>
        <v>-3.1659674882013718E-2</v>
      </c>
      <c r="N8">
        <v>7</v>
      </c>
      <c r="O8" t="str">
        <f t="shared" si="2"/>
        <v>152.56</v>
      </c>
      <c r="P8">
        <f>0</f>
        <v>0</v>
      </c>
    </row>
    <row r="9" spans="1:16">
      <c r="A9" s="33">
        <f t="shared" si="3"/>
        <v>8</v>
      </c>
      <c r="B9" s="38">
        <v>43130</v>
      </c>
      <c r="C9" s="34" t="s">
        <v>117</v>
      </c>
      <c r="D9" s="38"/>
      <c r="F9" s="43"/>
      <c r="G9" s="30"/>
      <c r="J9">
        <v>8</v>
      </c>
      <c r="K9" s="33" t="str">
        <f t="shared" si="4"/>
        <v>147.73</v>
      </c>
      <c r="L9" s="58">
        <f t="shared" si="1"/>
        <v>0.12319772558045095</v>
      </c>
      <c r="N9">
        <v>8</v>
      </c>
      <c r="O9" t="str">
        <f t="shared" si="2"/>
        <v>147.73</v>
      </c>
      <c r="P9">
        <f t="shared" ref="P9" si="6">(O10-O8)/O8</f>
        <v>8.7637650760356609E-2</v>
      </c>
    </row>
    <row r="10" spans="1:16">
      <c r="A10" s="33">
        <f t="shared" si="3"/>
        <v>9</v>
      </c>
      <c r="B10" s="38">
        <v>43131</v>
      </c>
      <c r="C10" s="34" t="s">
        <v>118</v>
      </c>
      <c r="D10" s="38"/>
      <c r="F10" s="43"/>
      <c r="G10" s="30"/>
      <c r="J10">
        <v>9</v>
      </c>
      <c r="K10" s="33" t="str">
        <f t="shared" si="4"/>
        <v>165.93</v>
      </c>
      <c r="L10" s="58">
        <f t="shared" si="1"/>
        <v>-8.0576146567829826E-2</v>
      </c>
      <c r="N10">
        <v>9</v>
      </c>
      <c r="O10" t="str">
        <f t="shared" si="2"/>
        <v>165.93</v>
      </c>
      <c r="P10">
        <f>0</f>
        <v>0</v>
      </c>
    </row>
    <row r="11" spans="1:16">
      <c r="A11" s="33">
        <f t="shared" si="3"/>
        <v>10</v>
      </c>
      <c r="B11" s="38">
        <v>43132</v>
      </c>
      <c r="C11" s="34" t="s">
        <v>119</v>
      </c>
      <c r="D11" s="38"/>
      <c r="F11" s="43"/>
      <c r="G11" s="30"/>
      <c r="J11">
        <v>10</v>
      </c>
      <c r="K11" s="33" t="str">
        <f t="shared" si="4"/>
        <v>152.56</v>
      </c>
      <c r="L11" s="58">
        <f t="shared" si="1"/>
        <v>-3.1659674882013718E-2</v>
      </c>
      <c r="N11">
        <v>10</v>
      </c>
      <c r="O11" t="str">
        <f t="shared" si="2"/>
        <v>152.56</v>
      </c>
      <c r="P11">
        <f t="shared" ref="P11" si="7">(O12-O10)/O10</f>
        <v>-0.10968480684626057</v>
      </c>
    </row>
    <row r="12" spans="1:16">
      <c r="A12" s="33">
        <f t="shared" si="3"/>
        <v>11</v>
      </c>
      <c r="B12" s="38">
        <v>43133</v>
      </c>
      <c r="C12" s="34" t="s">
        <v>120</v>
      </c>
      <c r="D12" s="38"/>
      <c r="F12" s="43"/>
      <c r="G12" s="30"/>
      <c r="J12">
        <v>11</v>
      </c>
      <c r="K12" s="33" t="str">
        <f t="shared" si="4"/>
        <v>147.73</v>
      </c>
      <c r="L12" s="58">
        <f t="shared" si="1"/>
        <v>0.12319772558045095</v>
      </c>
      <c r="N12">
        <v>11</v>
      </c>
      <c r="O12" t="str">
        <f t="shared" si="2"/>
        <v>147.73</v>
      </c>
      <c r="P12">
        <f>0</f>
        <v>0</v>
      </c>
    </row>
    <row r="13" spans="1:16">
      <c r="A13" s="33">
        <f t="shared" si="3"/>
        <v>12</v>
      </c>
      <c r="B13" s="38">
        <v>43136</v>
      </c>
      <c r="C13" s="34" t="s">
        <v>121</v>
      </c>
      <c r="D13" s="38"/>
      <c r="J13">
        <v>12</v>
      </c>
      <c r="K13" s="33" t="str">
        <f t="shared" si="4"/>
        <v>165.93</v>
      </c>
      <c r="L13" s="58">
        <f t="shared" si="1"/>
        <v>-8.0576146567829826E-2</v>
      </c>
      <c r="N13">
        <v>12</v>
      </c>
      <c r="O13" t="str">
        <f t="shared" si="2"/>
        <v>165.93</v>
      </c>
      <c r="P13">
        <f t="shared" ref="P13" si="8">(O14-O12)/O12</f>
        <v>3.2694781019427417E-2</v>
      </c>
    </row>
    <row r="14" spans="1:16">
      <c r="A14" s="33">
        <f t="shared" si="3"/>
        <v>13</v>
      </c>
      <c r="B14" s="38">
        <v>43137</v>
      </c>
      <c r="C14" s="34" t="s">
        <v>122</v>
      </c>
      <c r="D14" s="38"/>
      <c r="J14">
        <v>13</v>
      </c>
      <c r="K14" s="33" t="str">
        <f t="shared" si="4"/>
        <v>152.56</v>
      </c>
      <c r="L14" s="58">
        <f t="shared" si="1"/>
        <v>-3.1659674882013718E-2</v>
      </c>
      <c r="N14">
        <v>13</v>
      </c>
      <c r="O14" t="str">
        <f t="shared" si="2"/>
        <v>152.56</v>
      </c>
      <c r="P14">
        <f>0</f>
        <v>0</v>
      </c>
    </row>
    <row r="15" spans="1:16">
      <c r="A15" s="33">
        <f t="shared" si="3"/>
        <v>14</v>
      </c>
      <c r="B15" s="38">
        <v>43138</v>
      </c>
      <c r="C15" s="34" t="s">
        <v>123</v>
      </c>
      <c r="D15" s="38"/>
      <c r="J15">
        <v>14</v>
      </c>
      <c r="K15" s="33" t="str">
        <f t="shared" si="4"/>
        <v>147.73</v>
      </c>
      <c r="L15" s="58">
        <f t="shared" si="1"/>
        <v>0.12319772558045095</v>
      </c>
      <c r="N15">
        <v>14</v>
      </c>
      <c r="O15" t="str">
        <f t="shared" si="2"/>
        <v>147.73</v>
      </c>
      <c r="P15">
        <f t="shared" ref="P15" si="9">(O16-O14)/O14</f>
        <v>8.7637650760356609E-2</v>
      </c>
    </row>
    <row r="16" spans="1:16">
      <c r="A16" s="33">
        <f t="shared" si="3"/>
        <v>15</v>
      </c>
      <c r="B16" s="38">
        <v>43139</v>
      </c>
      <c r="C16" s="34" t="s">
        <v>124</v>
      </c>
      <c r="D16" s="38"/>
      <c r="J16">
        <v>15</v>
      </c>
      <c r="K16" s="33" t="str">
        <f t="shared" si="4"/>
        <v>165.93</v>
      </c>
      <c r="L16" s="58">
        <f t="shared" si="1"/>
        <v>-8.0576146567829826E-2</v>
      </c>
      <c r="N16">
        <v>15</v>
      </c>
      <c r="O16" t="str">
        <f t="shared" si="2"/>
        <v>165.93</v>
      </c>
      <c r="P16">
        <f>0</f>
        <v>0</v>
      </c>
    </row>
    <row r="17" spans="1:16">
      <c r="A17" s="33">
        <f t="shared" si="3"/>
        <v>16</v>
      </c>
      <c r="B17" s="38">
        <v>43140</v>
      </c>
      <c r="C17" s="34" t="s">
        <v>125</v>
      </c>
      <c r="D17" s="38"/>
      <c r="J17">
        <v>16</v>
      </c>
      <c r="K17" s="33" t="str">
        <f t="shared" si="4"/>
        <v>152.56</v>
      </c>
      <c r="L17" s="58">
        <f t="shared" si="1"/>
        <v>-3.1659674882013718E-2</v>
      </c>
      <c r="N17">
        <v>16</v>
      </c>
      <c r="O17" t="str">
        <f t="shared" si="2"/>
        <v>152.56</v>
      </c>
      <c r="P17">
        <f t="shared" ref="P17" si="10">(O18-O16)/O16</f>
        <v>-0.10968480684626057</v>
      </c>
    </row>
    <row r="18" spans="1:16">
      <c r="A18" s="33">
        <f t="shared" si="3"/>
        <v>17</v>
      </c>
      <c r="B18" s="38">
        <v>43143</v>
      </c>
      <c r="C18" s="34" t="s">
        <v>126</v>
      </c>
      <c r="D18" s="38"/>
      <c r="J18">
        <v>17</v>
      </c>
      <c r="K18" s="33" t="str">
        <f t="shared" si="4"/>
        <v>147.73</v>
      </c>
      <c r="L18" s="58">
        <f t="shared" si="1"/>
        <v>0.12319772558045095</v>
      </c>
      <c r="N18">
        <v>17</v>
      </c>
      <c r="O18" t="str">
        <f t="shared" si="2"/>
        <v>147.73</v>
      </c>
      <c r="P18">
        <f>0</f>
        <v>0</v>
      </c>
    </row>
    <row r="19" spans="1:16">
      <c r="A19" s="33">
        <f t="shared" si="3"/>
        <v>18</v>
      </c>
      <c r="B19" s="38">
        <v>43144</v>
      </c>
      <c r="C19" s="34" t="s">
        <v>127</v>
      </c>
      <c r="D19" s="38"/>
      <c r="J19">
        <v>18</v>
      </c>
      <c r="K19" s="33" t="str">
        <f t="shared" si="4"/>
        <v>165.93</v>
      </c>
      <c r="L19" s="58">
        <f t="shared" si="1"/>
        <v>-8.0576146567829826E-2</v>
      </c>
      <c r="N19">
        <v>18</v>
      </c>
      <c r="O19" t="str">
        <f t="shared" si="2"/>
        <v>165.93</v>
      </c>
      <c r="P19">
        <f t="shared" ref="P19" si="11">(O20-O18)/O18</f>
        <v>3.2694781019427417E-2</v>
      </c>
    </row>
    <row r="20" spans="1:16">
      <c r="A20" s="33">
        <f t="shared" si="3"/>
        <v>19</v>
      </c>
      <c r="B20" s="38">
        <v>43145</v>
      </c>
      <c r="C20" s="34" t="s">
        <v>128</v>
      </c>
      <c r="D20" s="38"/>
      <c r="J20">
        <v>19</v>
      </c>
      <c r="K20" s="33" t="str">
        <f t="shared" si="4"/>
        <v>152.56</v>
      </c>
      <c r="L20" s="58">
        <f t="shared" si="1"/>
        <v>-3.1659674882013718E-2</v>
      </c>
      <c r="N20">
        <v>19</v>
      </c>
      <c r="O20" t="str">
        <f t="shared" si="2"/>
        <v>152.56</v>
      </c>
      <c r="P20">
        <f>0</f>
        <v>0</v>
      </c>
    </row>
    <row r="21" spans="1:16">
      <c r="A21" s="33">
        <f t="shared" si="3"/>
        <v>20</v>
      </c>
      <c r="B21" s="38">
        <v>43146</v>
      </c>
      <c r="C21" s="34" t="s">
        <v>129</v>
      </c>
      <c r="D21" s="38"/>
      <c r="J21">
        <v>20</v>
      </c>
      <c r="K21" s="33" t="str">
        <f t="shared" si="4"/>
        <v>147.73</v>
      </c>
      <c r="L21" s="58">
        <f t="shared" si="1"/>
        <v>0.12319772558045095</v>
      </c>
      <c r="N21">
        <v>20</v>
      </c>
      <c r="O21" t="str">
        <f t="shared" si="2"/>
        <v>147.73</v>
      </c>
      <c r="P21">
        <f t="shared" ref="P21" si="12">(O22-O20)/O20</f>
        <v>8.7637650760356609E-2</v>
      </c>
    </row>
    <row r="22" spans="1:16">
      <c r="A22" s="33">
        <f t="shared" si="3"/>
        <v>21</v>
      </c>
      <c r="B22" s="38">
        <v>43147</v>
      </c>
      <c r="C22" s="34" t="s">
        <v>130</v>
      </c>
      <c r="D22" s="38"/>
      <c r="J22">
        <v>21</v>
      </c>
      <c r="K22" s="33" t="str">
        <f t="shared" si="4"/>
        <v>165.93</v>
      </c>
      <c r="L22" s="58">
        <f t="shared" si="1"/>
        <v>-8.0576146567829826E-2</v>
      </c>
      <c r="N22">
        <v>21</v>
      </c>
      <c r="O22" t="str">
        <f t="shared" si="2"/>
        <v>165.93</v>
      </c>
      <c r="P22">
        <f>0</f>
        <v>0</v>
      </c>
    </row>
    <row r="23" spans="1:16">
      <c r="A23" s="33">
        <f t="shared" si="3"/>
        <v>22</v>
      </c>
      <c r="B23" s="38">
        <v>43150</v>
      </c>
      <c r="C23" s="34" t="s">
        <v>130</v>
      </c>
      <c r="D23" s="38"/>
      <c r="J23">
        <v>22</v>
      </c>
      <c r="K23" s="33" t="str">
        <f t="shared" si="4"/>
        <v>152.56</v>
      </c>
      <c r="L23" s="58">
        <f t="shared" si="1"/>
        <v>-3.1659674882013718E-2</v>
      </c>
      <c r="N23">
        <v>22</v>
      </c>
      <c r="O23" t="str">
        <f t="shared" si="2"/>
        <v>152.56</v>
      </c>
      <c r="P23">
        <f t="shared" ref="P23" si="13">(O24-O22)/O22</f>
        <v>-0.10968480684626057</v>
      </c>
    </row>
    <row r="24" spans="1:16">
      <c r="A24" s="33">
        <f t="shared" si="3"/>
        <v>23</v>
      </c>
      <c r="B24" s="38">
        <v>43151</v>
      </c>
      <c r="C24" s="34" t="s">
        <v>131</v>
      </c>
      <c r="D24" s="38"/>
      <c r="J24">
        <v>23</v>
      </c>
      <c r="K24" s="33" t="str">
        <f t="shared" si="4"/>
        <v>147.73</v>
      </c>
      <c r="L24" s="58">
        <f t="shared" si="1"/>
        <v>0.12319772558045095</v>
      </c>
      <c r="N24">
        <v>23</v>
      </c>
      <c r="O24" t="str">
        <f t="shared" si="2"/>
        <v>147.73</v>
      </c>
      <c r="P24">
        <f>0</f>
        <v>0</v>
      </c>
    </row>
    <row r="25" spans="1:16">
      <c r="A25" s="33">
        <f t="shared" si="3"/>
        <v>24</v>
      </c>
      <c r="B25" s="38">
        <v>43152</v>
      </c>
      <c r="C25" s="34" t="s">
        <v>132</v>
      </c>
      <c r="D25" s="38"/>
      <c r="J25">
        <v>24</v>
      </c>
      <c r="K25" s="33" t="str">
        <f t="shared" si="4"/>
        <v>165.93</v>
      </c>
      <c r="L25" s="58">
        <f t="shared" si="1"/>
        <v>-8.0576146567829826E-2</v>
      </c>
      <c r="N25">
        <v>24</v>
      </c>
      <c r="O25" t="str">
        <f t="shared" si="2"/>
        <v>165.93</v>
      </c>
      <c r="P25">
        <f t="shared" ref="P25" si="14">(O26-O24)/O24</f>
        <v>3.2694781019427417E-2</v>
      </c>
    </row>
    <row r="26" spans="1:16">
      <c r="A26" s="33">
        <f t="shared" si="3"/>
        <v>25</v>
      </c>
      <c r="B26" s="38">
        <v>43153</v>
      </c>
      <c r="C26" s="34" t="s">
        <v>133</v>
      </c>
      <c r="D26" s="38"/>
      <c r="J26">
        <v>25</v>
      </c>
      <c r="K26" s="33" t="str">
        <f t="shared" si="4"/>
        <v>152.56</v>
      </c>
      <c r="L26" s="58">
        <f t="shared" si="1"/>
        <v>-3.1659674882013718E-2</v>
      </c>
      <c r="N26">
        <v>25</v>
      </c>
      <c r="O26" t="str">
        <f t="shared" si="2"/>
        <v>152.56</v>
      </c>
      <c r="P26">
        <f>0</f>
        <v>0</v>
      </c>
    </row>
    <row r="27" spans="1:16">
      <c r="A27" s="33">
        <f t="shared" si="3"/>
        <v>26</v>
      </c>
      <c r="B27" s="38">
        <v>43154</v>
      </c>
      <c r="C27" s="34" t="s">
        <v>134</v>
      </c>
      <c r="D27" s="38"/>
      <c r="J27">
        <v>26</v>
      </c>
      <c r="K27" s="33" t="str">
        <f t="shared" si="4"/>
        <v>147.73</v>
      </c>
      <c r="L27" s="58">
        <f t="shared" si="1"/>
        <v>0.12319772558045095</v>
      </c>
      <c r="N27">
        <v>26</v>
      </c>
      <c r="O27" t="str">
        <f t="shared" si="2"/>
        <v>147.73</v>
      </c>
      <c r="P27">
        <f t="shared" ref="P27" si="15">(O28-O26)/O26</f>
        <v>8.7637650760356609E-2</v>
      </c>
    </row>
    <row r="28" spans="1:16">
      <c r="A28" s="33">
        <f t="shared" si="3"/>
        <v>27</v>
      </c>
      <c r="B28" s="38">
        <v>43157</v>
      </c>
      <c r="C28" s="34" t="s">
        <v>135</v>
      </c>
      <c r="D28" s="38"/>
      <c r="J28">
        <v>27</v>
      </c>
      <c r="K28" s="33" t="str">
        <f t="shared" si="4"/>
        <v>165.93</v>
      </c>
      <c r="L28" s="58">
        <f t="shared" si="1"/>
        <v>-8.0576146567829826E-2</v>
      </c>
      <c r="N28">
        <v>27</v>
      </c>
      <c r="O28" t="str">
        <f t="shared" si="2"/>
        <v>165.93</v>
      </c>
      <c r="P28">
        <f>0</f>
        <v>0</v>
      </c>
    </row>
    <row r="29" spans="1:16">
      <c r="A29" s="33">
        <f t="shared" si="3"/>
        <v>28</v>
      </c>
      <c r="B29" s="38">
        <v>43158</v>
      </c>
      <c r="C29" s="34" t="s">
        <v>136</v>
      </c>
      <c r="D29" s="38"/>
      <c r="J29">
        <v>28</v>
      </c>
      <c r="K29" s="33" t="str">
        <f t="shared" si="4"/>
        <v>152.56</v>
      </c>
      <c r="L29" s="58">
        <f t="shared" si="1"/>
        <v>-3.1659674882013718E-2</v>
      </c>
      <c r="N29">
        <v>28</v>
      </c>
      <c r="O29" t="str">
        <f t="shared" si="2"/>
        <v>152.56</v>
      </c>
      <c r="P29">
        <f t="shared" ref="P29" si="16">(O30-O28)/O28</f>
        <v>-0.10968480684626057</v>
      </c>
    </row>
    <row r="30" spans="1:16">
      <c r="A30" s="33">
        <f t="shared" si="3"/>
        <v>29</v>
      </c>
      <c r="B30" s="38">
        <v>43159</v>
      </c>
      <c r="C30" s="34" t="s">
        <v>137</v>
      </c>
      <c r="D30" s="38"/>
      <c r="J30">
        <v>29</v>
      </c>
      <c r="K30" s="33" t="str">
        <f t="shared" si="4"/>
        <v>147.73</v>
      </c>
      <c r="L30" s="58">
        <f t="shared" si="1"/>
        <v>0.12319772558045095</v>
      </c>
      <c r="N30">
        <v>29</v>
      </c>
      <c r="O30" t="str">
        <f t="shared" si="2"/>
        <v>147.73</v>
      </c>
      <c r="P30">
        <f>0</f>
        <v>0</v>
      </c>
    </row>
    <row r="31" spans="1:16">
      <c r="A31" s="33">
        <f t="shared" si="3"/>
        <v>30</v>
      </c>
      <c r="B31" s="38">
        <v>43160</v>
      </c>
      <c r="C31" s="34" t="s">
        <v>138</v>
      </c>
      <c r="D31" s="38"/>
      <c r="J31">
        <v>30</v>
      </c>
      <c r="K31" s="33" t="str">
        <f t="shared" si="4"/>
        <v>165.93</v>
      </c>
      <c r="L31" s="58">
        <f t="shared" si="1"/>
        <v>-8.0576146567829826E-2</v>
      </c>
      <c r="N31">
        <v>30</v>
      </c>
      <c r="O31" t="str">
        <f t="shared" si="2"/>
        <v>165.93</v>
      </c>
      <c r="P31">
        <f t="shared" ref="P31" si="17">(O32-O30)/O30</f>
        <v>3.2694781019427417E-2</v>
      </c>
    </row>
    <row r="32" spans="1:16">
      <c r="A32" s="33">
        <f t="shared" si="3"/>
        <v>31</v>
      </c>
      <c r="B32" s="38">
        <v>43161</v>
      </c>
      <c r="C32" s="34" t="s">
        <v>139</v>
      </c>
      <c r="D32" s="38"/>
      <c r="J32">
        <v>31</v>
      </c>
      <c r="K32" s="33" t="str">
        <f t="shared" si="4"/>
        <v>152.56</v>
      </c>
      <c r="L32" s="58">
        <f t="shared" si="1"/>
        <v>-3.1659674882013718E-2</v>
      </c>
      <c r="N32">
        <v>31</v>
      </c>
      <c r="O32" t="str">
        <f t="shared" si="2"/>
        <v>152.56</v>
      </c>
      <c r="P32">
        <f>0</f>
        <v>0</v>
      </c>
    </row>
    <row r="33" spans="1:16">
      <c r="A33" s="33">
        <f t="shared" si="3"/>
        <v>32</v>
      </c>
      <c r="B33" s="38">
        <v>43164</v>
      </c>
      <c r="C33" s="34" t="s">
        <v>140</v>
      </c>
      <c r="D33" s="38"/>
      <c r="J33">
        <v>32</v>
      </c>
      <c r="K33" s="33" t="str">
        <f t="shared" si="4"/>
        <v>147.73</v>
      </c>
      <c r="L33" s="58">
        <f t="shared" si="1"/>
        <v>0.12319772558045095</v>
      </c>
      <c r="N33">
        <v>32</v>
      </c>
      <c r="O33" t="str">
        <f t="shared" si="2"/>
        <v>147.73</v>
      </c>
      <c r="P33">
        <f t="shared" ref="P33" si="18">(O34-O32)/O32</f>
        <v>8.7637650760356609E-2</v>
      </c>
    </row>
    <row r="34" spans="1:16">
      <c r="A34" s="33">
        <f t="shared" si="3"/>
        <v>33</v>
      </c>
      <c r="B34" s="38">
        <v>43165</v>
      </c>
      <c r="C34" s="34" t="s">
        <v>130</v>
      </c>
      <c r="D34" s="38"/>
      <c r="J34">
        <v>33</v>
      </c>
      <c r="K34" s="33" t="str">
        <f t="shared" si="4"/>
        <v>165.93</v>
      </c>
      <c r="L34" s="58">
        <f t="shared" si="1"/>
        <v>-8.0576146567829826E-2</v>
      </c>
      <c r="N34">
        <v>33</v>
      </c>
      <c r="O34" t="str">
        <f t="shared" si="2"/>
        <v>165.93</v>
      </c>
      <c r="P34">
        <f>0</f>
        <v>0</v>
      </c>
    </row>
    <row r="35" spans="1:16">
      <c r="A35" s="33">
        <f t="shared" si="3"/>
        <v>34</v>
      </c>
      <c r="B35" s="38">
        <v>43166</v>
      </c>
      <c r="C35" s="34" t="s">
        <v>141</v>
      </c>
      <c r="D35" s="38"/>
      <c r="J35">
        <v>34</v>
      </c>
      <c r="K35" s="33" t="str">
        <f t="shared" si="4"/>
        <v>152.56</v>
      </c>
      <c r="L35" s="58">
        <f t="shared" si="1"/>
        <v>-3.1659674882013718E-2</v>
      </c>
      <c r="N35">
        <v>34</v>
      </c>
      <c r="O35" t="str">
        <f t="shared" si="2"/>
        <v>152.56</v>
      </c>
      <c r="P35">
        <f t="shared" ref="P35" si="19">(O36-O34)/O34</f>
        <v>-0.10968480684626057</v>
      </c>
    </row>
    <row r="36" spans="1:16">
      <c r="A36" s="33">
        <f t="shared" si="3"/>
        <v>35</v>
      </c>
      <c r="B36" s="38">
        <v>43167</v>
      </c>
      <c r="C36" s="34" t="s">
        <v>142</v>
      </c>
      <c r="D36" s="38"/>
      <c r="J36">
        <v>35</v>
      </c>
      <c r="K36" s="33" t="str">
        <f t="shared" si="4"/>
        <v>147.73</v>
      </c>
      <c r="L36" s="58">
        <f t="shared" si="1"/>
        <v>0.12319772558045095</v>
      </c>
      <c r="N36">
        <v>35</v>
      </c>
      <c r="O36" t="str">
        <f t="shared" si="2"/>
        <v>147.73</v>
      </c>
      <c r="P36">
        <f>0</f>
        <v>0</v>
      </c>
    </row>
    <row r="37" spans="1:16">
      <c r="A37" s="33">
        <f t="shared" si="3"/>
        <v>36</v>
      </c>
      <c r="B37" s="38">
        <v>43168</v>
      </c>
      <c r="C37" s="34" t="s">
        <v>135</v>
      </c>
      <c r="D37" s="38"/>
      <c r="J37">
        <v>36</v>
      </c>
      <c r="K37" s="33" t="str">
        <f t="shared" si="4"/>
        <v>165.93</v>
      </c>
      <c r="L37" s="58">
        <f t="shared" si="1"/>
        <v>-8.0576146567829826E-2</v>
      </c>
      <c r="N37">
        <v>36</v>
      </c>
      <c r="O37" t="str">
        <f t="shared" si="2"/>
        <v>165.93</v>
      </c>
      <c r="P37">
        <f t="shared" ref="P37" si="20">(O38-O36)/O36</f>
        <v>3.2694781019427417E-2</v>
      </c>
    </row>
    <row r="38" spans="1:16">
      <c r="A38" s="33">
        <f t="shared" si="3"/>
        <v>37</v>
      </c>
      <c r="B38" s="38">
        <v>43171</v>
      </c>
      <c r="C38" s="34" t="s">
        <v>143</v>
      </c>
      <c r="D38" s="38"/>
      <c r="J38">
        <v>37</v>
      </c>
      <c r="K38" s="33" t="str">
        <f t="shared" si="4"/>
        <v>152.56</v>
      </c>
      <c r="L38" s="58">
        <f t="shared" si="1"/>
        <v>-3.1659674882013718E-2</v>
      </c>
      <c r="N38">
        <v>37</v>
      </c>
      <c r="O38" t="str">
        <f t="shared" si="2"/>
        <v>152.56</v>
      </c>
      <c r="P38">
        <f>0</f>
        <v>0</v>
      </c>
    </row>
    <row r="39" spans="1:16">
      <c r="A39" s="33">
        <f t="shared" si="3"/>
        <v>38</v>
      </c>
      <c r="B39" s="38">
        <v>43172</v>
      </c>
      <c r="C39" s="34" t="s">
        <v>144</v>
      </c>
      <c r="D39" s="38"/>
      <c r="J39">
        <v>38</v>
      </c>
      <c r="K39" s="33" t="str">
        <f t="shared" si="4"/>
        <v>147.73</v>
      </c>
      <c r="L39" s="58">
        <f t="shared" si="1"/>
        <v>0.12319772558045095</v>
      </c>
      <c r="N39">
        <v>38</v>
      </c>
      <c r="O39" t="str">
        <f t="shared" si="2"/>
        <v>147.73</v>
      </c>
      <c r="P39">
        <f t="shared" ref="P39" si="21">(O40-O38)/O38</f>
        <v>8.7637650760356609E-2</v>
      </c>
    </row>
    <row r="40" spans="1:16">
      <c r="A40" s="33">
        <f t="shared" si="3"/>
        <v>39</v>
      </c>
      <c r="B40" s="38">
        <v>43173</v>
      </c>
      <c r="C40" s="34" t="s">
        <v>145</v>
      </c>
      <c r="D40" s="38"/>
      <c r="J40">
        <v>39</v>
      </c>
      <c r="K40" s="33" t="str">
        <f t="shared" si="4"/>
        <v>165.93</v>
      </c>
      <c r="L40" s="58">
        <f t="shared" si="1"/>
        <v>-8.0576146567829826E-2</v>
      </c>
      <c r="N40">
        <v>39</v>
      </c>
      <c r="O40" t="str">
        <f t="shared" si="2"/>
        <v>165.93</v>
      </c>
      <c r="P40">
        <f>0</f>
        <v>0</v>
      </c>
    </row>
    <row r="41" spans="1:16">
      <c r="A41" s="33">
        <f t="shared" si="3"/>
        <v>40</v>
      </c>
      <c r="B41" s="38">
        <v>43174</v>
      </c>
      <c r="C41" s="34" t="s">
        <v>146</v>
      </c>
      <c r="D41" s="38"/>
      <c r="J41">
        <v>40</v>
      </c>
      <c r="K41" s="33" t="str">
        <f t="shared" si="4"/>
        <v>152.56</v>
      </c>
      <c r="L41" s="58">
        <f t="shared" si="1"/>
        <v>-3.1659674882013718E-2</v>
      </c>
      <c r="N41">
        <v>40</v>
      </c>
      <c r="O41" t="str">
        <f t="shared" si="2"/>
        <v>152.56</v>
      </c>
      <c r="P41">
        <f t="shared" ref="P41" si="22">(O42-O40)/O40</f>
        <v>-0.10968480684626057</v>
      </c>
    </row>
    <row r="42" spans="1:16">
      <c r="A42" s="33">
        <f t="shared" si="3"/>
        <v>41</v>
      </c>
      <c r="B42" s="38">
        <v>43175</v>
      </c>
      <c r="C42" s="34" t="s">
        <v>147</v>
      </c>
      <c r="D42" s="38"/>
      <c r="J42">
        <v>41</v>
      </c>
      <c r="K42" s="33" t="str">
        <f t="shared" si="4"/>
        <v>147.73</v>
      </c>
      <c r="L42" s="58">
        <f t="shared" si="1"/>
        <v>0.12319772558045095</v>
      </c>
      <c r="N42">
        <v>41</v>
      </c>
      <c r="O42" t="str">
        <f t="shared" si="2"/>
        <v>147.73</v>
      </c>
      <c r="P42">
        <f>0</f>
        <v>0</v>
      </c>
    </row>
    <row r="43" spans="1:16">
      <c r="A43" s="33">
        <f t="shared" si="3"/>
        <v>42</v>
      </c>
      <c r="B43" s="38">
        <v>43178</v>
      </c>
      <c r="C43" s="34" t="s">
        <v>148</v>
      </c>
      <c r="D43" s="38"/>
      <c r="J43">
        <v>42</v>
      </c>
      <c r="K43" s="33" t="str">
        <f t="shared" si="4"/>
        <v>165.93</v>
      </c>
      <c r="L43" s="58">
        <f t="shared" si="1"/>
        <v>-8.0576146567829826E-2</v>
      </c>
      <c r="N43">
        <v>42</v>
      </c>
      <c r="O43" t="str">
        <f t="shared" si="2"/>
        <v>165.93</v>
      </c>
      <c r="P43">
        <f t="shared" ref="P43" si="23">(O44-O42)/O42</f>
        <v>3.2694781019427417E-2</v>
      </c>
    </row>
    <row r="44" spans="1:16">
      <c r="A44" s="33">
        <f t="shared" si="3"/>
        <v>43</v>
      </c>
      <c r="B44" s="38">
        <v>43179</v>
      </c>
      <c r="C44" s="34" t="s">
        <v>141</v>
      </c>
      <c r="D44" s="38"/>
      <c r="J44">
        <v>43</v>
      </c>
      <c r="K44" s="33" t="str">
        <f t="shared" si="4"/>
        <v>152.56</v>
      </c>
      <c r="L44" s="58">
        <f t="shared" si="1"/>
        <v>-3.1659674882013718E-2</v>
      </c>
      <c r="N44">
        <v>43</v>
      </c>
      <c r="O44" t="str">
        <f t="shared" si="2"/>
        <v>152.56</v>
      </c>
      <c r="P44">
        <f>0</f>
        <v>0</v>
      </c>
    </row>
    <row r="45" spans="1:16">
      <c r="A45" s="33">
        <f t="shared" si="3"/>
        <v>44</v>
      </c>
      <c r="B45" s="38">
        <v>43180</v>
      </c>
      <c r="C45" s="34" t="s">
        <v>148</v>
      </c>
      <c r="D45" s="38"/>
      <c r="J45">
        <v>44</v>
      </c>
      <c r="K45" s="33" t="str">
        <f t="shared" si="4"/>
        <v>147.73</v>
      </c>
      <c r="L45" s="58">
        <f t="shared" si="1"/>
        <v>0.12319772558045095</v>
      </c>
      <c r="N45">
        <v>44</v>
      </c>
      <c r="O45" t="str">
        <f t="shared" si="2"/>
        <v>147.73</v>
      </c>
      <c r="P45">
        <f t="shared" ref="P45" si="24">(O46-O44)/O44</f>
        <v>8.7637650760356609E-2</v>
      </c>
    </row>
    <row r="46" spans="1:16">
      <c r="A46" s="33">
        <f t="shared" si="3"/>
        <v>45</v>
      </c>
      <c r="B46" s="38">
        <v>43181</v>
      </c>
      <c r="C46" s="34" t="s">
        <v>149</v>
      </c>
      <c r="D46" s="38"/>
      <c r="J46">
        <v>45</v>
      </c>
      <c r="K46" s="33" t="str">
        <f t="shared" si="4"/>
        <v>165.93</v>
      </c>
      <c r="L46" s="58">
        <f t="shared" si="1"/>
        <v>-8.0576146567829826E-2</v>
      </c>
      <c r="N46">
        <v>45</v>
      </c>
      <c r="O46" t="str">
        <f t="shared" si="2"/>
        <v>165.93</v>
      </c>
      <c r="P46">
        <f>0</f>
        <v>0</v>
      </c>
    </row>
    <row r="47" spans="1:16">
      <c r="A47" s="33">
        <f t="shared" si="3"/>
        <v>46</v>
      </c>
      <c r="B47" s="38">
        <v>43182</v>
      </c>
      <c r="C47" s="34" t="s">
        <v>150</v>
      </c>
      <c r="D47" s="38"/>
      <c r="J47">
        <v>46</v>
      </c>
      <c r="K47" s="33" t="str">
        <f t="shared" si="4"/>
        <v>152.56</v>
      </c>
      <c r="L47" s="58">
        <f t="shared" si="1"/>
        <v>-3.1659674882013718E-2</v>
      </c>
      <c r="N47">
        <v>46</v>
      </c>
      <c r="O47" t="str">
        <f t="shared" si="2"/>
        <v>152.56</v>
      </c>
      <c r="P47">
        <f t="shared" ref="P47" si="25">(O48-O46)/O46</f>
        <v>-0.10968480684626057</v>
      </c>
    </row>
    <row r="48" spans="1:16">
      <c r="A48" s="33">
        <f t="shared" si="3"/>
        <v>47</v>
      </c>
      <c r="B48" s="38">
        <v>43185</v>
      </c>
      <c r="C48" s="34" t="s">
        <v>131</v>
      </c>
      <c r="D48" s="38"/>
      <c r="J48">
        <v>47</v>
      </c>
      <c r="K48" s="33" t="str">
        <f t="shared" si="4"/>
        <v>147.73</v>
      </c>
      <c r="L48" s="58">
        <f t="shared" si="1"/>
        <v>0.12319772558045095</v>
      </c>
      <c r="N48">
        <v>47</v>
      </c>
      <c r="O48" t="str">
        <f t="shared" si="2"/>
        <v>147.73</v>
      </c>
      <c r="P48">
        <f>0</f>
        <v>0</v>
      </c>
    </row>
    <row r="49" spans="1:16">
      <c r="A49" s="33">
        <f t="shared" si="3"/>
        <v>48</v>
      </c>
      <c r="B49" s="38">
        <v>43186</v>
      </c>
      <c r="C49" s="34" t="s">
        <v>151</v>
      </c>
      <c r="D49" s="38"/>
      <c r="J49">
        <v>48</v>
      </c>
      <c r="K49" s="33" t="str">
        <f t="shared" si="4"/>
        <v>165.93</v>
      </c>
      <c r="L49" s="58">
        <f t="shared" si="1"/>
        <v>-8.0576146567829826E-2</v>
      </c>
      <c r="N49">
        <v>48</v>
      </c>
      <c r="O49" t="str">
        <f t="shared" si="2"/>
        <v>165.93</v>
      </c>
      <c r="P49">
        <f t="shared" ref="P49" si="26">(O50-O48)/O48</f>
        <v>3.2694781019427417E-2</v>
      </c>
    </row>
    <row r="50" spans="1:16">
      <c r="A50" s="33">
        <f t="shared" si="3"/>
        <v>49</v>
      </c>
      <c r="B50" s="38">
        <v>43187</v>
      </c>
      <c r="C50" s="34" t="s">
        <v>152</v>
      </c>
      <c r="D50" s="38"/>
      <c r="J50">
        <v>49</v>
      </c>
      <c r="K50" s="33" t="str">
        <f t="shared" si="4"/>
        <v>152.56</v>
      </c>
      <c r="L50" s="58">
        <f t="shared" si="1"/>
        <v>-3.1659674882013718E-2</v>
      </c>
      <c r="N50">
        <v>49</v>
      </c>
      <c r="O50" t="str">
        <f t="shared" si="2"/>
        <v>152.56</v>
      </c>
      <c r="P50">
        <f>0</f>
        <v>0</v>
      </c>
    </row>
    <row r="51" spans="1:16">
      <c r="A51" s="33">
        <f t="shared" si="3"/>
        <v>50</v>
      </c>
      <c r="B51" s="38">
        <v>43188</v>
      </c>
      <c r="C51" s="34" t="s">
        <v>153</v>
      </c>
      <c r="D51" s="38"/>
      <c r="J51">
        <v>50</v>
      </c>
      <c r="K51" s="33" t="str">
        <f t="shared" si="4"/>
        <v>147.73</v>
      </c>
      <c r="L51" s="58">
        <f t="shared" si="1"/>
        <v>0.12319772558045095</v>
      </c>
      <c r="N51">
        <v>50</v>
      </c>
      <c r="O51" t="str">
        <f t="shared" si="2"/>
        <v>147.73</v>
      </c>
      <c r="P51">
        <f t="shared" ref="P51" si="27">(O52-O50)/O50</f>
        <v>8.7637650760356609E-2</v>
      </c>
    </row>
    <row r="52" spans="1:16">
      <c r="A52" s="33">
        <f t="shared" si="3"/>
        <v>51</v>
      </c>
      <c r="B52" s="38">
        <v>43189</v>
      </c>
      <c r="C52" s="34" t="s">
        <v>153</v>
      </c>
      <c r="D52" s="38"/>
      <c r="J52">
        <v>51</v>
      </c>
      <c r="K52" s="33" t="str">
        <f t="shared" si="4"/>
        <v>165.93</v>
      </c>
      <c r="L52" s="58">
        <f t="shared" si="1"/>
        <v>-8.0576146567829826E-2</v>
      </c>
      <c r="N52">
        <v>51</v>
      </c>
      <c r="O52" t="str">
        <f t="shared" si="2"/>
        <v>165.93</v>
      </c>
      <c r="P52">
        <f>0</f>
        <v>0</v>
      </c>
    </row>
    <row r="53" spans="1:16">
      <c r="A53" s="33">
        <f t="shared" si="3"/>
        <v>52</v>
      </c>
      <c r="B53" s="38">
        <v>43192</v>
      </c>
      <c r="C53" s="34" t="s">
        <v>152</v>
      </c>
      <c r="D53" s="38"/>
      <c r="J53">
        <v>52</v>
      </c>
      <c r="K53" s="33" t="str">
        <f t="shared" si="4"/>
        <v>152.56</v>
      </c>
      <c r="L53" s="58">
        <f t="shared" si="1"/>
        <v>-3.1659674882013718E-2</v>
      </c>
      <c r="N53">
        <v>52</v>
      </c>
      <c r="O53" t="str">
        <f t="shared" si="2"/>
        <v>152.56</v>
      </c>
      <c r="P53">
        <f t="shared" ref="P53" si="28">(O54-O52)/O52</f>
        <v>-0.10968480684626057</v>
      </c>
    </row>
    <row r="54" spans="1:16">
      <c r="A54" s="33">
        <f t="shared" si="3"/>
        <v>53</v>
      </c>
      <c r="B54" s="38">
        <v>43193</v>
      </c>
      <c r="C54" s="34" t="s">
        <v>154</v>
      </c>
      <c r="D54" s="38"/>
      <c r="J54">
        <v>53</v>
      </c>
      <c r="K54" s="33" t="str">
        <f t="shared" si="4"/>
        <v>147.73</v>
      </c>
      <c r="L54" s="58">
        <f t="shared" si="1"/>
        <v>0.12319772558045095</v>
      </c>
      <c r="N54">
        <v>53</v>
      </c>
      <c r="O54" t="str">
        <f t="shared" si="2"/>
        <v>147.73</v>
      </c>
      <c r="P54">
        <f>0</f>
        <v>0</v>
      </c>
    </row>
    <row r="55" spans="1:16">
      <c r="A55" s="33">
        <f t="shared" si="3"/>
        <v>54</v>
      </c>
      <c r="B55" s="38">
        <v>43194</v>
      </c>
      <c r="C55" s="34" t="s">
        <v>155</v>
      </c>
      <c r="D55" s="38"/>
      <c r="J55">
        <v>54</v>
      </c>
      <c r="K55" s="33" t="str">
        <f t="shared" si="4"/>
        <v>165.93</v>
      </c>
      <c r="L55" s="58">
        <f t="shared" si="1"/>
        <v>-8.0576146567829826E-2</v>
      </c>
      <c r="N55">
        <v>54</v>
      </c>
      <c r="O55" t="str">
        <f t="shared" si="2"/>
        <v>165.93</v>
      </c>
      <c r="P55">
        <f t="shared" ref="P55" si="29">(O56-O54)/O54</f>
        <v>3.2694781019427417E-2</v>
      </c>
    </row>
    <row r="56" spans="1:16">
      <c r="A56" s="33">
        <f t="shared" si="3"/>
        <v>55</v>
      </c>
      <c r="B56" s="38">
        <v>43195</v>
      </c>
      <c r="C56" s="34" t="s">
        <v>138</v>
      </c>
      <c r="D56" s="38"/>
      <c r="J56">
        <v>55</v>
      </c>
      <c r="K56" s="33" t="str">
        <f t="shared" si="4"/>
        <v>152.56</v>
      </c>
      <c r="L56" s="58">
        <f t="shared" si="1"/>
        <v>-3.1659674882013718E-2</v>
      </c>
      <c r="N56">
        <v>55</v>
      </c>
      <c r="O56" t="str">
        <f t="shared" si="2"/>
        <v>152.56</v>
      </c>
      <c r="P56">
        <f>0</f>
        <v>0</v>
      </c>
    </row>
    <row r="57" spans="1:16">
      <c r="A57" s="33">
        <f t="shared" si="3"/>
        <v>56</v>
      </c>
      <c r="B57" s="38">
        <v>43196</v>
      </c>
      <c r="C57" s="34" t="s">
        <v>154</v>
      </c>
      <c r="D57" s="38"/>
      <c r="J57">
        <v>56</v>
      </c>
      <c r="K57" s="33" t="str">
        <f t="shared" si="4"/>
        <v>147.73</v>
      </c>
      <c r="L57" s="58">
        <f t="shared" si="1"/>
        <v>0.12319772558045095</v>
      </c>
      <c r="N57">
        <v>56</v>
      </c>
      <c r="O57" t="str">
        <f t="shared" si="2"/>
        <v>147.73</v>
      </c>
      <c r="P57">
        <f t="shared" ref="P57" si="30">(O58-O56)/O56</f>
        <v>8.7637650760356609E-2</v>
      </c>
    </row>
    <row r="58" spans="1:16">
      <c r="A58" s="33">
        <f t="shared" si="3"/>
        <v>57</v>
      </c>
      <c r="B58" s="38">
        <v>43199</v>
      </c>
      <c r="C58" s="34" t="s">
        <v>156</v>
      </c>
      <c r="D58" s="38"/>
      <c r="J58">
        <v>57</v>
      </c>
      <c r="K58" s="33" t="str">
        <f t="shared" si="4"/>
        <v>165.93</v>
      </c>
      <c r="L58" s="58">
        <f t="shared" si="1"/>
        <v>-8.0576146567829826E-2</v>
      </c>
      <c r="N58">
        <v>57</v>
      </c>
      <c r="O58" t="str">
        <f t="shared" si="2"/>
        <v>165.93</v>
      </c>
      <c r="P58">
        <f>0</f>
        <v>0</v>
      </c>
    </row>
    <row r="59" spans="1:16">
      <c r="A59" s="33">
        <f t="shared" si="3"/>
        <v>58</v>
      </c>
      <c r="B59" s="38">
        <v>43200</v>
      </c>
      <c r="C59" s="34" t="s">
        <v>157</v>
      </c>
      <c r="D59" s="38"/>
      <c r="J59">
        <v>58</v>
      </c>
      <c r="K59" s="33" t="str">
        <f t="shared" si="4"/>
        <v>152.56</v>
      </c>
      <c r="L59" s="58">
        <f t="shared" si="1"/>
        <v>-3.1659674882013718E-2</v>
      </c>
      <c r="N59">
        <v>58</v>
      </c>
      <c r="O59" t="str">
        <f t="shared" si="2"/>
        <v>152.56</v>
      </c>
      <c r="P59">
        <f t="shared" ref="P59" si="31">(O60-O58)/O58</f>
        <v>-0.10968480684626057</v>
      </c>
    </row>
    <row r="60" spans="1:16">
      <c r="A60" s="33">
        <f t="shared" si="3"/>
        <v>59</v>
      </c>
      <c r="B60" s="38">
        <v>43201</v>
      </c>
      <c r="C60" s="34" t="s">
        <v>158</v>
      </c>
      <c r="D60" s="38"/>
      <c r="J60">
        <v>59</v>
      </c>
      <c r="K60" s="33" t="str">
        <f t="shared" si="4"/>
        <v>147.73</v>
      </c>
      <c r="L60" s="58">
        <f t="shared" si="1"/>
        <v>0.12319772558045095</v>
      </c>
      <c r="N60">
        <v>59</v>
      </c>
      <c r="O60" t="str">
        <f t="shared" si="2"/>
        <v>147.73</v>
      </c>
      <c r="P60">
        <f>0</f>
        <v>0</v>
      </c>
    </row>
    <row r="61" spans="1:16">
      <c r="A61" s="33">
        <f t="shared" si="3"/>
        <v>60</v>
      </c>
      <c r="B61" s="38">
        <v>43202</v>
      </c>
      <c r="C61" s="34" t="s">
        <v>159</v>
      </c>
      <c r="D61" s="38"/>
      <c r="J61">
        <v>60</v>
      </c>
      <c r="K61" s="33" t="str">
        <f t="shared" si="4"/>
        <v>165.93</v>
      </c>
      <c r="L61" s="58">
        <f t="shared" si="1"/>
        <v>-8.0576146567829826E-2</v>
      </c>
      <c r="N61">
        <v>60</v>
      </c>
      <c r="O61" t="str">
        <f t="shared" si="2"/>
        <v>165.93</v>
      </c>
      <c r="P61">
        <f t="shared" ref="P61" si="32">(O62-O60)/O60</f>
        <v>3.2694781019427417E-2</v>
      </c>
    </row>
    <row r="62" spans="1:16">
      <c r="A62" s="33">
        <f t="shared" si="3"/>
        <v>61</v>
      </c>
      <c r="B62" s="38">
        <v>43203</v>
      </c>
      <c r="C62" s="34" t="s">
        <v>160</v>
      </c>
      <c r="D62" s="38"/>
      <c r="J62">
        <v>61</v>
      </c>
      <c r="K62" s="33" t="str">
        <f t="shared" si="4"/>
        <v>152.56</v>
      </c>
      <c r="L62" s="58">
        <f t="shared" si="1"/>
        <v>-3.1659674882013718E-2</v>
      </c>
      <c r="N62">
        <v>61</v>
      </c>
      <c r="O62" t="str">
        <f t="shared" si="2"/>
        <v>152.56</v>
      </c>
      <c r="P62">
        <f>0</f>
        <v>0</v>
      </c>
    </row>
    <row r="63" spans="1:16">
      <c r="A63" s="33">
        <f t="shared" si="3"/>
        <v>62</v>
      </c>
      <c r="B63" s="38">
        <v>43206</v>
      </c>
      <c r="C63" s="34" t="s">
        <v>161</v>
      </c>
      <c r="D63" s="38"/>
      <c r="J63">
        <v>62</v>
      </c>
      <c r="K63" s="33" t="str">
        <f t="shared" si="4"/>
        <v>147.73</v>
      </c>
      <c r="L63" s="58">
        <f t="shared" si="1"/>
        <v>0.12319772558045095</v>
      </c>
      <c r="N63">
        <v>62</v>
      </c>
      <c r="O63" t="str">
        <f t="shared" si="2"/>
        <v>147.73</v>
      </c>
      <c r="P63">
        <f t="shared" ref="P63" si="33">(O64-O62)/O62</f>
        <v>8.7637650760356609E-2</v>
      </c>
    </row>
    <row r="64" spans="1:16">
      <c r="A64" s="33">
        <f t="shared" si="3"/>
        <v>63</v>
      </c>
      <c r="B64" s="38">
        <v>43207</v>
      </c>
      <c r="C64" s="34" t="s">
        <v>162</v>
      </c>
      <c r="D64" s="38"/>
      <c r="J64">
        <v>63</v>
      </c>
      <c r="K64" s="33" t="str">
        <f t="shared" si="4"/>
        <v>165.93</v>
      </c>
      <c r="L64" s="58">
        <f t="shared" si="1"/>
        <v>-8.0576146567829826E-2</v>
      </c>
      <c r="N64">
        <v>63</v>
      </c>
      <c r="O64" t="str">
        <f t="shared" si="2"/>
        <v>165.93</v>
      </c>
      <c r="P64">
        <f>0</f>
        <v>0</v>
      </c>
    </row>
    <row r="65" spans="1:16">
      <c r="A65" s="33">
        <f t="shared" si="3"/>
        <v>64</v>
      </c>
      <c r="B65" s="38">
        <v>43208</v>
      </c>
      <c r="C65" s="34" t="s">
        <v>163</v>
      </c>
      <c r="D65" s="38"/>
      <c r="J65">
        <v>64</v>
      </c>
      <c r="K65" s="33" t="str">
        <f t="shared" si="4"/>
        <v>152.56</v>
      </c>
      <c r="L65" s="58">
        <f t="shared" si="1"/>
        <v>-3.1659674882013718E-2</v>
      </c>
      <c r="N65">
        <v>64</v>
      </c>
      <c r="O65" t="str">
        <f t="shared" si="2"/>
        <v>152.56</v>
      </c>
      <c r="P65">
        <f t="shared" ref="P65" si="34">(O66-O64)/O64</f>
        <v>-0.10968480684626057</v>
      </c>
    </row>
    <row r="66" spans="1:16">
      <c r="A66" s="33">
        <f t="shared" si="3"/>
        <v>65</v>
      </c>
      <c r="B66" s="38">
        <v>43209</v>
      </c>
      <c r="C66" s="34" t="s">
        <v>164</v>
      </c>
      <c r="D66" s="38"/>
      <c r="J66">
        <v>65</v>
      </c>
      <c r="K66" s="33" t="str">
        <f t="shared" si="4"/>
        <v>147.73</v>
      </c>
      <c r="L66" s="58">
        <f t="shared" si="1"/>
        <v>0.12319772558045095</v>
      </c>
      <c r="N66">
        <v>65</v>
      </c>
      <c r="O66" t="str">
        <f t="shared" si="2"/>
        <v>147.73</v>
      </c>
      <c r="P66">
        <f>0</f>
        <v>0</v>
      </c>
    </row>
    <row r="67" spans="1:16">
      <c r="A67" s="33">
        <f t="shared" si="3"/>
        <v>66</v>
      </c>
      <c r="B67" s="38">
        <v>43210</v>
      </c>
      <c r="C67" s="34" t="s">
        <v>121</v>
      </c>
      <c r="D67" s="38"/>
      <c r="J67">
        <v>66</v>
      </c>
      <c r="K67" s="33" t="str">
        <f t="shared" si="4"/>
        <v>165.93</v>
      </c>
      <c r="L67" s="58">
        <f t="shared" ref="L67:L104" si="35">(K68-K67)/K67</f>
        <v>-8.0576146567829826E-2</v>
      </c>
      <c r="N67">
        <v>66</v>
      </c>
      <c r="O67" t="str">
        <f t="shared" ref="O67:O104" si="36">K67</f>
        <v>165.93</v>
      </c>
      <c r="P67">
        <f t="shared" ref="P67" si="37">(O68-O66)/O66</f>
        <v>3.2694781019427417E-2</v>
      </c>
    </row>
    <row r="68" spans="1:16">
      <c r="A68" s="33">
        <f t="shared" ref="A68:A131" si="38">A67+1</f>
        <v>67</v>
      </c>
      <c r="B68" s="38">
        <v>43213</v>
      </c>
      <c r="C68" s="34" t="s">
        <v>165</v>
      </c>
      <c r="D68" s="38"/>
      <c r="J68">
        <v>67</v>
      </c>
      <c r="K68" s="33" t="str">
        <f t="shared" si="4"/>
        <v>152.56</v>
      </c>
      <c r="L68" s="58">
        <f t="shared" si="35"/>
        <v>-3.1659674882013718E-2</v>
      </c>
      <c r="N68">
        <v>67</v>
      </c>
      <c r="O68" t="str">
        <f t="shared" si="36"/>
        <v>152.56</v>
      </c>
      <c r="P68">
        <f>0</f>
        <v>0</v>
      </c>
    </row>
    <row r="69" spans="1:16">
      <c r="A69" s="33">
        <f t="shared" si="38"/>
        <v>68</v>
      </c>
      <c r="B69" s="38">
        <v>43214</v>
      </c>
      <c r="C69" s="34" t="s">
        <v>166</v>
      </c>
      <c r="D69" s="38"/>
      <c r="J69">
        <v>68</v>
      </c>
      <c r="K69" s="33" t="str">
        <f t="shared" si="4"/>
        <v>147.73</v>
      </c>
      <c r="L69" s="58">
        <f t="shared" si="35"/>
        <v>0.12319772558045095</v>
      </c>
      <c r="N69">
        <v>68</v>
      </c>
      <c r="O69" t="str">
        <f t="shared" si="36"/>
        <v>147.73</v>
      </c>
      <c r="P69">
        <f t="shared" ref="P69" si="39">(O70-O68)/O68</f>
        <v>8.7637650760356609E-2</v>
      </c>
    </row>
    <row r="70" spans="1:16">
      <c r="A70" s="33">
        <f t="shared" si="38"/>
        <v>69</v>
      </c>
      <c r="B70" s="38">
        <v>43215</v>
      </c>
      <c r="C70" s="34" t="s">
        <v>167</v>
      </c>
      <c r="D70" s="38"/>
      <c r="J70">
        <v>69</v>
      </c>
      <c r="K70" s="33" t="str">
        <f t="shared" ref="K70:K104" si="40">K67</f>
        <v>165.93</v>
      </c>
      <c r="L70" s="58">
        <f t="shared" si="35"/>
        <v>-8.0576146567829826E-2</v>
      </c>
      <c r="N70">
        <v>69</v>
      </c>
      <c r="O70" t="str">
        <f t="shared" si="36"/>
        <v>165.93</v>
      </c>
      <c r="P70">
        <f>0</f>
        <v>0</v>
      </c>
    </row>
    <row r="71" spans="1:16">
      <c r="A71" s="33">
        <f t="shared" si="38"/>
        <v>70</v>
      </c>
      <c r="B71" s="38">
        <v>43216</v>
      </c>
      <c r="C71" s="34" t="s">
        <v>168</v>
      </c>
      <c r="D71" s="38"/>
      <c r="J71">
        <v>70</v>
      </c>
      <c r="K71" s="33" t="str">
        <f t="shared" si="40"/>
        <v>152.56</v>
      </c>
      <c r="L71" s="58">
        <f t="shared" si="35"/>
        <v>-3.1659674882013718E-2</v>
      </c>
      <c r="N71">
        <v>70</v>
      </c>
      <c r="O71" t="str">
        <f t="shared" si="36"/>
        <v>152.56</v>
      </c>
      <c r="P71">
        <f t="shared" ref="P71" si="41">(O72-O70)/O70</f>
        <v>-0.10968480684626057</v>
      </c>
    </row>
    <row r="72" spans="1:16">
      <c r="A72" s="33">
        <f t="shared" si="38"/>
        <v>71</v>
      </c>
      <c r="B72" s="38">
        <v>43217</v>
      </c>
      <c r="C72" s="34" t="s">
        <v>169</v>
      </c>
      <c r="D72" s="38"/>
      <c r="J72">
        <v>71</v>
      </c>
      <c r="K72" s="33" t="str">
        <f t="shared" si="40"/>
        <v>147.73</v>
      </c>
      <c r="L72" s="58">
        <f t="shared" si="35"/>
        <v>0.12319772558045095</v>
      </c>
      <c r="N72">
        <v>71</v>
      </c>
      <c r="O72" t="str">
        <f t="shared" si="36"/>
        <v>147.73</v>
      </c>
      <c r="P72">
        <f>0</f>
        <v>0</v>
      </c>
    </row>
    <row r="73" spans="1:16">
      <c r="A73" s="33">
        <f t="shared" si="38"/>
        <v>72</v>
      </c>
      <c r="B73" s="38">
        <v>43220</v>
      </c>
      <c r="C73" s="34" t="s">
        <v>170</v>
      </c>
      <c r="D73" s="38"/>
      <c r="J73">
        <v>72</v>
      </c>
      <c r="K73" s="33" t="str">
        <f t="shared" si="40"/>
        <v>165.93</v>
      </c>
      <c r="L73" s="58">
        <f t="shared" si="35"/>
        <v>-8.0576146567829826E-2</v>
      </c>
      <c r="N73">
        <v>72</v>
      </c>
      <c r="O73" t="str">
        <f t="shared" si="36"/>
        <v>165.93</v>
      </c>
      <c r="P73">
        <f t="shared" ref="P73" si="42">(O74-O72)/O72</f>
        <v>3.2694781019427417E-2</v>
      </c>
    </row>
    <row r="74" spans="1:16">
      <c r="A74" s="33">
        <f t="shared" si="38"/>
        <v>73</v>
      </c>
      <c r="B74" s="38">
        <v>43221</v>
      </c>
      <c r="C74" s="34" t="s">
        <v>171</v>
      </c>
      <c r="D74" s="38"/>
      <c r="J74">
        <v>73</v>
      </c>
      <c r="K74" s="33" t="str">
        <f t="shared" si="40"/>
        <v>152.56</v>
      </c>
      <c r="L74" s="58">
        <f t="shared" si="35"/>
        <v>-3.1659674882013718E-2</v>
      </c>
      <c r="N74">
        <v>73</v>
      </c>
      <c r="O74" t="str">
        <f t="shared" si="36"/>
        <v>152.56</v>
      </c>
      <c r="P74">
        <f>0</f>
        <v>0</v>
      </c>
    </row>
    <row r="75" spans="1:16">
      <c r="A75" s="33">
        <f t="shared" si="38"/>
        <v>74</v>
      </c>
      <c r="B75" s="38">
        <v>43222</v>
      </c>
      <c r="C75" s="34" t="s">
        <v>172</v>
      </c>
      <c r="D75" s="38"/>
      <c r="J75">
        <v>74</v>
      </c>
      <c r="K75" s="33" t="str">
        <f t="shared" si="40"/>
        <v>147.73</v>
      </c>
      <c r="L75" s="58">
        <f t="shared" si="35"/>
        <v>0.12319772558045095</v>
      </c>
      <c r="N75">
        <v>74</v>
      </c>
      <c r="O75" t="str">
        <f t="shared" si="36"/>
        <v>147.73</v>
      </c>
      <c r="P75">
        <f t="shared" ref="P75" si="43">(O76-O74)/O74</f>
        <v>8.7637650760356609E-2</v>
      </c>
    </row>
    <row r="76" spans="1:16">
      <c r="A76" s="33">
        <f t="shared" si="38"/>
        <v>75</v>
      </c>
      <c r="B76" s="38">
        <v>43223</v>
      </c>
      <c r="C76" s="34" t="s">
        <v>173</v>
      </c>
      <c r="D76" s="38"/>
      <c r="J76">
        <v>75</v>
      </c>
      <c r="K76" s="33" t="str">
        <f t="shared" si="40"/>
        <v>165.93</v>
      </c>
      <c r="L76" s="58">
        <f t="shared" si="35"/>
        <v>-8.0576146567829826E-2</v>
      </c>
      <c r="N76">
        <v>75</v>
      </c>
      <c r="O76" t="str">
        <f t="shared" si="36"/>
        <v>165.93</v>
      </c>
      <c r="P76">
        <f>0</f>
        <v>0</v>
      </c>
    </row>
    <row r="77" spans="1:16">
      <c r="A77" s="33">
        <f t="shared" si="38"/>
        <v>76</v>
      </c>
      <c r="B77" s="38">
        <v>43224</v>
      </c>
      <c r="C77" s="34" t="s">
        <v>174</v>
      </c>
      <c r="D77" s="38"/>
      <c r="J77">
        <v>76</v>
      </c>
      <c r="K77" s="33" t="str">
        <f t="shared" si="40"/>
        <v>152.56</v>
      </c>
      <c r="L77" s="58">
        <f t="shared" si="35"/>
        <v>-3.1659674882013718E-2</v>
      </c>
      <c r="N77">
        <v>76</v>
      </c>
      <c r="O77" t="str">
        <f t="shared" si="36"/>
        <v>152.56</v>
      </c>
      <c r="P77">
        <f t="shared" ref="P77" si="44">(O78-O76)/O76</f>
        <v>-0.10968480684626057</v>
      </c>
    </row>
    <row r="78" spans="1:16">
      <c r="A78" s="33">
        <f t="shared" si="38"/>
        <v>77</v>
      </c>
      <c r="B78" s="38">
        <v>43227</v>
      </c>
      <c r="C78" s="34" t="s">
        <v>131</v>
      </c>
      <c r="D78" s="38"/>
      <c r="J78">
        <v>77</v>
      </c>
      <c r="K78" s="33" t="str">
        <f t="shared" si="40"/>
        <v>147.73</v>
      </c>
      <c r="L78" s="58">
        <f t="shared" si="35"/>
        <v>0.12319772558045095</v>
      </c>
      <c r="N78">
        <v>77</v>
      </c>
      <c r="O78" t="str">
        <f t="shared" si="36"/>
        <v>147.73</v>
      </c>
      <c r="P78">
        <f>0</f>
        <v>0</v>
      </c>
    </row>
    <row r="79" spans="1:16">
      <c r="A79" s="33">
        <f t="shared" si="38"/>
        <v>78</v>
      </c>
      <c r="B79" s="38">
        <v>43228</v>
      </c>
      <c r="C79" s="34" t="s">
        <v>152</v>
      </c>
      <c r="D79" s="38"/>
      <c r="J79">
        <v>78</v>
      </c>
      <c r="K79" s="33" t="str">
        <f t="shared" si="40"/>
        <v>165.93</v>
      </c>
      <c r="L79" s="58">
        <f t="shared" si="35"/>
        <v>-8.0576146567829826E-2</v>
      </c>
      <c r="N79">
        <v>78</v>
      </c>
      <c r="O79" t="str">
        <f t="shared" si="36"/>
        <v>165.93</v>
      </c>
      <c r="P79">
        <f t="shared" ref="P79" si="45">(O80-O78)/O78</f>
        <v>3.2694781019427417E-2</v>
      </c>
    </row>
    <row r="80" spans="1:16">
      <c r="A80" s="33">
        <f t="shared" si="38"/>
        <v>79</v>
      </c>
      <c r="B80" s="38">
        <v>43229</v>
      </c>
      <c r="C80" s="34" t="s">
        <v>129</v>
      </c>
      <c r="D80" s="38"/>
      <c r="J80">
        <v>79</v>
      </c>
      <c r="K80" s="33" t="str">
        <f t="shared" si="40"/>
        <v>152.56</v>
      </c>
      <c r="L80" s="58">
        <f t="shared" si="35"/>
        <v>-3.1659674882013718E-2</v>
      </c>
      <c r="N80">
        <v>79</v>
      </c>
      <c r="O80" t="str">
        <f t="shared" si="36"/>
        <v>152.56</v>
      </c>
      <c r="P80">
        <f>0</f>
        <v>0</v>
      </c>
    </row>
    <row r="81" spans="1:16">
      <c r="A81" s="33">
        <f t="shared" si="38"/>
        <v>80</v>
      </c>
      <c r="B81" s="38">
        <v>43230</v>
      </c>
      <c r="C81" s="34" t="s">
        <v>175</v>
      </c>
      <c r="D81" s="38"/>
      <c r="J81">
        <v>80</v>
      </c>
      <c r="K81" s="33" t="str">
        <f t="shared" si="40"/>
        <v>147.73</v>
      </c>
      <c r="L81" s="58">
        <f t="shared" si="35"/>
        <v>0.12319772558045095</v>
      </c>
      <c r="N81">
        <v>80</v>
      </c>
      <c r="O81" t="str">
        <f t="shared" si="36"/>
        <v>147.73</v>
      </c>
      <c r="P81">
        <f t="shared" ref="P81" si="46">(O82-O80)/O80</f>
        <v>8.7637650760356609E-2</v>
      </c>
    </row>
    <row r="82" spans="1:16">
      <c r="A82" s="33">
        <f t="shared" si="38"/>
        <v>81</v>
      </c>
      <c r="B82" s="38">
        <v>43231</v>
      </c>
      <c r="C82" s="34" t="s">
        <v>176</v>
      </c>
      <c r="D82" s="38"/>
      <c r="J82">
        <v>81</v>
      </c>
      <c r="K82" s="33" t="str">
        <f t="shared" si="40"/>
        <v>165.93</v>
      </c>
      <c r="L82" s="58">
        <f t="shared" si="35"/>
        <v>-8.0576146567829826E-2</v>
      </c>
      <c r="N82">
        <v>81</v>
      </c>
      <c r="O82" t="str">
        <f t="shared" si="36"/>
        <v>165.93</v>
      </c>
      <c r="P82">
        <f>0</f>
        <v>0</v>
      </c>
    </row>
    <row r="83" spans="1:16">
      <c r="A83" s="33">
        <f t="shared" si="38"/>
        <v>82</v>
      </c>
      <c r="B83" s="38">
        <v>43234</v>
      </c>
      <c r="C83" s="34" t="s">
        <v>161</v>
      </c>
      <c r="D83" s="38"/>
      <c r="J83">
        <v>82</v>
      </c>
      <c r="K83" s="33" t="str">
        <f t="shared" si="40"/>
        <v>152.56</v>
      </c>
      <c r="L83" s="58">
        <f t="shared" si="35"/>
        <v>-3.1659674882013718E-2</v>
      </c>
      <c r="N83">
        <v>82</v>
      </c>
      <c r="O83" t="str">
        <f t="shared" si="36"/>
        <v>152.56</v>
      </c>
      <c r="P83">
        <f t="shared" ref="P83" si="47">(O84-O82)/O82</f>
        <v>-0.10968480684626057</v>
      </c>
    </row>
    <row r="84" spans="1:16">
      <c r="A84" s="33">
        <f t="shared" si="38"/>
        <v>83</v>
      </c>
      <c r="B84" s="38">
        <v>43235</v>
      </c>
      <c r="C84" s="34" t="s">
        <v>177</v>
      </c>
      <c r="D84" s="38"/>
      <c r="J84">
        <v>83</v>
      </c>
      <c r="K84" s="33" t="str">
        <f t="shared" si="40"/>
        <v>147.73</v>
      </c>
      <c r="L84" s="58">
        <f t="shared" si="35"/>
        <v>0.12319772558045095</v>
      </c>
      <c r="N84">
        <v>83</v>
      </c>
      <c r="O84" t="str">
        <f t="shared" si="36"/>
        <v>147.73</v>
      </c>
      <c r="P84">
        <f>0</f>
        <v>0</v>
      </c>
    </row>
    <row r="85" spans="1:16">
      <c r="A85" s="33">
        <f t="shared" si="38"/>
        <v>84</v>
      </c>
      <c r="B85" s="38">
        <v>43236</v>
      </c>
      <c r="C85" s="34" t="s">
        <v>151</v>
      </c>
      <c r="D85" s="38"/>
      <c r="J85">
        <v>84</v>
      </c>
      <c r="K85" s="33" t="str">
        <f t="shared" si="40"/>
        <v>165.93</v>
      </c>
      <c r="L85" s="58">
        <f t="shared" si="35"/>
        <v>-8.0576146567829826E-2</v>
      </c>
      <c r="N85">
        <v>84</v>
      </c>
      <c r="O85" t="str">
        <f t="shared" si="36"/>
        <v>165.93</v>
      </c>
      <c r="P85">
        <f t="shared" ref="P85" si="48">(O86-O84)/O84</f>
        <v>3.2694781019427417E-2</v>
      </c>
    </row>
    <row r="86" spans="1:16">
      <c r="A86" s="33">
        <f t="shared" si="38"/>
        <v>85</v>
      </c>
      <c r="B86" s="38">
        <v>43237</v>
      </c>
      <c r="C86" s="34" t="s">
        <v>178</v>
      </c>
      <c r="D86" s="38"/>
      <c r="J86">
        <v>85</v>
      </c>
      <c r="K86" s="33" t="str">
        <f t="shared" si="40"/>
        <v>152.56</v>
      </c>
      <c r="L86" s="58">
        <f t="shared" si="35"/>
        <v>-3.1659674882013718E-2</v>
      </c>
      <c r="N86">
        <v>85</v>
      </c>
      <c r="O86" t="str">
        <f t="shared" si="36"/>
        <v>152.56</v>
      </c>
      <c r="P86">
        <f>0</f>
        <v>0</v>
      </c>
    </row>
    <row r="87" spans="1:16">
      <c r="A87" s="33">
        <f t="shared" si="38"/>
        <v>86</v>
      </c>
      <c r="B87" s="38">
        <v>43238</v>
      </c>
      <c r="C87" s="34" t="s">
        <v>179</v>
      </c>
      <c r="D87" s="38"/>
      <c r="J87">
        <v>86</v>
      </c>
      <c r="K87" s="33" t="str">
        <f t="shared" si="40"/>
        <v>147.73</v>
      </c>
      <c r="L87" s="58">
        <f t="shared" si="35"/>
        <v>0.12319772558045095</v>
      </c>
      <c r="N87">
        <v>86</v>
      </c>
      <c r="O87" t="str">
        <f t="shared" si="36"/>
        <v>147.73</v>
      </c>
      <c r="P87">
        <f t="shared" ref="P87" si="49">(O88-O86)/O86</f>
        <v>8.7637650760356609E-2</v>
      </c>
    </row>
    <row r="88" spans="1:16">
      <c r="A88" s="33">
        <f t="shared" si="38"/>
        <v>87</v>
      </c>
      <c r="B88" s="38">
        <v>43241</v>
      </c>
      <c r="C88" s="34" t="s">
        <v>180</v>
      </c>
      <c r="D88" s="38"/>
      <c r="J88">
        <v>87</v>
      </c>
      <c r="K88" s="33" t="str">
        <f t="shared" si="40"/>
        <v>165.93</v>
      </c>
      <c r="L88" s="58">
        <f t="shared" si="35"/>
        <v>-8.0576146567829826E-2</v>
      </c>
      <c r="N88">
        <v>87</v>
      </c>
      <c r="O88" t="str">
        <f t="shared" si="36"/>
        <v>165.93</v>
      </c>
      <c r="P88">
        <f>0</f>
        <v>0</v>
      </c>
    </row>
    <row r="89" spans="1:16">
      <c r="A89" s="33">
        <f t="shared" si="38"/>
        <v>88</v>
      </c>
      <c r="B89" s="38">
        <v>43242</v>
      </c>
      <c r="C89" s="34" t="s">
        <v>181</v>
      </c>
      <c r="D89" s="38"/>
      <c r="J89">
        <v>88</v>
      </c>
      <c r="K89" s="33" t="str">
        <f t="shared" si="40"/>
        <v>152.56</v>
      </c>
      <c r="L89" s="58">
        <f t="shared" si="35"/>
        <v>-3.1659674882013718E-2</v>
      </c>
      <c r="N89">
        <v>88</v>
      </c>
      <c r="O89" t="str">
        <f t="shared" si="36"/>
        <v>152.56</v>
      </c>
      <c r="P89">
        <f t="shared" ref="P89" si="50">(O90-O88)/O88</f>
        <v>-0.10968480684626057</v>
      </c>
    </row>
    <row r="90" spans="1:16">
      <c r="A90" s="33">
        <f t="shared" si="38"/>
        <v>89</v>
      </c>
      <c r="B90" s="38">
        <v>43243</v>
      </c>
      <c r="C90" s="34" t="s">
        <v>182</v>
      </c>
      <c r="D90" s="38"/>
      <c r="J90">
        <v>89</v>
      </c>
      <c r="K90" s="33" t="str">
        <f t="shared" si="40"/>
        <v>147.73</v>
      </c>
      <c r="L90" s="58">
        <f t="shared" si="35"/>
        <v>0.12319772558045095</v>
      </c>
      <c r="N90">
        <v>89</v>
      </c>
      <c r="O90" t="str">
        <f t="shared" si="36"/>
        <v>147.73</v>
      </c>
      <c r="P90">
        <f>0</f>
        <v>0</v>
      </c>
    </row>
    <row r="91" spans="1:16">
      <c r="A91" s="33">
        <f t="shared" si="38"/>
        <v>90</v>
      </c>
      <c r="B91" s="38">
        <v>43244</v>
      </c>
      <c r="C91" s="34" t="s">
        <v>183</v>
      </c>
      <c r="D91" s="38"/>
      <c r="J91">
        <v>90</v>
      </c>
      <c r="K91" s="33" t="str">
        <f t="shared" si="40"/>
        <v>165.93</v>
      </c>
      <c r="L91" s="58">
        <f t="shared" si="35"/>
        <v>-8.0576146567829826E-2</v>
      </c>
      <c r="N91">
        <v>90</v>
      </c>
      <c r="O91" t="str">
        <f t="shared" si="36"/>
        <v>165.93</v>
      </c>
      <c r="P91">
        <f t="shared" ref="P91" si="51">(O92-O90)/O90</f>
        <v>3.2694781019427417E-2</v>
      </c>
    </row>
    <row r="92" spans="1:16">
      <c r="A92" s="33">
        <f t="shared" si="38"/>
        <v>91</v>
      </c>
      <c r="B92" s="38">
        <v>43245</v>
      </c>
      <c r="C92" s="34" t="s">
        <v>184</v>
      </c>
      <c r="D92" s="38"/>
      <c r="J92">
        <v>91</v>
      </c>
      <c r="K92" s="33" t="str">
        <f t="shared" si="40"/>
        <v>152.56</v>
      </c>
      <c r="L92" s="58">
        <f t="shared" si="35"/>
        <v>-3.1659674882013718E-2</v>
      </c>
      <c r="N92">
        <v>91</v>
      </c>
      <c r="O92" t="str">
        <f t="shared" si="36"/>
        <v>152.56</v>
      </c>
      <c r="P92">
        <f>0</f>
        <v>0</v>
      </c>
    </row>
    <row r="93" spans="1:16">
      <c r="A93" s="33">
        <f t="shared" si="38"/>
        <v>92</v>
      </c>
      <c r="B93" s="38">
        <v>43248</v>
      </c>
      <c r="C93" s="34" t="s">
        <v>184</v>
      </c>
      <c r="D93" s="38"/>
      <c r="J93">
        <v>92</v>
      </c>
      <c r="K93" s="33" t="str">
        <f t="shared" si="40"/>
        <v>147.73</v>
      </c>
      <c r="L93" s="58">
        <f t="shared" si="35"/>
        <v>0.12319772558045095</v>
      </c>
      <c r="N93">
        <v>92</v>
      </c>
      <c r="O93" t="str">
        <f t="shared" si="36"/>
        <v>147.73</v>
      </c>
      <c r="P93">
        <f t="shared" ref="P93" si="52">(O94-O92)/O92</f>
        <v>8.7637650760356609E-2</v>
      </c>
    </row>
    <row r="94" spans="1:16">
      <c r="A94" s="33">
        <f t="shared" si="38"/>
        <v>93</v>
      </c>
      <c r="B94" s="38">
        <v>43249</v>
      </c>
      <c r="C94" s="34" t="s">
        <v>185</v>
      </c>
      <c r="D94" s="38"/>
      <c r="J94">
        <v>93</v>
      </c>
      <c r="K94" s="33" t="str">
        <f t="shared" si="40"/>
        <v>165.93</v>
      </c>
      <c r="L94" s="58">
        <f t="shared" si="35"/>
        <v>-8.0576146567829826E-2</v>
      </c>
      <c r="N94">
        <v>93</v>
      </c>
      <c r="O94" t="str">
        <f t="shared" si="36"/>
        <v>165.93</v>
      </c>
      <c r="P94">
        <f>0</f>
        <v>0</v>
      </c>
    </row>
    <row r="95" spans="1:16">
      <c r="A95" s="33">
        <f t="shared" si="38"/>
        <v>94</v>
      </c>
      <c r="B95" s="38">
        <v>43250</v>
      </c>
      <c r="C95" s="34" t="s">
        <v>186</v>
      </c>
      <c r="D95" s="38"/>
      <c r="J95">
        <v>94</v>
      </c>
      <c r="K95" s="33" t="str">
        <f t="shared" si="40"/>
        <v>152.56</v>
      </c>
      <c r="L95" s="58">
        <f t="shared" si="35"/>
        <v>-3.1659674882013718E-2</v>
      </c>
      <c r="N95">
        <v>94</v>
      </c>
      <c r="O95" t="str">
        <f t="shared" si="36"/>
        <v>152.56</v>
      </c>
      <c r="P95">
        <f t="shared" ref="P95" si="53">(O96-O94)/O94</f>
        <v>-0.10968480684626057</v>
      </c>
    </row>
    <row r="96" spans="1:16">
      <c r="A96" s="33">
        <f t="shared" si="38"/>
        <v>95</v>
      </c>
      <c r="B96" s="38">
        <v>43251</v>
      </c>
      <c r="C96" s="34" t="s">
        <v>187</v>
      </c>
      <c r="D96" s="38"/>
      <c r="J96">
        <v>95</v>
      </c>
      <c r="K96" s="33" t="str">
        <f t="shared" si="40"/>
        <v>147.73</v>
      </c>
      <c r="L96" s="58">
        <f t="shared" si="35"/>
        <v>0.12319772558045095</v>
      </c>
      <c r="N96">
        <v>95</v>
      </c>
      <c r="O96" t="str">
        <f t="shared" si="36"/>
        <v>147.73</v>
      </c>
      <c r="P96">
        <f>0</f>
        <v>0</v>
      </c>
    </row>
    <row r="97" spans="1:16">
      <c r="A97" s="33">
        <f t="shared" si="38"/>
        <v>96</v>
      </c>
      <c r="B97" s="38">
        <v>43252</v>
      </c>
      <c r="C97" s="34" t="s">
        <v>188</v>
      </c>
      <c r="D97" s="38"/>
      <c r="J97">
        <v>96</v>
      </c>
      <c r="K97" s="33" t="str">
        <f t="shared" si="40"/>
        <v>165.93</v>
      </c>
      <c r="L97" s="58">
        <f t="shared" si="35"/>
        <v>-8.0576146567829826E-2</v>
      </c>
      <c r="N97">
        <v>96</v>
      </c>
      <c r="O97" t="str">
        <f t="shared" si="36"/>
        <v>165.93</v>
      </c>
      <c r="P97">
        <f t="shared" ref="P97" si="54">(O98-O96)/O96</f>
        <v>3.2694781019427417E-2</v>
      </c>
    </row>
    <row r="98" spans="1:16">
      <c r="A98" s="33">
        <f t="shared" si="38"/>
        <v>97</v>
      </c>
      <c r="B98" s="38">
        <v>43255</v>
      </c>
      <c r="C98" s="34" t="s">
        <v>189</v>
      </c>
      <c r="D98" s="38"/>
      <c r="J98">
        <v>97</v>
      </c>
      <c r="K98" s="33" t="str">
        <f t="shared" si="40"/>
        <v>152.56</v>
      </c>
      <c r="L98" s="58">
        <f t="shared" si="35"/>
        <v>-3.1659674882013718E-2</v>
      </c>
      <c r="N98">
        <v>97</v>
      </c>
      <c r="O98" t="str">
        <f t="shared" si="36"/>
        <v>152.56</v>
      </c>
      <c r="P98">
        <f>0</f>
        <v>0</v>
      </c>
    </row>
    <row r="99" spans="1:16">
      <c r="A99" s="33">
        <f t="shared" si="38"/>
        <v>98</v>
      </c>
      <c r="B99" s="38">
        <v>43256</v>
      </c>
      <c r="C99" s="34" t="s">
        <v>190</v>
      </c>
      <c r="D99" s="38"/>
      <c r="J99">
        <v>98</v>
      </c>
      <c r="K99" s="33" t="str">
        <f t="shared" si="40"/>
        <v>147.73</v>
      </c>
      <c r="L99" s="58">
        <f t="shared" si="35"/>
        <v>0.12319772558045095</v>
      </c>
      <c r="N99">
        <v>98</v>
      </c>
      <c r="O99" t="str">
        <f t="shared" si="36"/>
        <v>147.73</v>
      </c>
      <c r="P99">
        <f t="shared" ref="P99" si="55">(O100-O98)/O98</f>
        <v>8.7637650760356609E-2</v>
      </c>
    </row>
    <row r="100" spans="1:16">
      <c r="A100" s="33">
        <f t="shared" si="38"/>
        <v>99</v>
      </c>
      <c r="B100" s="38">
        <v>43257</v>
      </c>
      <c r="C100" s="34" t="s">
        <v>191</v>
      </c>
      <c r="D100" s="38"/>
      <c r="J100">
        <v>99</v>
      </c>
      <c r="K100" s="33" t="str">
        <f t="shared" si="40"/>
        <v>165.93</v>
      </c>
      <c r="L100" s="58">
        <f t="shared" si="35"/>
        <v>-8.0576146567829826E-2</v>
      </c>
      <c r="N100">
        <v>99</v>
      </c>
      <c r="O100" t="str">
        <f t="shared" si="36"/>
        <v>165.93</v>
      </c>
      <c r="P100">
        <f>0</f>
        <v>0</v>
      </c>
    </row>
    <row r="101" spans="1:16">
      <c r="A101" s="33">
        <f t="shared" si="38"/>
        <v>100</v>
      </c>
      <c r="B101" s="38">
        <v>43258</v>
      </c>
      <c r="C101" s="34" t="s">
        <v>192</v>
      </c>
      <c r="D101" s="38"/>
      <c r="J101">
        <v>100</v>
      </c>
      <c r="K101" s="33" t="str">
        <f t="shared" si="40"/>
        <v>152.56</v>
      </c>
      <c r="L101" s="58">
        <f t="shared" si="35"/>
        <v>-3.1659674882013718E-2</v>
      </c>
      <c r="N101">
        <v>100</v>
      </c>
      <c r="O101" t="str">
        <f t="shared" si="36"/>
        <v>152.56</v>
      </c>
      <c r="P101">
        <f t="shared" ref="P101" si="56">(O102-O100)/O100</f>
        <v>-0.10968480684626057</v>
      </c>
    </row>
    <row r="102" spans="1:16">
      <c r="A102" s="33">
        <f t="shared" si="38"/>
        <v>101</v>
      </c>
      <c r="B102" s="38">
        <v>43259</v>
      </c>
      <c r="C102" s="34" t="s">
        <v>193</v>
      </c>
      <c r="D102" s="38"/>
      <c r="J102">
        <v>101</v>
      </c>
      <c r="K102" s="33" t="str">
        <f t="shared" si="40"/>
        <v>147.73</v>
      </c>
      <c r="L102" s="58">
        <f t="shared" si="35"/>
        <v>0.12319772558045095</v>
      </c>
      <c r="N102">
        <v>101</v>
      </c>
      <c r="O102" t="str">
        <f t="shared" si="36"/>
        <v>147.73</v>
      </c>
      <c r="P102">
        <f>0</f>
        <v>0</v>
      </c>
    </row>
    <row r="103" spans="1:16">
      <c r="A103" s="33">
        <f t="shared" si="38"/>
        <v>102</v>
      </c>
      <c r="B103" s="38">
        <v>43262</v>
      </c>
      <c r="C103" s="34" t="s">
        <v>120</v>
      </c>
      <c r="D103" s="38"/>
      <c r="J103">
        <v>102</v>
      </c>
      <c r="K103" s="33" t="str">
        <f t="shared" si="40"/>
        <v>165.93</v>
      </c>
      <c r="L103" s="58">
        <f t="shared" si="35"/>
        <v>-8.0576146567829826E-2</v>
      </c>
      <c r="N103">
        <v>102</v>
      </c>
      <c r="O103" t="str">
        <f t="shared" si="36"/>
        <v>165.93</v>
      </c>
      <c r="P103">
        <f t="shared" ref="P103" si="57">(O104-O102)/O102</f>
        <v>3.2694781019427417E-2</v>
      </c>
    </row>
    <row r="104" spans="1:16">
      <c r="A104" s="33">
        <f t="shared" si="38"/>
        <v>103</v>
      </c>
      <c r="B104" s="38">
        <v>43263</v>
      </c>
      <c r="C104" s="34" t="s">
        <v>194</v>
      </c>
      <c r="D104" s="38"/>
      <c r="J104">
        <v>103</v>
      </c>
      <c r="K104" s="33" t="str">
        <f t="shared" si="40"/>
        <v>152.56</v>
      </c>
      <c r="L104" s="58">
        <f t="shared" si="35"/>
        <v>-1</v>
      </c>
      <c r="N104">
        <v>103</v>
      </c>
      <c r="O104" t="str">
        <f t="shared" si="36"/>
        <v>152.56</v>
      </c>
      <c r="P104">
        <f>0</f>
        <v>0</v>
      </c>
    </row>
    <row r="105" spans="1:16">
      <c r="A105" s="33">
        <f t="shared" si="38"/>
        <v>104</v>
      </c>
      <c r="B105" s="38">
        <v>43264</v>
      </c>
      <c r="C105" s="34" t="s">
        <v>195</v>
      </c>
      <c r="D105" s="38"/>
    </row>
    <row r="106" spans="1:16">
      <c r="A106" s="33">
        <f t="shared" si="38"/>
        <v>105</v>
      </c>
      <c r="B106" s="38">
        <v>43265</v>
      </c>
      <c r="C106" s="34" t="s">
        <v>194</v>
      </c>
      <c r="D106" s="38"/>
    </row>
    <row r="107" spans="1:16">
      <c r="A107" s="33">
        <f t="shared" si="38"/>
        <v>106</v>
      </c>
      <c r="B107" s="38">
        <v>43266</v>
      </c>
      <c r="C107" s="34" t="s">
        <v>196</v>
      </c>
      <c r="D107" s="38"/>
    </row>
    <row r="108" spans="1:16">
      <c r="A108" s="33">
        <f t="shared" si="38"/>
        <v>107</v>
      </c>
      <c r="B108" s="38">
        <v>43269</v>
      </c>
      <c r="C108" s="34" t="s">
        <v>197</v>
      </c>
      <c r="D108" s="38"/>
    </row>
    <row r="109" spans="1:16">
      <c r="A109" s="33">
        <f t="shared" si="38"/>
        <v>108</v>
      </c>
      <c r="B109" s="38">
        <v>43270</v>
      </c>
      <c r="C109" s="34" t="s">
        <v>198</v>
      </c>
      <c r="D109" s="38"/>
    </row>
    <row r="110" spans="1:16">
      <c r="A110" s="33">
        <f t="shared" si="38"/>
        <v>109</v>
      </c>
      <c r="B110" s="38">
        <v>43271</v>
      </c>
      <c r="C110" s="34" t="s">
        <v>199</v>
      </c>
      <c r="D110" s="38"/>
    </row>
    <row r="111" spans="1:16">
      <c r="A111" s="33">
        <f t="shared" si="38"/>
        <v>110</v>
      </c>
      <c r="B111" s="38">
        <v>43272</v>
      </c>
      <c r="C111" s="34" t="s">
        <v>200</v>
      </c>
      <c r="D111" s="38"/>
    </row>
    <row r="112" spans="1:16">
      <c r="A112" s="33">
        <f t="shared" si="38"/>
        <v>111</v>
      </c>
      <c r="B112" s="38">
        <v>43273</v>
      </c>
      <c r="C112" s="34" t="s">
        <v>187</v>
      </c>
      <c r="D112" s="38"/>
    </row>
    <row r="113" spans="1:4">
      <c r="A113" s="33">
        <f t="shared" si="38"/>
        <v>112</v>
      </c>
      <c r="B113" s="38">
        <v>43276</v>
      </c>
      <c r="C113" s="34" t="s">
        <v>201</v>
      </c>
      <c r="D113" s="38"/>
    </row>
    <row r="114" spans="1:4">
      <c r="A114" s="33">
        <f t="shared" si="38"/>
        <v>113</v>
      </c>
      <c r="B114" s="38">
        <v>43277</v>
      </c>
      <c r="C114" s="34" t="s">
        <v>202</v>
      </c>
      <c r="D114" s="38"/>
    </row>
    <row r="115" spans="1:4">
      <c r="A115" s="33">
        <f t="shared" si="38"/>
        <v>114</v>
      </c>
      <c r="B115" s="38">
        <v>43278</v>
      </c>
      <c r="C115" s="34" t="s">
        <v>203</v>
      </c>
      <c r="D115" s="38"/>
    </row>
    <row r="116" spans="1:4">
      <c r="A116" s="33">
        <f t="shared" si="38"/>
        <v>115</v>
      </c>
      <c r="B116" s="38">
        <v>43279</v>
      </c>
      <c r="C116" s="34" t="s">
        <v>204</v>
      </c>
      <c r="D116" s="38"/>
    </row>
    <row r="117" spans="1:4">
      <c r="A117" s="33">
        <f t="shared" si="38"/>
        <v>116</v>
      </c>
      <c r="B117" s="38">
        <v>43280</v>
      </c>
      <c r="C117" s="34" t="s">
        <v>178</v>
      </c>
      <c r="D117" s="38"/>
    </row>
    <row r="118" spans="1:4">
      <c r="A118" s="33">
        <f t="shared" si="38"/>
        <v>117</v>
      </c>
      <c r="B118" s="38">
        <v>43283</v>
      </c>
      <c r="C118" s="34" t="s">
        <v>205</v>
      </c>
      <c r="D118" s="38"/>
    </row>
    <row r="119" spans="1:4">
      <c r="A119" s="33">
        <f t="shared" si="38"/>
        <v>118</v>
      </c>
      <c r="B119" s="38">
        <v>43284</v>
      </c>
      <c r="C119" s="34" t="s">
        <v>206</v>
      </c>
      <c r="D119" s="38"/>
    </row>
    <row r="120" spans="1:4">
      <c r="A120" s="33">
        <f t="shared" si="38"/>
        <v>119</v>
      </c>
      <c r="B120" s="38">
        <v>43285</v>
      </c>
      <c r="C120" s="34" t="s">
        <v>206</v>
      </c>
      <c r="D120" s="38"/>
    </row>
    <row r="121" spans="1:4">
      <c r="A121" s="33">
        <f t="shared" si="38"/>
        <v>120</v>
      </c>
      <c r="B121" s="38">
        <v>43286</v>
      </c>
      <c r="C121" s="34" t="s">
        <v>207</v>
      </c>
      <c r="D121" s="38"/>
    </row>
    <row r="122" spans="1:4">
      <c r="A122" s="33">
        <f t="shared" si="38"/>
        <v>121</v>
      </c>
      <c r="B122" s="38">
        <v>43287</v>
      </c>
      <c r="C122" s="34" t="s">
        <v>208</v>
      </c>
      <c r="D122" s="38"/>
    </row>
    <row r="123" spans="1:4">
      <c r="A123" s="33">
        <f t="shared" si="38"/>
        <v>122</v>
      </c>
      <c r="B123" s="38">
        <v>43290</v>
      </c>
      <c r="C123" s="34" t="s">
        <v>209</v>
      </c>
      <c r="D123" s="38"/>
    </row>
    <row r="124" spans="1:4">
      <c r="A124" s="33">
        <f t="shared" si="38"/>
        <v>123</v>
      </c>
      <c r="B124" s="38">
        <v>43291</v>
      </c>
      <c r="C124" s="34" t="s">
        <v>210</v>
      </c>
      <c r="D124" s="38"/>
    </row>
    <row r="125" spans="1:4">
      <c r="A125" s="33">
        <f t="shared" si="38"/>
        <v>124</v>
      </c>
      <c r="B125" s="38">
        <v>43292</v>
      </c>
      <c r="C125" s="34" t="s">
        <v>211</v>
      </c>
      <c r="D125" s="38"/>
    </row>
    <row r="126" spans="1:4">
      <c r="A126" s="33">
        <f t="shared" si="38"/>
        <v>125</v>
      </c>
      <c r="B126" s="38">
        <v>43293</v>
      </c>
      <c r="C126" s="34" t="s">
        <v>212</v>
      </c>
      <c r="D126" s="38"/>
    </row>
    <row r="127" spans="1:4">
      <c r="A127" s="33">
        <f t="shared" si="38"/>
        <v>126</v>
      </c>
      <c r="B127" s="38">
        <v>43294</v>
      </c>
      <c r="C127" s="34" t="s">
        <v>209</v>
      </c>
      <c r="D127" s="38"/>
    </row>
    <row r="128" spans="1:4">
      <c r="A128" s="33">
        <f t="shared" si="38"/>
        <v>127</v>
      </c>
      <c r="B128" s="38">
        <v>43297</v>
      </c>
      <c r="C128" s="34" t="s">
        <v>213</v>
      </c>
      <c r="D128" s="38"/>
    </row>
    <row r="129" spans="1:4">
      <c r="A129" s="33">
        <f t="shared" si="38"/>
        <v>128</v>
      </c>
      <c r="B129" s="38">
        <v>43298</v>
      </c>
      <c r="C129" s="34" t="s">
        <v>196</v>
      </c>
      <c r="D129" s="38"/>
    </row>
    <row r="130" spans="1:4">
      <c r="A130" s="33">
        <f t="shared" si="38"/>
        <v>129</v>
      </c>
      <c r="B130" s="38">
        <v>43299</v>
      </c>
      <c r="C130" s="34" t="s">
        <v>214</v>
      </c>
      <c r="D130" s="38"/>
    </row>
    <row r="131" spans="1:4">
      <c r="A131" s="33">
        <f t="shared" si="38"/>
        <v>130</v>
      </c>
      <c r="B131" s="38">
        <v>43300</v>
      </c>
      <c r="C131" s="34" t="s">
        <v>215</v>
      </c>
      <c r="D131" s="38"/>
    </row>
    <row r="132" spans="1:4">
      <c r="A132" s="33">
        <f t="shared" ref="A132:A195" si="58">A131+1</f>
        <v>131</v>
      </c>
      <c r="B132" s="38">
        <v>43301</v>
      </c>
      <c r="C132" s="34" t="s">
        <v>209</v>
      </c>
      <c r="D132" s="38"/>
    </row>
    <row r="133" spans="1:4">
      <c r="A133" s="33">
        <f t="shared" si="58"/>
        <v>132</v>
      </c>
      <c r="B133" s="38">
        <v>43304</v>
      </c>
      <c r="C133" s="34" t="s">
        <v>216</v>
      </c>
      <c r="D133" s="38"/>
    </row>
    <row r="134" spans="1:4">
      <c r="A134" s="33">
        <f t="shared" si="58"/>
        <v>133</v>
      </c>
      <c r="B134" s="38">
        <v>43305</v>
      </c>
      <c r="C134" s="34" t="s">
        <v>196</v>
      </c>
      <c r="D134" s="38"/>
    </row>
    <row r="135" spans="1:4">
      <c r="A135" s="33">
        <f t="shared" si="58"/>
        <v>134</v>
      </c>
      <c r="B135" s="38">
        <v>43306</v>
      </c>
      <c r="C135" s="34" t="s">
        <v>217</v>
      </c>
      <c r="D135" s="38"/>
    </row>
    <row r="136" spans="1:4">
      <c r="A136" s="33">
        <f t="shared" si="58"/>
        <v>135</v>
      </c>
      <c r="B136" s="38">
        <v>43307</v>
      </c>
      <c r="C136" s="34" t="s">
        <v>218</v>
      </c>
      <c r="D136" s="38"/>
    </row>
    <row r="137" spans="1:4">
      <c r="A137" s="33">
        <f t="shared" si="58"/>
        <v>136</v>
      </c>
      <c r="B137" s="38">
        <v>43308</v>
      </c>
      <c r="C137" s="34" t="s">
        <v>219</v>
      </c>
      <c r="D137" s="38"/>
    </row>
    <row r="138" spans="1:4">
      <c r="A138" s="33">
        <f t="shared" si="58"/>
        <v>137</v>
      </c>
      <c r="B138" s="38">
        <v>43311</v>
      </c>
      <c r="C138" s="34" t="s">
        <v>220</v>
      </c>
      <c r="D138" s="38"/>
    </row>
    <row r="139" spans="1:4">
      <c r="A139" s="33">
        <f t="shared" si="58"/>
        <v>138</v>
      </c>
      <c r="B139" s="38">
        <v>43312</v>
      </c>
      <c r="C139" s="34" t="s">
        <v>221</v>
      </c>
      <c r="D139" s="38"/>
    </row>
    <row r="140" spans="1:4">
      <c r="A140" s="33">
        <f t="shared" si="58"/>
        <v>139</v>
      </c>
      <c r="B140" s="38">
        <v>43313</v>
      </c>
      <c r="C140" s="34" t="s">
        <v>222</v>
      </c>
      <c r="D140" s="38"/>
    </row>
    <row r="141" spans="1:4">
      <c r="A141" s="33">
        <f t="shared" si="58"/>
        <v>140</v>
      </c>
      <c r="B141" s="38">
        <v>43314</v>
      </c>
      <c r="C141" s="34" t="s">
        <v>223</v>
      </c>
      <c r="D141" s="38"/>
    </row>
    <row r="142" spans="1:4">
      <c r="A142" s="33">
        <f t="shared" si="58"/>
        <v>141</v>
      </c>
      <c r="B142" s="38">
        <v>43315</v>
      </c>
      <c r="C142" s="34" t="s">
        <v>224</v>
      </c>
      <c r="D142" s="38"/>
    </row>
    <row r="143" spans="1:4">
      <c r="A143" s="33">
        <f t="shared" si="58"/>
        <v>142</v>
      </c>
      <c r="B143" s="38">
        <v>43318</v>
      </c>
      <c r="C143" s="34" t="s">
        <v>225</v>
      </c>
      <c r="D143" s="38"/>
    </row>
    <row r="144" spans="1:4">
      <c r="A144" s="33">
        <f t="shared" si="58"/>
        <v>143</v>
      </c>
      <c r="B144" s="38">
        <v>43319</v>
      </c>
      <c r="C144" s="34" t="s">
        <v>226</v>
      </c>
      <c r="D144" s="38"/>
    </row>
    <row r="145" spans="1:4">
      <c r="A145" s="33">
        <f t="shared" si="58"/>
        <v>144</v>
      </c>
      <c r="B145" s="38">
        <v>43320</v>
      </c>
      <c r="C145" s="34" t="s">
        <v>227</v>
      </c>
      <c r="D145" s="38"/>
    </row>
    <row r="146" spans="1:4">
      <c r="A146" s="33">
        <f t="shared" si="58"/>
        <v>145</v>
      </c>
      <c r="B146" s="38">
        <v>43321</v>
      </c>
      <c r="C146" s="34" t="s">
        <v>228</v>
      </c>
      <c r="D146" s="38"/>
    </row>
    <row r="147" spans="1:4">
      <c r="A147" s="33">
        <f t="shared" si="58"/>
        <v>146</v>
      </c>
      <c r="B147" s="38">
        <v>43322</v>
      </c>
      <c r="C147" s="34" t="s">
        <v>229</v>
      </c>
      <c r="D147" s="38"/>
    </row>
    <row r="148" spans="1:4">
      <c r="A148" s="33">
        <f t="shared" si="58"/>
        <v>147</v>
      </c>
      <c r="B148" s="38">
        <v>43325</v>
      </c>
      <c r="C148" s="34" t="s">
        <v>189</v>
      </c>
      <c r="D148" s="38"/>
    </row>
    <row r="149" spans="1:4">
      <c r="A149" s="33">
        <f t="shared" si="58"/>
        <v>148</v>
      </c>
      <c r="B149" s="38">
        <v>43326</v>
      </c>
      <c r="C149" s="34" t="s">
        <v>230</v>
      </c>
      <c r="D149" s="38"/>
    </row>
    <row r="150" spans="1:4">
      <c r="A150" s="33">
        <f t="shared" si="58"/>
        <v>149</v>
      </c>
      <c r="B150" s="38">
        <v>43327</v>
      </c>
      <c r="C150" s="34" t="s">
        <v>135</v>
      </c>
      <c r="D150" s="38"/>
    </row>
    <row r="151" spans="1:4">
      <c r="A151" s="33">
        <f t="shared" si="58"/>
        <v>150</v>
      </c>
      <c r="B151" s="38">
        <v>43328</v>
      </c>
      <c r="C151" s="34" t="s">
        <v>231</v>
      </c>
      <c r="D151" s="38"/>
    </row>
    <row r="152" spans="1:4">
      <c r="A152" s="33">
        <f t="shared" si="58"/>
        <v>151</v>
      </c>
      <c r="B152" s="38">
        <v>43329</v>
      </c>
      <c r="C152" s="34" t="s">
        <v>232</v>
      </c>
      <c r="D152" s="38"/>
    </row>
    <row r="153" spans="1:4">
      <c r="A153" s="33">
        <f t="shared" si="58"/>
        <v>152</v>
      </c>
      <c r="B153" s="38">
        <v>43332</v>
      </c>
      <c r="C153" s="34" t="s">
        <v>233</v>
      </c>
      <c r="D153" s="38"/>
    </row>
    <row r="154" spans="1:4">
      <c r="A154" s="33">
        <f t="shared" si="58"/>
        <v>153</v>
      </c>
      <c r="B154" s="38">
        <v>43333</v>
      </c>
      <c r="C154" s="34" t="s">
        <v>234</v>
      </c>
      <c r="D154" s="38"/>
    </row>
    <row r="155" spans="1:4">
      <c r="A155" s="33">
        <f t="shared" si="58"/>
        <v>154</v>
      </c>
      <c r="B155" s="38">
        <v>43334</v>
      </c>
      <c r="C155" s="34" t="s">
        <v>235</v>
      </c>
      <c r="D155" s="38"/>
    </row>
    <row r="156" spans="1:4">
      <c r="A156" s="33">
        <f t="shared" si="58"/>
        <v>155</v>
      </c>
      <c r="B156" s="38">
        <v>43335</v>
      </c>
      <c r="C156" s="34" t="s">
        <v>236</v>
      </c>
      <c r="D156" s="38"/>
    </row>
    <row r="157" spans="1:4">
      <c r="A157" s="33">
        <f t="shared" si="58"/>
        <v>156</v>
      </c>
      <c r="B157" s="38">
        <v>43336</v>
      </c>
      <c r="C157" s="34" t="s">
        <v>237</v>
      </c>
      <c r="D157" s="38"/>
    </row>
    <row r="158" spans="1:4">
      <c r="A158" s="33">
        <f t="shared" si="58"/>
        <v>157</v>
      </c>
      <c r="B158" s="38">
        <v>43339</v>
      </c>
      <c r="C158" s="34" t="s">
        <v>238</v>
      </c>
      <c r="D158" s="38"/>
    </row>
    <row r="159" spans="1:4">
      <c r="A159" s="33">
        <f t="shared" si="58"/>
        <v>158</v>
      </c>
      <c r="B159" s="38">
        <v>43340</v>
      </c>
      <c r="C159" s="34" t="s">
        <v>239</v>
      </c>
      <c r="D159" s="38"/>
    </row>
    <row r="160" spans="1:4">
      <c r="A160" s="33">
        <f t="shared" si="58"/>
        <v>159</v>
      </c>
      <c r="B160" s="38">
        <v>43341</v>
      </c>
      <c r="C160" s="34" t="s">
        <v>240</v>
      </c>
      <c r="D160" s="38"/>
    </row>
    <row r="161" spans="1:4">
      <c r="A161" s="33">
        <f t="shared" si="58"/>
        <v>160</v>
      </c>
      <c r="B161" s="38">
        <v>43342</v>
      </c>
      <c r="C161" s="34" t="s">
        <v>241</v>
      </c>
      <c r="D161" s="38"/>
    </row>
    <row r="162" spans="1:4">
      <c r="A162" s="33">
        <f t="shared" si="58"/>
        <v>161</v>
      </c>
      <c r="B162" s="38">
        <v>43343</v>
      </c>
      <c r="C162" s="34" t="s">
        <v>242</v>
      </c>
      <c r="D162" s="38"/>
    </row>
    <row r="163" spans="1:4">
      <c r="A163" s="33">
        <f t="shared" si="58"/>
        <v>162</v>
      </c>
      <c r="B163" s="38">
        <v>43346</v>
      </c>
      <c r="C163" s="34" t="s">
        <v>242</v>
      </c>
      <c r="D163" s="38"/>
    </row>
    <row r="164" spans="1:4">
      <c r="A164" s="33">
        <f t="shared" si="58"/>
        <v>163</v>
      </c>
      <c r="B164" s="38">
        <v>43347</v>
      </c>
      <c r="C164" s="34" t="s">
        <v>243</v>
      </c>
      <c r="D164" s="38"/>
    </row>
    <row r="165" spans="1:4">
      <c r="A165" s="33">
        <f t="shared" si="58"/>
        <v>164</v>
      </c>
      <c r="B165" s="38">
        <v>43348</v>
      </c>
      <c r="C165" s="34" t="s">
        <v>244</v>
      </c>
      <c r="D165" s="38"/>
    </row>
    <row r="166" spans="1:4">
      <c r="A166" s="33">
        <f t="shared" si="58"/>
        <v>165</v>
      </c>
      <c r="B166" s="38">
        <v>43349</v>
      </c>
      <c r="C166" s="34" t="s">
        <v>217</v>
      </c>
      <c r="D166" s="38"/>
    </row>
    <row r="167" spans="1:4">
      <c r="A167" s="33">
        <f t="shared" si="58"/>
        <v>166</v>
      </c>
      <c r="B167" s="38">
        <v>43350</v>
      </c>
      <c r="C167" s="34" t="s">
        <v>245</v>
      </c>
      <c r="D167" s="38"/>
    </row>
    <row r="168" spans="1:4">
      <c r="A168" s="33">
        <f t="shared" si="58"/>
        <v>167</v>
      </c>
      <c r="B168" s="38">
        <v>43353</v>
      </c>
      <c r="C168" s="34" t="s">
        <v>246</v>
      </c>
      <c r="D168" s="38"/>
    </row>
    <row r="169" spans="1:4">
      <c r="A169" s="33">
        <f t="shared" si="58"/>
        <v>168</v>
      </c>
      <c r="B169" s="38">
        <v>43354</v>
      </c>
      <c r="C169" s="34" t="s">
        <v>247</v>
      </c>
      <c r="D169" s="38"/>
    </row>
    <row r="170" spans="1:4">
      <c r="A170" s="33">
        <f t="shared" si="58"/>
        <v>169</v>
      </c>
      <c r="B170" s="38">
        <v>43355</v>
      </c>
      <c r="C170" s="34" t="s">
        <v>225</v>
      </c>
      <c r="D170" s="38"/>
    </row>
    <row r="171" spans="1:4">
      <c r="A171" s="33">
        <f t="shared" si="58"/>
        <v>170</v>
      </c>
      <c r="B171" s="38">
        <v>43356</v>
      </c>
      <c r="C171" s="34" t="s">
        <v>248</v>
      </c>
      <c r="D171" s="38"/>
    </row>
    <row r="172" spans="1:4">
      <c r="A172" s="33">
        <f t="shared" si="58"/>
        <v>171</v>
      </c>
      <c r="B172" s="38">
        <v>43357</v>
      </c>
      <c r="C172" s="34" t="s">
        <v>249</v>
      </c>
      <c r="D172" s="38"/>
    </row>
    <row r="173" spans="1:4">
      <c r="A173" s="33">
        <f t="shared" si="58"/>
        <v>172</v>
      </c>
      <c r="B173" s="38">
        <v>43360</v>
      </c>
      <c r="C173" s="34" t="s">
        <v>218</v>
      </c>
      <c r="D173" s="38"/>
    </row>
    <row r="174" spans="1:4">
      <c r="A174" s="33">
        <f t="shared" si="58"/>
        <v>173</v>
      </c>
      <c r="B174" s="38">
        <v>43361</v>
      </c>
      <c r="C174" s="34" t="s">
        <v>250</v>
      </c>
      <c r="D174" s="38"/>
    </row>
    <row r="175" spans="1:4">
      <c r="A175" s="33">
        <f t="shared" si="58"/>
        <v>174</v>
      </c>
      <c r="B175" s="38">
        <v>43362</v>
      </c>
      <c r="C175" s="34" t="s">
        <v>251</v>
      </c>
      <c r="D175" s="38"/>
    </row>
    <row r="176" spans="1:4">
      <c r="A176" s="33">
        <f t="shared" si="58"/>
        <v>175</v>
      </c>
      <c r="B176" s="38">
        <v>43363</v>
      </c>
      <c r="C176" s="34" t="s">
        <v>252</v>
      </c>
      <c r="D176" s="38"/>
    </row>
    <row r="177" spans="1:4">
      <c r="A177" s="33">
        <f t="shared" si="58"/>
        <v>176</v>
      </c>
      <c r="B177" s="38">
        <v>43364</v>
      </c>
      <c r="C177" s="34" t="s">
        <v>253</v>
      </c>
      <c r="D177" s="38"/>
    </row>
    <row r="178" spans="1:4">
      <c r="A178" s="33">
        <f t="shared" si="58"/>
        <v>177</v>
      </c>
      <c r="B178" s="38">
        <v>43367</v>
      </c>
      <c r="C178" s="34" t="s">
        <v>243</v>
      </c>
      <c r="D178" s="38"/>
    </row>
    <row r="179" spans="1:4">
      <c r="A179" s="33">
        <f t="shared" si="58"/>
        <v>178</v>
      </c>
      <c r="B179" s="38">
        <v>43368</v>
      </c>
      <c r="C179" s="34" t="s">
        <v>254</v>
      </c>
      <c r="D179" s="38"/>
    </row>
    <row r="180" spans="1:4">
      <c r="A180" s="33">
        <f t="shared" si="58"/>
        <v>179</v>
      </c>
      <c r="B180" s="38">
        <v>43369</v>
      </c>
      <c r="C180" s="34" t="s">
        <v>255</v>
      </c>
      <c r="D180" s="38"/>
    </row>
    <row r="181" spans="1:4">
      <c r="A181" s="33">
        <f t="shared" si="58"/>
        <v>180</v>
      </c>
      <c r="B181" s="38">
        <v>43370</v>
      </c>
      <c r="C181" s="34" t="s">
        <v>256</v>
      </c>
      <c r="D181" s="38"/>
    </row>
    <row r="182" spans="1:4">
      <c r="A182" s="33">
        <f t="shared" si="58"/>
        <v>181</v>
      </c>
      <c r="B182" s="38">
        <v>43371</v>
      </c>
      <c r="C182" s="34" t="s">
        <v>257</v>
      </c>
      <c r="D182" s="38"/>
    </row>
    <row r="183" spans="1:4">
      <c r="A183" s="33">
        <f t="shared" si="58"/>
        <v>182</v>
      </c>
      <c r="B183" s="38">
        <v>43374</v>
      </c>
      <c r="C183" s="34" t="s">
        <v>248</v>
      </c>
      <c r="D183" s="38"/>
    </row>
    <row r="184" spans="1:4">
      <c r="A184" s="33">
        <f t="shared" si="58"/>
        <v>183</v>
      </c>
      <c r="B184" s="38">
        <v>43375</v>
      </c>
      <c r="C184" s="34" t="s">
        <v>258</v>
      </c>
      <c r="D184" s="38"/>
    </row>
    <row r="185" spans="1:4">
      <c r="A185" s="33">
        <f t="shared" si="58"/>
        <v>184</v>
      </c>
      <c r="B185" s="38">
        <v>43376</v>
      </c>
      <c r="C185" s="34" t="s">
        <v>194</v>
      </c>
      <c r="D185" s="38"/>
    </row>
    <row r="186" spans="1:4">
      <c r="A186" s="33">
        <f t="shared" si="58"/>
        <v>185</v>
      </c>
      <c r="B186" s="38">
        <v>43377</v>
      </c>
      <c r="C186" s="34" t="s">
        <v>259</v>
      </c>
      <c r="D186" s="38"/>
    </row>
    <row r="187" spans="1:4">
      <c r="A187" s="33">
        <f t="shared" si="58"/>
        <v>186</v>
      </c>
      <c r="B187" s="38">
        <v>43378</v>
      </c>
      <c r="C187" s="34" t="s">
        <v>181</v>
      </c>
      <c r="D187" s="38"/>
    </row>
    <row r="188" spans="1:4">
      <c r="A188" s="33">
        <f t="shared" si="58"/>
        <v>187</v>
      </c>
      <c r="B188" s="38">
        <v>43381</v>
      </c>
      <c r="C188" s="34" t="s">
        <v>140</v>
      </c>
      <c r="D188" s="38"/>
    </row>
    <row r="189" spans="1:4">
      <c r="A189" s="33">
        <f t="shared" si="58"/>
        <v>188</v>
      </c>
      <c r="B189" s="38">
        <v>43382</v>
      </c>
      <c r="C189" s="34" t="s">
        <v>260</v>
      </c>
      <c r="D189" s="38"/>
    </row>
    <row r="190" spans="1:4">
      <c r="A190" s="33">
        <f t="shared" si="58"/>
        <v>189</v>
      </c>
      <c r="B190" s="38">
        <v>43383</v>
      </c>
      <c r="C190" s="34" t="s">
        <v>261</v>
      </c>
      <c r="D190" s="38"/>
    </row>
    <row r="191" spans="1:4">
      <c r="A191" s="33">
        <f t="shared" si="58"/>
        <v>190</v>
      </c>
      <c r="B191" s="38">
        <v>43384</v>
      </c>
      <c r="C191" s="34" t="s">
        <v>262</v>
      </c>
      <c r="D191" s="38"/>
    </row>
    <row r="192" spans="1:4">
      <c r="A192" s="33">
        <f t="shared" si="58"/>
        <v>191</v>
      </c>
      <c r="B192" s="38">
        <v>43385</v>
      </c>
      <c r="C192" s="34" t="s">
        <v>263</v>
      </c>
      <c r="D192" s="38"/>
    </row>
    <row r="193" spans="1:4">
      <c r="A193" s="33">
        <f t="shared" si="58"/>
        <v>192</v>
      </c>
      <c r="B193" s="38">
        <v>43388</v>
      </c>
      <c r="C193" s="34" t="s">
        <v>264</v>
      </c>
      <c r="D193" s="38"/>
    </row>
    <row r="194" spans="1:4">
      <c r="A194" s="33">
        <f t="shared" si="58"/>
        <v>193</v>
      </c>
      <c r="B194" s="38">
        <v>43389</v>
      </c>
      <c r="C194" s="34" t="s">
        <v>265</v>
      </c>
      <c r="D194" s="38"/>
    </row>
    <row r="195" spans="1:4">
      <c r="A195" s="33">
        <f t="shared" si="58"/>
        <v>194</v>
      </c>
      <c r="B195" s="38">
        <v>43390</v>
      </c>
      <c r="C195" s="34" t="s">
        <v>266</v>
      </c>
      <c r="D195" s="38"/>
    </row>
    <row r="196" spans="1:4">
      <c r="A196" s="33">
        <f t="shared" ref="A196:A259" si="59">A195+1</f>
        <v>195</v>
      </c>
      <c r="B196" s="38">
        <v>43391</v>
      </c>
      <c r="C196" s="34" t="s">
        <v>267</v>
      </c>
      <c r="D196" s="38"/>
    </row>
    <row r="197" spans="1:4">
      <c r="A197" s="33">
        <f t="shared" si="59"/>
        <v>196</v>
      </c>
      <c r="B197" s="38">
        <v>43392</v>
      </c>
      <c r="C197" s="34" t="s">
        <v>268</v>
      </c>
      <c r="D197" s="38"/>
    </row>
    <row r="198" spans="1:4">
      <c r="A198" s="33">
        <f t="shared" si="59"/>
        <v>197</v>
      </c>
      <c r="B198" s="38">
        <v>43395</v>
      </c>
      <c r="C198" s="34" t="s">
        <v>269</v>
      </c>
      <c r="D198" s="38"/>
    </row>
    <row r="199" spans="1:4">
      <c r="A199" s="33">
        <f t="shared" si="59"/>
        <v>198</v>
      </c>
      <c r="B199" s="38">
        <v>43396</v>
      </c>
      <c r="C199" s="34" t="s">
        <v>270</v>
      </c>
      <c r="D199" s="38"/>
    </row>
    <row r="200" spans="1:4">
      <c r="A200" s="33">
        <f t="shared" si="59"/>
        <v>199</v>
      </c>
      <c r="B200" s="38">
        <v>43397</v>
      </c>
      <c r="C200" s="34" t="s">
        <v>271</v>
      </c>
      <c r="D200" s="38"/>
    </row>
    <row r="201" spans="1:4">
      <c r="A201" s="33">
        <f t="shared" si="59"/>
        <v>200</v>
      </c>
      <c r="B201" s="38">
        <v>43398</v>
      </c>
      <c r="C201" s="34" t="s">
        <v>272</v>
      </c>
      <c r="D201" s="38"/>
    </row>
    <row r="202" spans="1:4">
      <c r="A202" s="33">
        <f t="shared" si="59"/>
        <v>201</v>
      </c>
      <c r="B202" s="38">
        <v>43399</v>
      </c>
      <c r="C202" s="34" t="s">
        <v>273</v>
      </c>
      <c r="D202" s="38"/>
    </row>
    <row r="203" spans="1:4">
      <c r="A203" s="33">
        <f t="shared" si="59"/>
        <v>202</v>
      </c>
      <c r="B203" s="38">
        <v>43402</v>
      </c>
      <c r="C203" s="34" t="s">
        <v>274</v>
      </c>
      <c r="D203" s="38"/>
    </row>
    <row r="204" spans="1:4">
      <c r="A204" s="33">
        <f t="shared" si="59"/>
        <v>203</v>
      </c>
      <c r="B204" s="38">
        <v>43403</v>
      </c>
      <c r="C204" s="34" t="s">
        <v>275</v>
      </c>
      <c r="D204" s="38"/>
    </row>
    <row r="205" spans="1:4">
      <c r="A205" s="33">
        <f t="shared" si="59"/>
        <v>204</v>
      </c>
      <c r="B205" s="38">
        <v>43404</v>
      </c>
      <c r="C205" s="34" t="s">
        <v>276</v>
      </c>
      <c r="D205" s="38"/>
    </row>
    <row r="206" spans="1:4">
      <c r="A206" s="33">
        <f t="shared" si="59"/>
        <v>205</v>
      </c>
      <c r="B206" s="38">
        <v>43405</v>
      </c>
      <c r="C206" s="34" t="s">
        <v>277</v>
      </c>
      <c r="D206" s="38"/>
    </row>
    <row r="207" spans="1:4">
      <c r="A207" s="33">
        <f t="shared" si="59"/>
        <v>206</v>
      </c>
      <c r="B207" s="38">
        <v>43406</v>
      </c>
      <c r="C207" s="34" t="s">
        <v>278</v>
      </c>
      <c r="D207" s="38"/>
    </row>
    <row r="208" spans="1:4">
      <c r="A208" s="33">
        <f t="shared" si="59"/>
        <v>207</v>
      </c>
      <c r="B208" s="38">
        <v>43409</v>
      </c>
      <c r="C208" s="34" t="s">
        <v>279</v>
      </c>
      <c r="D208" s="38"/>
    </row>
    <row r="209" spans="1:4">
      <c r="A209" s="33">
        <f t="shared" si="59"/>
        <v>208</v>
      </c>
      <c r="B209" s="38">
        <v>43410</v>
      </c>
      <c r="C209" s="34" t="s">
        <v>269</v>
      </c>
      <c r="D209" s="38"/>
    </row>
    <row r="210" spans="1:4">
      <c r="A210" s="33">
        <f t="shared" si="59"/>
        <v>209</v>
      </c>
      <c r="B210" s="38">
        <v>43411</v>
      </c>
      <c r="C210" s="34" t="s">
        <v>280</v>
      </c>
      <c r="D210" s="38"/>
    </row>
    <row r="211" spans="1:4">
      <c r="A211" s="33">
        <f t="shared" si="59"/>
        <v>210</v>
      </c>
      <c r="B211" s="38">
        <v>43412</v>
      </c>
      <c r="C211" s="34" t="s">
        <v>281</v>
      </c>
      <c r="D211" s="38"/>
    </row>
    <row r="212" spans="1:4">
      <c r="A212" s="33">
        <f t="shared" si="59"/>
        <v>211</v>
      </c>
      <c r="B212" s="38">
        <v>43413</v>
      </c>
      <c r="C212" s="34" t="s">
        <v>267</v>
      </c>
      <c r="D212" s="38"/>
    </row>
    <row r="213" spans="1:4">
      <c r="A213" s="33">
        <f t="shared" si="59"/>
        <v>212</v>
      </c>
      <c r="B213" s="38">
        <v>43416</v>
      </c>
      <c r="C213" s="34" t="s">
        <v>282</v>
      </c>
      <c r="D213" s="38"/>
    </row>
    <row r="214" spans="1:4">
      <c r="A214" s="33">
        <f t="shared" si="59"/>
        <v>213</v>
      </c>
      <c r="B214" s="38">
        <v>43417</v>
      </c>
      <c r="C214" s="34" t="s">
        <v>283</v>
      </c>
      <c r="D214" s="38"/>
    </row>
    <row r="215" spans="1:4">
      <c r="A215" s="33">
        <f t="shared" si="59"/>
        <v>214</v>
      </c>
      <c r="B215" s="38">
        <v>43418</v>
      </c>
      <c r="C215" s="34" t="s">
        <v>284</v>
      </c>
      <c r="D215" s="38"/>
    </row>
    <row r="216" spans="1:4">
      <c r="A216" s="33">
        <f t="shared" si="59"/>
        <v>215</v>
      </c>
      <c r="B216" s="38">
        <v>43419</v>
      </c>
      <c r="C216" s="34" t="s">
        <v>285</v>
      </c>
      <c r="D216" s="38"/>
    </row>
    <row r="217" spans="1:4">
      <c r="A217" s="33">
        <f t="shared" si="59"/>
        <v>216</v>
      </c>
      <c r="B217" s="38">
        <v>43420</v>
      </c>
      <c r="C217" s="34" t="s">
        <v>286</v>
      </c>
      <c r="D217" s="38"/>
    </row>
    <row r="218" spans="1:4">
      <c r="A218" s="33">
        <f t="shared" si="59"/>
        <v>217</v>
      </c>
      <c r="B218" s="38">
        <v>43423</v>
      </c>
      <c r="C218" s="34" t="s">
        <v>287</v>
      </c>
      <c r="D218" s="38"/>
    </row>
    <row r="219" spans="1:4">
      <c r="A219" s="33">
        <f t="shared" si="59"/>
        <v>218</v>
      </c>
      <c r="B219" s="38">
        <v>43424</v>
      </c>
      <c r="C219" s="34" t="s">
        <v>288</v>
      </c>
      <c r="D219" s="38"/>
    </row>
    <row r="220" spans="1:4">
      <c r="A220" s="33">
        <f t="shared" si="59"/>
        <v>219</v>
      </c>
      <c r="B220" s="38">
        <v>43425</v>
      </c>
      <c r="C220" s="34" t="s">
        <v>289</v>
      </c>
      <c r="D220" s="38"/>
    </row>
    <row r="221" spans="1:4">
      <c r="A221" s="33">
        <f t="shared" si="59"/>
        <v>220</v>
      </c>
      <c r="B221" s="38">
        <v>43426</v>
      </c>
      <c r="C221" s="34" t="s">
        <v>289</v>
      </c>
      <c r="D221" s="38"/>
    </row>
    <row r="222" spans="1:4">
      <c r="A222" s="33">
        <f t="shared" si="59"/>
        <v>221</v>
      </c>
      <c r="B222" s="38">
        <v>43427</v>
      </c>
      <c r="C222" s="34" t="s">
        <v>290</v>
      </c>
      <c r="D222" s="38"/>
    </row>
    <row r="223" spans="1:4">
      <c r="A223" s="33">
        <f t="shared" si="59"/>
        <v>222</v>
      </c>
      <c r="B223" s="38">
        <v>43430</v>
      </c>
      <c r="C223" s="34" t="s">
        <v>291</v>
      </c>
      <c r="D223" s="38"/>
    </row>
    <row r="224" spans="1:4">
      <c r="A224" s="33">
        <f t="shared" si="59"/>
        <v>223</v>
      </c>
      <c r="B224" s="38">
        <v>43431</v>
      </c>
      <c r="C224" s="34" t="s">
        <v>292</v>
      </c>
      <c r="D224" s="38"/>
    </row>
    <row r="225" spans="1:4">
      <c r="A225" s="33">
        <f t="shared" si="59"/>
        <v>224</v>
      </c>
      <c r="B225" s="38">
        <v>43432</v>
      </c>
      <c r="C225" s="34" t="s">
        <v>293</v>
      </c>
      <c r="D225" s="38"/>
    </row>
    <row r="226" spans="1:4">
      <c r="A226" s="33">
        <f t="shared" si="59"/>
        <v>225</v>
      </c>
      <c r="B226" s="38">
        <v>43433</v>
      </c>
      <c r="C226" s="34" t="s">
        <v>294</v>
      </c>
      <c r="D226" s="38"/>
    </row>
    <row r="227" spans="1:4">
      <c r="A227" s="33">
        <f t="shared" si="59"/>
        <v>226</v>
      </c>
      <c r="B227" s="38">
        <v>43434</v>
      </c>
      <c r="C227" s="34" t="s">
        <v>295</v>
      </c>
      <c r="D227" s="38"/>
    </row>
    <row r="228" spans="1:4">
      <c r="A228" s="33">
        <f t="shared" si="59"/>
        <v>227</v>
      </c>
      <c r="B228" s="38">
        <v>43437</v>
      </c>
      <c r="C228" s="34" t="s">
        <v>203</v>
      </c>
      <c r="D228" s="38"/>
    </row>
    <row r="229" spans="1:4">
      <c r="A229" s="33">
        <f t="shared" si="59"/>
        <v>228</v>
      </c>
      <c r="B229" s="38">
        <v>43438</v>
      </c>
      <c r="C229" s="34" t="s">
        <v>296</v>
      </c>
      <c r="D229" s="38"/>
    </row>
    <row r="230" spans="1:4">
      <c r="A230" s="33">
        <f t="shared" si="59"/>
        <v>229</v>
      </c>
      <c r="B230" s="38">
        <v>43439</v>
      </c>
      <c r="C230" s="34" t="s">
        <v>296</v>
      </c>
      <c r="D230" s="38"/>
    </row>
    <row r="231" spans="1:4">
      <c r="A231" s="33">
        <f t="shared" si="59"/>
        <v>230</v>
      </c>
      <c r="B231" s="38">
        <v>43440</v>
      </c>
      <c r="C231" s="34" t="s">
        <v>297</v>
      </c>
      <c r="D231" s="38"/>
    </row>
    <row r="232" spans="1:4">
      <c r="A232" s="33">
        <f t="shared" si="59"/>
        <v>231</v>
      </c>
      <c r="B232" s="38">
        <v>43441</v>
      </c>
      <c r="C232" s="34" t="s">
        <v>298</v>
      </c>
      <c r="D232" s="38"/>
    </row>
    <row r="233" spans="1:4">
      <c r="A233" s="33">
        <f t="shared" si="59"/>
        <v>232</v>
      </c>
      <c r="B233" s="38">
        <v>43444</v>
      </c>
      <c r="C233" s="34" t="s">
        <v>299</v>
      </c>
      <c r="D233" s="38"/>
    </row>
    <row r="234" spans="1:4">
      <c r="A234" s="33">
        <f t="shared" si="59"/>
        <v>233</v>
      </c>
      <c r="B234" s="38">
        <v>43445</v>
      </c>
      <c r="C234" s="34" t="s">
        <v>300</v>
      </c>
      <c r="D234" s="38"/>
    </row>
    <row r="235" spans="1:4">
      <c r="A235" s="33">
        <f t="shared" si="59"/>
        <v>234</v>
      </c>
      <c r="B235" s="38">
        <v>43446</v>
      </c>
      <c r="C235" s="34" t="s">
        <v>301</v>
      </c>
      <c r="D235" s="38"/>
    </row>
    <row r="236" spans="1:4">
      <c r="A236" s="33">
        <f t="shared" si="59"/>
        <v>235</v>
      </c>
      <c r="B236" s="38">
        <v>43447</v>
      </c>
      <c r="C236" s="34" t="s">
        <v>302</v>
      </c>
      <c r="D236" s="38"/>
    </row>
    <row r="237" spans="1:4">
      <c r="A237" s="33">
        <f t="shared" si="59"/>
        <v>236</v>
      </c>
      <c r="B237" s="38">
        <v>43448</v>
      </c>
      <c r="C237" s="34" t="s">
        <v>303</v>
      </c>
      <c r="D237" s="38"/>
    </row>
    <row r="238" spans="1:4">
      <c r="A238" s="33">
        <f t="shared" si="59"/>
        <v>237</v>
      </c>
      <c r="B238" s="38">
        <v>43451</v>
      </c>
      <c r="C238" s="34" t="s">
        <v>279</v>
      </c>
      <c r="D238" s="38"/>
    </row>
    <row r="239" spans="1:4">
      <c r="A239" s="33">
        <f t="shared" si="59"/>
        <v>238</v>
      </c>
      <c r="B239" s="38">
        <v>43452</v>
      </c>
      <c r="C239" s="34" t="s">
        <v>304</v>
      </c>
      <c r="D239" s="38"/>
    </row>
    <row r="240" spans="1:4">
      <c r="A240" s="33">
        <f t="shared" si="59"/>
        <v>239</v>
      </c>
      <c r="B240" s="38">
        <v>43453</v>
      </c>
      <c r="C240" s="34" t="s">
        <v>305</v>
      </c>
      <c r="D240" s="38"/>
    </row>
    <row r="241" spans="1:4">
      <c r="A241" s="33">
        <f t="shared" si="59"/>
        <v>240</v>
      </c>
      <c r="B241" s="38">
        <v>43454</v>
      </c>
      <c r="C241" s="34" t="s">
        <v>306</v>
      </c>
      <c r="D241" s="38"/>
    </row>
    <row r="242" spans="1:4">
      <c r="A242" s="33">
        <f t="shared" si="59"/>
        <v>241</v>
      </c>
      <c r="B242" s="38">
        <v>43455</v>
      </c>
      <c r="C242" s="34" t="s">
        <v>307</v>
      </c>
      <c r="D242" s="38"/>
    </row>
    <row r="243" spans="1:4">
      <c r="A243" s="33">
        <f t="shared" si="59"/>
        <v>242</v>
      </c>
      <c r="B243" s="38">
        <v>43458</v>
      </c>
      <c r="C243" s="34" t="s">
        <v>308</v>
      </c>
      <c r="D243" s="38"/>
    </row>
    <row r="244" spans="1:4">
      <c r="A244" s="33">
        <f t="shared" si="59"/>
        <v>243</v>
      </c>
      <c r="B244" s="38">
        <v>43459</v>
      </c>
      <c r="C244" s="34" t="s">
        <v>308</v>
      </c>
      <c r="D244" s="38"/>
    </row>
    <row r="245" spans="1:4">
      <c r="A245" s="33">
        <f t="shared" si="59"/>
        <v>244</v>
      </c>
      <c r="B245" s="38">
        <v>43460</v>
      </c>
      <c r="C245" s="34" t="s">
        <v>309</v>
      </c>
      <c r="D245" s="38"/>
    </row>
    <row r="246" spans="1:4">
      <c r="A246" s="33">
        <f t="shared" si="59"/>
        <v>245</v>
      </c>
      <c r="B246" s="38">
        <v>43461</v>
      </c>
      <c r="C246" s="34" t="s">
        <v>310</v>
      </c>
      <c r="D246" s="38"/>
    </row>
    <row r="247" spans="1:4">
      <c r="A247" s="33">
        <f t="shared" si="59"/>
        <v>246</v>
      </c>
      <c r="B247" s="38">
        <v>43462</v>
      </c>
      <c r="C247" s="34" t="s">
        <v>311</v>
      </c>
      <c r="D247" s="38"/>
    </row>
    <row r="248" spans="1:4">
      <c r="A248" s="33">
        <f t="shared" si="59"/>
        <v>247</v>
      </c>
      <c r="B248" s="38">
        <v>43465</v>
      </c>
      <c r="C248" s="34" t="s">
        <v>312</v>
      </c>
      <c r="D248" s="38"/>
    </row>
    <row r="249" spans="1:4">
      <c r="A249" s="33">
        <f t="shared" si="59"/>
        <v>248</v>
      </c>
      <c r="B249" s="38">
        <v>43466</v>
      </c>
      <c r="C249" s="34" t="s">
        <v>312</v>
      </c>
      <c r="D249" s="38"/>
    </row>
    <row r="250" spans="1:4">
      <c r="A250" s="33">
        <f t="shared" si="59"/>
        <v>249</v>
      </c>
      <c r="B250" s="38">
        <v>43467</v>
      </c>
      <c r="C250" s="34" t="s">
        <v>300</v>
      </c>
      <c r="D250" s="38"/>
    </row>
    <row r="251" spans="1:4">
      <c r="A251" s="33">
        <f t="shared" si="59"/>
        <v>250</v>
      </c>
      <c r="B251" s="38">
        <v>43468</v>
      </c>
      <c r="C251" s="34" t="s">
        <v>313</v>
      </c>
      <c r="D251" s="38"/>
    </row>
    <row r="252" spans="1:4">
      <c r="A252" s="33">
        <f t="shared" si="59"/>
        <v>251</v>
      </c>
      <c r="B252" s="38">
        <v>43469</v>
      </c>
      <c r="C252" s="34" t="s">
        <v>294</v>
      </c>
      <c r="D252" s="38"/>
    </row>
    <row r="253" spans="1:4">
      <c r="A253" s="33">
        <f t="shared" si="59"/>
        <v>252</v>
      </c>
      <c r="B253" s="38">
        <v>43472</v>
      </c>
      <c r="C253" s="34" t="s">
        <v>314</v>
      </c>
      <c r="D253" s="38"/>
    </row>
    <row r="254" spans="1:4">
      <c r="A254" s="33">
        <f t="shared" si="59"/>
        <v>253</v>
      </c>
      <c r="B254" s="38">
        <v>43473</v>
      </c>
      <c r="C254" s="34" t="s">
        <v>315</v>
      </c>
      <c r="D254" s="38"/>
    </row>
    <row r="255" spans="1:4">
      <c r="A255" s="33">
        <f t="shared" si="59"/>
        <v>254</v>
      </c>
      <c r="B255" s="38">
        <v>43474</v>
      </c>
      <c r="C255" s="34" t="s">
        <v>316</v>
      </c>
      <c r="D255" s="38"/>
    </row>
    <row r="256" spans="1:4">
      <c r="A256" s="33">
        <f t="shared" si="59"/>
        <v>255</v>
      </c>
      <c r="B256" s="38">
        <v>43475</v>
      </c>
      <c r="C256" s="34" t="s">
        <v>317</v>
      </c>
      <c r="D256" s="38"/>
    </row>
    <row r="257" spans="1:4">
      <c r="A257" s="33">
        <f t="shared" si="59"/>
        <v>256</v>
      </c>
      <c r="B257" s="38">
        <v>43476</v>
      </c>
      <c r="C257" s="34" t="s">
        <v>318</v>
      </c>
      <c r="D257" s="38"/>
    </row>
    <row r="258" spans="1:4">
      <c r="A258" s="33">
        <f t="shared" si="59"/>
        <v>257</v>
      </c>
      <c r="B258" s="38">
        <v>43479</v>
      </c>
      <c r="C258" s="34" t="s">
        <v>319</v>
      </c>
      <c r="D258" s="38"/>
    </row>
    <row r="259" spans="1:4">
      <c r="A259" s="33">
        <f t="shared" si="59"/>
        <v>258</v>
      </c>
      <c r="B259" s="38">
        <v>43480</v>
      </c>
      <c r="C259" s="34" t="s">
        <v>320</v>
      </c>
      <c r="D259" s="38"/>
    </row>
    <row r="260" spans="1:4">
      <c r="A260" s="33">
        <f t="shared" ref="A260:A323" si="60">A259+1</f>
        <v>259</v>
      </c>
      <c r="B260" s="38">
        <v>43481</v>
      </c>
      <c r="C260" s="34" t="s">
        <v>321</v>
      </c>
      <c r="D260" s="38"/>
    </row>
    <row r="261" spans="1:4">
      <c r="A261" s="33">
        <f t="shared" si="60"/>
        <v>260</v>
      </c>
      <c r="B261" s="38">
        <v>43482</v>
      </c>
      <c r="C261" s="34" t="s">
        <v>322</v>
      </c>
      <c r="D261" s="38"/>
    </row>
    <row r="262" spans="1:4">
      <c r="A262" s="33">
        <f t="shared" si="60"/>
        <v>261</v>
      </c>
      <c r="B262" s="38">
        <v>43483</v>
      </c>
      <c r="C262" s="34" t="s">
        <v>150</v>
      </c>
      <c r="D262" s="38"/>
    </row>
    <row r="263" spans="1:4">
      <c r="A263" s="33">
        <f t="shared" si="60"/>
        <v>262</v>
      </c>
      <c r="B263" s="38">
        <v>43486</v>
      </c>
      <c r="C263" s="34" t="s">
        <v>150</v>
      </c>
      <c r="D263" s="38"/>
    </row>
    <row r="264" spans="1:4">
      <c r="A264" s="33">
        <f t="shared" si="60"/>
        <v>263</v>
      </c>
      <c r="B264" s="38">
        <v>43487</v>
      </c>
      <c r="C264" s="34" t="s">
        <v>318</v>
      </c>
      <c r="D264" s="38"/>
    </row>
    <row r="265" spans="1:4">
      <c r="A265" s="33">
        <f t="shared" si="60"/>
        <v>264</v>
      </c>
      <c r="B265" s="38">
        <v>43488</v>
      </c>
      <c r="C265" s="34" t="s">
        <v>323</v>
      </c>
      <c r="D265" s="38"/>
    </row>
    <row r="266" spans="1:4">
      <c r="A266" s="33">
        <f t="shared" si="60"/>
        <v>265</v>
      </c>
      <c r="B266" s="38">
        <v>43489</v>
      </c>
      <c r="C266" s="34" t="s">
        <v>324</v>
      </c>
      <c r="D266" s="38"/>
    </row>
    <row r="267" spans="1:4">
      <c r="A267" s="33">
        <f t="shared" si="60"/>
        <v>266</v>
      </c>
      <c r="B267" s="38">
        <v>43490</v>
      </c>
      <c r="C267" s="34" t="s">
        <v>325</v>
      </c>
      <c r="D267" s="38"/>
    </row>
    <row r="268" spans="1:4">
      <c r="A268" s="33">
        <f t="shared" si="60"/>
        <v>267</v>
      </c>
      <c r="B268" s="38">
        <v>43493</v>
      </c>
      <c r="C268" s="34" t="s">
        <v>326</v>
      </c>
      <c r="D268" s="38"/>
    </row>
    <row r="269" spans="1:4">
      <c r="A269" s="33">
        <f t="shared" si="60"/>
        <v>268</v>
      </c>
      <c r="B269" s="38">
        <v>43494</v>
      </c>
      <c r="C269" s="34" t="s">
        <v>121</v>
      </c>
      <c r="D269" s="38"/>
    </row>
    <row r="270" spans="1:4">
      <c r="A270" s="33">
        <f t="shared" si="60"/>
        <v>269</v>
      </c>
      <c r="B270" s="38">
        <v>43495</v>
      </c>
      <c r="C270" s="34" t="s">
        <v>153</v>
      </c>
      <c r="D270" s="38"/>
    </row>
    <row r="271" spans="1:4">
      <c r="A271" s="33">
        <f t="shared" si="60"/>
        <v>270</v>
      </c>
      <c r="B271" s="38">
        <v>43496</v>
      </c>
      <c r="C271" s="34" t="s">
        <v>327</v>
      </c>
      <c r="D271" s="38"/>
    </row>
    <row r="272" spans="1:4">
      <c r="A272" s="33">
        <f t="shared" si="60"/>
        <v>271</v>
      </c>
      <c r="B272" s="38">
        <v>43497</v>
      </c>
      <c r="C272" s="34" t="s">
        <v>176</v>
      </c>
      <c r="D272" s="38"/>
    </row>
    <row r="273" spans="1:4">
      <c r="A273" s="33">
        <f t="shared" si="60"/>
        <v>272</v>
      </c>
      <c r="B273" s="38">
        <v>43500</v>
      </c>
      <c r="C273" s="34" t="s">
        <v>184</v>
      </c>
      <c r="D273" s="38"/>
    </row>
    <row r="274" spans="1:4">
      <c r="A274" s="33">
        <f t="shared" si="60"/>
        <v>273</v>
      </c>
      <c r="B274" s="38">
        <v>43501</v>
      </c>
      <c r="C274" s="34" t="s">
        <v>328</v>
      </c>
      <c r="D274" s="38"/>
    </row>
    <row r="275" spans="1:4">
      <c r="A275" s="33">
        <f t="shared" si="60"/>
        <v>274</v>
      </c>
      <c r="B275" s="38">
        <v>43502</v>
      </c>
      <c r="C275" s="34" t="s">
        <v>329</v>
      </c>
      <c r="D275" s="38"/>
    </row>
    <row r="276" spans="1:4">
      <c r="A276" s="33">
        <f t="shared" si="60"/>
        <v>275</v>
      </c>
      <c r="B276" s="38">
        <v>43503</v>
      </c>
      <c r="C276" s="34" t="s">
        <v>147</v>
      </c>
      <c r="D276" s="38"/>
    </row>
    <row r="277" spans="1:4">
      <c r="A277" s="33">
        <f t="shared" si="60"/>
        <v>276</v>
      </c>
      <c r="B277" s="38">
        <v>43504</v>
      </c>
      <c r="C277" s="34" t="s">
        <v>330</v>
      </c>
      <c r="D277" s="38"/>
    </row>
    <row r="278" spans="1:4">
      <c r="A278" s="33">
        <f t="shared" si="60"/>
        <v>277</v>
      </c>
      <c r="B278" s="38">
        <v>43507</v>
      </c>
      <c r="C278" s="34" t="s">
        <v>147</v>
      </c>
      <c r="D278" s="38"/>
    </row>
    <row r="279" spans="1:4">
      <c r="A279" s="33">
        <f t="shared" si="60"/>
        <v>278</v>
      </c>
      <c r="B279" s="38">
        <v>43508</v>
      </c>
      <c r="C279" s="34" t="s">
        <v>188</v>
      </c>
      <c r="D279" s="38"/>
    </row>
    <row r="280" spans="1:4">
      <c r="A280" s="33">
        <f t="shared" si="60"/>
        <v>279</v>
      </c>
      <c r="B280" s="38">
        <v>43509</v>
      </c>
      <c r="C280" s="34" t="s">
        <v>331</v>
      </c>
      <c r="D280" s="38"/>
    </row>
    <row r="281" spans="1:4">
      <c r="A281" s="33">
        <f t="shared" si="60"/>
        <v>280</v>
      </c>
      <c r="B281" s="38">
        <v>43510</v>
      </c>
      <c r="C281" s="34" t="s">
        <v>332</v>
      </c>
      <c r="D281" s="38"/>
    </row>
    <row r="282" spans="1:4">
      <c r="A282" s="33">
        <f t="shared" si="60"/>
        <v>281</v>
      </c>
      <c r="B282" s="38">
        <v>43511</v>
      </c>
      <c r="C282" s="34" t="s">
        <v>196</v>
      </c>
      <c r="D282" s="38"/>
    </row>
    <row r="283" spans="1:4">
      <c r="A283" s="33">
        <f t="shared" si="60"/>
        <v>282</v>
      </c>
      <c r="B283" s="38">
        <v>43514</v>
      </c>
      <c r="C283" s="34" t="s">
        <v>196</v>
      </c>
      <c r="D283" s="38"/>
    </row>
    <row r="284" spans="1:4">
      <c r="A284" s="33">
        <f t="shared" si="60"/>
        <v>283</v>
      </c>
      <c r="B284" s="38">
        <v>43515</v>
      </c>
      <c r="C284" s="34" t="s">
        <v>333</v>
      </c>
      <c r="D284" s="38"/>
    </row>
    <row r="285" spans="1:4">
      <c r="A285" s="33">
        <f t="shared" si="60"/>
        <v>284</v>
      </c>
      <c r="B285" s="38">
        <v>43516</v>
      </c>
      <c r="C285" s="34" t="s">
        <v>334</v>
      </c>
      <c r="D285" s="38"/>
    </row>
    <row r="286" spans="1:4">
      <c r="A286" s="33">
        <f t="shared" si="60"/>
        <v>285</v>
      </c>
      <c r="B286" s="38">
        <v>43517</v>
      </c>
      <c r="C286" s="34" t="s">
        <v>335</v>
      </c>
      <c r="D286" s="38"/>
    </row>
    <row r="287" spans="1:4">
      <c r="A287" s="33">
        <f t="shared" si="60"/>
        <v>286</v>
      </c>
      <c r="B287" s="38">
        <v>43518</v>
      </c>
      <c r="C287" s="34" t="s">
        <v>233</v>
      </c>
      <c r="D287" s="38"/>
    </row>
    <row r="288" spans="1:4">
      <c r="A288" s="33">
        <f t="shared" si="60"/>
        <v>287</v>
      </c>
      <c r="B288" s="38">
        <v>43521</v>
      </c>
      <c r="C288" s="34" t="s">
        <v>233</v>
      </c>
      <c r="D288" s="38"/>
    </row>
    <row r="289" spans="1:4">
      <c r="A289" s="33">
        <f t="shared" si="60"/>
        <v>288</v>
      </c>
      <c r="B289" s="38">
        <v>43522</v>
      </c>
      <c r="C289" s="34" t="s">
        <v>244</v>
      </c>
      <c r="D289" s="38"/>
    </row>
    <row r="290" spans="1:4">
      <c r="A290" s="33">
        <f t="shared" si="60"/>
        <v>289</v>
      </c>
      <c r="B290" s="38">
        <v>43523</v>
      </c>
      <c r="C290" s="34" t="s">
        <v>336</v>
      </c>
      <c r="D290" s="38"/>
    </row>
    <row r="291" spans="1:4">
      <c r="A291" s="33">
        <f t="shared" si="60"/>
        <v>290</v>
      </c>
      <c r="B291" s="38">
        <v>43524</v>
      </c>
      <c r="C291" s="34" t="s">
        <v>221</v>
      </c>
      <c r="D291" s="38"/>
    </row>
    <row r="292" spans="1:4">
      <c r="A292" s="33">
        <f t="shared" si="60"/>
        <v>291</v>
      </c>
      <c r="B292" s="38">
        <v>43525</v>
      </c>
      <c r="C292" s="34" t="s">
        <v>224</v>
      </c>
      <c r="D292" s="38"/>
    </row>
    <row r="293" spans="1:4">
      <c r="A293" s="33">
        <f t="shared" si="60"/>
        <v>292</v>
      </c>
      <c r="B293" s="38">
        <v>43528</v>
      </c>
      <c r="C293" s="34" t="s">
        <v>194</v>
      </c>
      <c r="D293" s="38"/>
    </row>
    <row r="294" spans="1:4">
      <c r="A294" s="33">
        <f t="shared" si="60"/>
        <v>293</v>
      </c>
      <c r="B294" s="38">
        <v>43529</v>
      </c>
      <c r="C294" s="34" t="s">
        <v>224</v>
      </c>
      <c r="D294" s="38"/>
    </row>
    <row r="295" spans="1:4">
      <c r="A295" s="33">
        <f t="shared" si="60"/>
        <v>294</v>
      </c>
      <c r="B295" s="38">
        <v>43530</v>
      </c>
      <c r="C295" s="34" t="s">
        <v>196</v>
      </c>
      <c r="D295" s="38"/>
    </row>
    <row r="296" spans="1:4">
      <c r="A296" s="33">
        <f t="shared" si="60"/>
        <v>295</v>
      </c>
      <c r="B296" s="38">
        <v>43531</v>
      </c>
      <c r="C296" s="34" t="s">
        <v>337</v>
      </c>
      <c r="D296" s="38"/>
    </row>
    <row r="297" spans="1:4">
      <c r="A297" s="33">
        <f t="shared" si="60"/>
        <v>296</v>
      </c>
      <c r="B297" s="38">
        <v>43532</v>
      </c>
      <c r="C297" s="34" t="s">
        <v>338</v>
      </c>
      <c r="D297" s="38"/>
    </row>
    <row r="298" spans="1:4">
      <c r="A298" s="33">
        <f t="shared" si="60"/>
        <v>297</v>
      </c>
      <c r="B298" s="38">
        <v>43535</v>
      </c>
      <c r="C298" s="34" t="s">
        <v>339</v>
      </c>
      <c r="D298" s="38"/>
    </row>
    <row r="299" spans="1:4">
      <c r="A299" s="33">
        <f t="shared" si="60"/>
        <v>298</v>
      </c>
      <c r="B299" s="38">
        <v>43536</v>
      </c>
      <c r="C299" s="34" t="s">
        <v>340</v>
      </c>
      <c r="D299" s="38"/>
    </row>
    <row r="300" spans="1:4">
      <c r="A300" s="33">
        <f t="shared" si="60"/>
        <v>299</v>
      </c>
      <c r="B300" s="38">
        <v>43537</v>
      </c>
      <c r="C300" s="34" t="s">
        <v>341</v>
      </c>
      <c r="D300" s="38"/>
    </row>
    <row r="301" spans="1:4">
      <c r="A301" s="33">
        <f t="shared" si="60"/>
        <v>300</v>
      </c>
      <c r="B301" s="38">
        <v>43538</v>
      </c>
      <c r="C301" s="34" t="s">
        <v>256</v>
      </c>
      <c r="D301" s="38"/>
    </row>
    <row r="302" spans="1:4">
      <c r="A302" s="33">
        <f t="shared" si="60"/>
        <v>301</v>
      </c>
      <c r="B302" s="38">
        <v>43539</v>
      </c>
      <c r="C302" s="34" t="s">
        <v>342</v>
      </c>
      <c r="D302" s="38"/>
    </row>
    <row r="303" spans="1:4">
      <c r="A303" s="33">
        <f t="shared" si="60"/>
        <v>302</v>
      </c>
      <c r="B303" s="38">
        <v>43542</v>
      </c>
      <c r="C303" s="34" t="s">
        <v>343</v>
      </c>
      <c r="D303" s="38"/>
    </row>
    <row r="304" spans="1:4">
      <c r="A304" s="33">
        <f t="shared" si="60"/>
        <v>303</v>
      </c>
      <c r="B304" s="38">
        <v>43543</v>
      </c>
      <c r="C304" s="34" t="s">
        <v>344</v>
      </c>
      <c r="D304" s="38"/>
    </row>
    <row r="305" spans="1:4">
      <c r="A305" s="33">
        <f t="shared" si="60"/>
        <v>304</v>
      </c>
      <c r="B305" s="38">
        <v>43544</v>
      </c>
      <c r="C305" s="34" t="s">
        <v>345</v>
      </c>
      <c r="D305" s="38"/>
    </row>
    <row r="306" spans="1:4">
      <c r="A306" s="33">
        <f t="shared" si="60"/>
        <v>305</v>
      </c>
      <c r="B306" s="38">
        <v>43545</v>
      </c>
      <c r="C306" s="34" t="s">
        <v>346</v>
      </c>
      <c r="D306" s="38"/>
    </row>
    <row r="307" spans="1:4">
      <c r="A307" s="33">
        <f t="shared" si="60"/>
        <v>306</v>
      </c>
      <c r="B307" s="38">
        <v>43546</v>
      </c>
      <c r="C307" s="34" t="s">
        <v>347</v>
      </c>
      <c r="D307" s="38"/>
    </row>
    <row r="308" spans="1:4">
      <c r="A308" s="33">
        <f t="shared" si="60"/>
        <v>307</v>
      </c>
      <c r="B308" s="38">
        <v>43549</v>
      </c>
      <c r="C308" s="34" t="s">
        <v>348</v>
      </c>
      <c r="D308" s="38"/>
    </row>
    <row r="309" spans="1:4">
      <c r="A309" s="33">
        <f t="shared" si="60"/>
        <v>308</v>
      </c>
      <c r="B309" s="38">
        <v>43550</v>
      </c>
      <c r="C309" s="34" t="s">
        <v>349</v>
      </c>
      <c r="D309" s="38"/>
    </row>
    <row r="310" spans="1:4">
      <c r="A310" s="33">
        <f t="shared" si="60"/>
        <v>309</v>
      </c>
      <c r="B310" s="38">
        <v>43551</v>
      </c>
      <c r="C310" s="34" t="s">
        <v>350</v>
      </c>
      <c r="D310" s="38"/>
    </row>
    <row r="311" spans="1:4">
      <c r="A311" s="33">
        <f t="shared" si="60"/>
        <v>310</v>
      </c>
      <c r="B311" s="38">
        <v>43552</v>
      </c>
      <c r="C311" s="34" t="s">
        <v>351</v>
      </c>
      <c r="D311" s="38"/>
    </row>
    <row r="312" spans="1:4">
      <c r="A312" s="33">
        <f t="shared" si="60"/>
        <v>311</v>
      </c>
      <c r="B312" s="38">
        <v>43553</v>
      </c>
      <c r="C312" s="34" t="s">
        <v>352</v>
      </c>
      <c r="D312" s="38"/>
    </row>
    <row r="313" spans="1:4">
      <c r="A313" s="33">
        <f t="shared" si="60"/>
        <v>312</v>
      </c>
      <c r="B313" s="38">
        <v>43556</v>
      </c>
      <c r="C313" s="34" t="s">
        <v>353</v>
      </c>
      <c r="D313" s="38"/>
    </row>
    <row r="314" spans="1:4">
      <c r="A314" s="33">
        <f t="shared" si="60"/>
        <v>313</v>
      </c>
      <c r="B314" s="38">
        <v>43557</v>
      </c>
      <c r="C314" s="34" t="s">
        <v>354</v>
      </c>
      <c r="D314" s="38"/>
    </row>
    <row r="315" spans="1:4">
      <c r="A315" s="33">
        <f t="shared" si="60"/>
        <v>314</v>
      </c>
      <c r="B315" s="38">
        <v>43558</v>
      </c>
      <c r="C315" s="34" t="s">
        <v>355</v>
      </c>
      <c r="D315" s="38"/>
    </row>
    <row r="316" spans="1:4">
      <c r="A316" s="33">
        <f t="shared" si="60"/>
        <v>315</v>
      </c>
      <c r="B316" s="38">
        <v>43559</v>
      </c>
      <c r="C316" s="34" t="s">
        <v>111</v>
      </c>
      <c r="D316" s="38"/>
    </row>
    <row r="317" spans="1:4">
      <c r="A317" s="33">
        <f t="shared" si="60"/>
        <v>316</v>
      </c>
      <c r="B317" s="38">
        <v>43560</v>
      </c>
      <c r="C317" s="34" t="s">
        <v>356</v>
      </c>
      <c r="D317" s="38"/>
    </row>
    <row r="318" spans="1:4">
      <c r="A318" s="33">
        <f t="shared" si="60"/>
        <v>317</v>
      </c>
      <c r="B318" s="38">
        <v>43563</v>
      </c>
      <c r="C318" s="34" t="s">
        <v>357</v>
      </c>
      <c r="D318" s="38"/>
    </row>
    <row r="319" spans="1:4">
      <c r="A319" s="33">
        <f t="shared" si="60"/>
        <v>318</v>
      </c>
      <c r="B319" s="38">
        <v>43564</v>
      </c>
      <c r="C319" s="34" t="s">
        <v>111</v>
      </c>
      <c r="D319" s="38"/>
    </row>
    <row r="320" spans="1:4">
      <c r="A320" s="33">
        <f t="shared" si="60"/>
        <v>319</v>
      </c>
      <c r="B320" s="38">
        <v>43565</v>
      </c>
      <c r="C320" s="34" t="s">
        <v>358</v>
      </c>
      <c r="D320" s="38"/>
    </row>
    <row r="321" spans="1:4">
      <c r="A321" s="33">
        <f t="shared" si="60"/>
        <v>320</v>
      </c>
      <c r="B321" s="38">
        <v>43566</v>
      </c>
      <c r="C321" s="34" t="s">
        <v>359</v>
      </c>
      <c r="D321" s="38"/>
    </row>
    <row r="322" spans="1:4">
      <c r="A322" s="33">
        <f t="shared" si="60"/>
        <v>321</v>
      </c>
      <c r="B322" s="38">
        <v>43567</v>
      </c>
      <c r="C322" s="34" t="s">
        <v>112</v>
      </c>
      <c r="D322" s="38"/>
    </row>
    <row r="323" spans="1:4">
      <c r="A323" s="33">
        <f t="shared" si="60"/>
        <v>322</v>
      </c>
      <c r="B323" s="38">
        <v>43570</v>
      </c>
      <c r="C323" s="34" t="s">
        <v>112</v>
      </c>
      <c r="D323" s="38"/>
    </row>
    <row r="324" spans="1:4">
      <c r="A324" s="33">
        <f t="shared" ref="A324:A387" si="61">A323+1</f>
        <v>323</v>
      </c>
      <c r="B324" s="38">
        <v>43571</v>
      </c>
      <c r="C324" s="34" t="s">
        <v>360</v>
      </c>
      <c r="D324" s="38"/>
    </row>
    <row r="325" spans="1:4">
      <c r="A325" s="33">
        <f t="shared" si="61"/>
        <v>324</v>
      </c>
      <c r="B325" s="38">
        <v>43572</v>
      </c>
      <c r="C325" s="34" t="s">
        <v>361</v>
      </c>
      <c r="D325" s="38"/>
    </row>
    <row r="326" spans="1:4">
      <c r="A326" s="33">
        <f t="shared" si="61"/>
        <v>325</v>
      </c>
      <c r="B326" s="38">
        <v>43573</v>
      </c>
      <c r="C326" s="34" t="s">
        <v>362</v>
      </c>
      <c r="D326" s="38"/>
    </row>
    <row r="327" spans="1:4">
      <c r="A327" s="33">
        <f t="shared" si="61"/>
        <v>326</v>
      </c>
      <c r="B327" s="38">
        <v>43574</v>
      </c>
      <c r="C327" s="34" t="s">
        <v>362</v>
      </c>
      <c r="D327" s="38"/>
    </row>
    <row r="328" spans="1:4">
      <c r="A328" s="33">
        <f t="shared" si="61"/>
        <v>327</v>
      </c>
      <c r="B328" s="38">
        <v>43577</v>
      </c>
      <c r="C328" s="34" t="s">
        <v>360</v>
      </c>
      <c r="D328" s="38"/>
    </row>
    <row r="329" spans="1:4">
      <c r="A329" s="33">
        <f t="shared" si="61"/>
        <v>328</v>
      </c>
      <c r="B329" s="38">
        <v>43578</v>
      </c>
      <c r="C329" s="34" t="s">
        <v>115</v>
      </c>
      <c r="D329" s="38"/>
    </row>
    <row r="330" spans="1:4">
      <c r="A330" s="33">
        <f t="shared" si="61"/>
        <v>329</v>
      </c>
      <c r="B330" s="38">
        <v>43579</v>
      </c>
      <c r="C330" s="34" t="s">
        <v>363</v>
      </c>
      <c r="D330" s="38"/>
    </row>
    <row r="331" spans="1:4">
      <c r="A331" s="33">
        <f t="shared" si="61"/>
        <v>330</v>
      </c>
      <c r="B331" s="38">
        <v>43580</v>
      </c>
      <c r="C331" s="34" t="s">
        <v>364</v>
      </c>
      <c r="D331" s="38"/>
    </row>
    <row r="332" spans="1:4">
      <c r="A332" s="33">
        <f t="shared" si="61"/>
        <v>331</v>
      </c>
      <c r="B332" s="38">
        <v>43581</v>
      </c>
      <c r="C332" s="34" t="s">
        <v>365</v>
      </c>
      <c r="D332" s="38"/>
    </row>
    <row r="333" spans="1:4">
      <c r="A333" s="33">
        <f t="shared" si="61"/>
        <v>332</v>
      </c>
      <c r="B333" s="38">
        <v>43584</v>
      </c>
      <c r="C333" s="34" t="s">
        <v>366</v>
      </c>
      <c r="D333" s="38"/>
    </row>
    <row r="334" spans="1:4">
      <c r="A334" s="33">
        <f t="shared" si="61"/>
        <v>333</v>
      </c>
      <c r="B334" s="38">
        <v>43585</v>
      </c>
      <c r="C334" s="34" t="s">
        <v>367</v>
      </c>
      <c r="D334" s="38"/>
    </row>
    <row r="335" spans="1:4">
      <c r="A335" s="33">
        <f t="shared" si="61"/>
        <v>334</v>
      </c>
      <c r="B335" s="38">
        <v>43586</v>
      </c>
      <c r="C335" s="34" t="s">
        <v>368</v>
      </c>
      <c r="D335" s="38"/>
    </row>
    <row r="336" spans="1:4">
      <c r="A336" s="33">
        <f t="shared" si="61"/>
        <v>335</v>
      </c>
      <c r="B336" s="38">
        <v>43587</v>
      </c>
      <c r="C336" s="34" t="s">
        <v>369</v>
      </c>
      <c r="D336" s="38"/>
    </row>
    <row r="337" spans="1:4">
      <c r="A337" s="33">
        <f t="shared" si="61"/>
        <v>336</v>
      </c>
      <c r="B337" s="38">
        <v>43588</v>
      </c>
      <c r="C337" s="34" t="s">
        <v>370</v>
      </c>
      <c r="D337" s="38"/>
    </row>
    <row r="338" spans="1:4">
      <c r="A338" s="33">
        <f t="shared" si="61"/>
        <v>337</v>
      </c>
      <c r="B338" s="38">
        <v>43591</v>
      </c>
      <c r="C338" s="34" t="s">
        <v>371</v>
      </c>
      <c r="D338" s="38"/>
    </row>
    <row r="339" spans="1:4">
      <c r="A339" s="33">
        <f t="shared" si="61"/>
        <v>338</v>
      </c>
      <c r="B339" s="38">
        <v>43592</v>
      </c>
      <c r="C339" s="34" t="s">
        <v>372</v>
      </c>
      <c r="D339" s="38"/>
    </row>
    <row r="340" spans="1:4">
      <c r="A340" s="33">
        <f t="shared" si="61"/>
        <v>339</v>
      </c>
      <c r="B340" s="38">
        <v>43593</v>
      </c>
      <c r="C340" s="34" t="s">
        <v>373</v>
      </c>
      <c r="D340" s="38"/>
    </row>
    <row r="341" spans="1:4">
      <c r="A341" s="33">
        <f t="shared" si="61"/>
        <v>340</v>
      </c>
      <c r="B341" s="38">
        <v>43594</v>
      </c>
      <c r="C341" s="34" t="s">
        <v>374</v>
      </c>
      <c r="D341" s="38"/>
    </row>
    <row r="342" spans="1:4">
      <c r="A342" s="33">
        <f t="shared" si="61"/>
        <v>341</v>
      </c>
      <c r="B342" s="38">
        <v>43595</v>
      </c>
      <c r="C342" s="34" t="s">
        <v>372</v>
      </c>
      <c r="D342" s="38"/>
    </row>
    <row r="343" spans="1:4">
      <c r="A343" s="33">
        <f t="shared" si="61"/>
        <v>342</v>
      </c>
      <c r="B343" s="38">
        <v>43598</v>
      </c>
      <c r="C343" s="34" t="s">
        <v>347</v>
      </c>
      <c r="D343" s="38"/>
    </row>
    <row r="344" spans="1:4">
      <c r="A344" s="33">
        <f t="shared" si="61"/>
        <v>343</v>
      </c>
      <c r="B344" s="38">
        <v>43599</v>
      </c>
      <c r="C344" s="34" t="s">
        <v>375</v>
      </c>
      <c r="D344" s="38"/>
    </row>
    <row r="345" spans="1:4">
      <c r="A345" s="33">
        <f t="shared" si="61"/>
        <v>344</v>
      </c>
      <c r="B345" s="38">
        <v>43600</v>
      </c>
      <c r="C345" s="34" t="s">
        <v>353</v>
      </c>
      <c r="D345" s="38"/>
    </row>
    <row r="346" spans="1:4">
      <c r="A346" s="33">
        <f t="shared" si="61"/>
        <v>345</v>
      </c>
      <c r="B346" s="38">
        <v>43601</v>
      </c>
      <c r="C346" s="34" t="s">
        <v>111</v>
      </c>
      <c r="D346" s="38"/>
    </row>
    <row r="347" spans="1:4">
      <c r="A347" s="33">
        <f t="shared" si="61"/>
        <v>346</v>
      </c>
      <c r="B347" s="38">
        <v>43602</v>
      </c>
      <c r="C347" s="34" t="s">
        <v>376</v>
      </c>
      <c r="D347" s="38"/>
    </row>
    <row r="348" spans="1:4">
      <c r="A348" s="33">
        <f t="shared" si="61"/>
        <v>347</v>
      </c>
      <c r="B348" s="38">
        <v>43605</v>
      </c>
      <c r="C348" s="34" t="s">
        <v>377</v>
      </c>
      <c r="D348" s="38"/>
    </row>
    <row r="349" spans="1:4">
      <c r="A349" s="33">
        <f t="shared" si="61"/>
        <v>348</v>
      </c>
      <c r="B349" s="38">
        <v>43606</v>
      </c>
      <c r="C349" s="34" t="s">
        <v>378</v>
      </c>
      <c r="D349" s="38"/>
    </row>
    <row r="350" spans="1:4">
      <c r="A350" s="33">
        <f t="shared" si="61"/>
        <v>349</v>
      </c>
      <c r="B350" s="38">
        <v>43607</v>
      </c>
      <c r="C350" s="34" t="s">
        <v>379</v>
      </c>
      <c r="D350" s="38"/>
    </row>
    <row r="351" spans="1:4">
      <c r="A351" s="33">
        <f t="shared" si="61"/>
        <v>350</v>
      </c>
      <c r="B351" s="38">
        <v>43608</v>
      </c>
      <c r="C351" s="34" t="s">
        <v>380</v>
      </c>
      <c r="D351" s="38"/>
    </row>
    <row r="352" spans="1:4">
      <c r="A352" s="33">
        <f t="shared" si="61"/>
        <v>351</v>
      </c>
      <c r="B352" s="38">
        <v>43609</v>
      </c>
      <c r="C352" s="34" t="s">
        <v>381</v>
      </c>
      <c r="D352" s="38"/>
    </row>
    <row r="353" spans="1:4">
      <c r="A353" s="33">
        <f t="shared" si="61"/>
        <v>352</v>
      </c>
      <c r="B353" s="38">
        <v>43612</v>
      </c>
      <c r="C353" s="34" t="s">
        <v>381</v>
      </c>
      <c r="D353" s="38"/>
    </row>
    <row r="354" spans="1:4">
      <c r="A354" s="33">
        <f t="shared" si="61"/>
        <v>353</v>
      </c>
      <c r="B354" s="38">
        <v>43613</v>
      </c>
      <c r="C354" s="34" t="s">
        <v>382</v>
      </c>
      <c r="D354" s="38"/>
    </row>
    <row r="355" spans="1:4">
      <c r="A355" s="33">
        <f t="shared" si="61"/>
        <v>354</v>
      </c>
      <c r="B355" s="38">
        <v>43614</v>
      </c>
      <c r="C355" s="34" t="s">
        <v>383</v>
      </c>
      <c r="D355" s="38"/>
    </row>
    <row r="356" spans="1:4">
      <c r="A356" s="33">
        <f t="shared" si="61"/>
        <v>355</v>
      </c>
      <c r="B356" s="38">
        <v>43615</v>
      </c>
      <c r="C356" s="34" t="s">
        <v>384</v>
      </c>
      <c r="D356" s="38"/>
    </row>
    <row r="357" spans="1:4">
      <c r="A357" s="33">
        <f t="shared" si="61"/>
        <v>356</v>
      </c>
      <c r="B357" s="38">
        <v>43616</v>
      </c>
      <c r="C357" s="34" t="s">
        <v>378</v>
      </c>
      <c r="D357" s="38"/>
    </row>
    <row r="358" spans="1:4">
      <c r="A358" s="33">
        <f t="shared" si="61"/>
        <v>357</v>
      </c>
      <c r="B358" s="38">
        <v>43619</v>
      </c>
      <c r="C358" s="34" t="s">
        <v>385</v>
      </c>
      <c r="D358" s="38"/>
    </row>
    <row r="359" spans="1:4">
      <c r="A359" s="33">
        <f t="shared" si="61"/>
        <v>358</v>
      </c>
      <c r="B359" s="38">
        <v>43620</v>
      </c>
      <c r="C359" s="34" t="s">
        <v>386</v>
      </c>
      <c r="D359" s="38"/>
    </row>
    <row r="360" spans="1:4">
      <c r="A360" s="33">
        <f t="shared" si="61"/>
        <v>359</v>
      </c>
      <c r="B360" s="38">
        <v>43621</v>
      </c>
      <c r="C360" s="34" t="s">
        <v>368</v>
      </c>
      <c r="D360" s="38"/>
    </row>
    <row r="361" spans="1:4">
      <c r="A361" s="33">
        <f t="shared" si="61"/>
        <v>360</v>
      </c>
      <c r="B361" s="38">
        <v>43622</v>
      </c>
      <c r="C361" s="34" t="s">
        <v>387</v>
      </c>
      <c r="D361" s="38"/>
    </row>
    <row r="362" spans="1:4">
      <c r="A362" s="33">
        <f t="shared" si="61"/>
        <v>361</v>
      </c>
      <c r="B362" s="38">
        <v>43623</v>
      </c>
      <c r="C362" s="34" t="s">
        <v>388</v>
      </c>
      <c r="D362" s="38"/>
    </row>
    <row r="363" spans="1:4">
      <c r="A363" s="33">
        <f t="shared" si="61"/>
        <v>362</v>
      </c>
      <c r="B363" s="38">
        <v>43626</v>
      </c>
      <c r="C363" s="34" t="s">
        <v>389</v>
      </c>
      <c r="D363" s="38"/>
    </row>
    <row r="364" spans="1:4">
      <c r="A364" s="33">
        <f t="shared" si="61"/>
        <v>363</v>
      </c>
      <c r="B364" s="38">
        <v>43627</v>
      </c>
      <c r="C364" s="34" t="s">
        <v>390</v>
      </c>
      <c r="D364" s="38"/>
    </row>
    <row r="365" spans="1:4">
      <c r="A365" s="33">
        <f t="shared" si="61"/>
        <v>364</v>
      </c>
      <c r="B365" s="38">
        <v>43628</v>
      </c>
      <c r="C365" s="34" t="s">
        <v>391</v>
      </c>
      <c r="D365" s="38"/>
    </row>
    <row r="366" spans="1:4">
      <c r="A366" s="33">
        <f t="shared" si="61"/>
        <v>365</v>
      </c>
      <c r="B366" s="38">
        <v>43629</v>
      </c>
      <c r="C366" s="34" t="s">
        <v>392</v>
      </c>
      <c r="D366" s="38"/>
    </row>
    <row r="367" spans="1:4">
      <c r="A367" s="33">
        <f t="shared" si="61"/>
        <v>366</v>
      </c>
      <c r="B367" s="38">
        <v>43630</v>
      </c>
      <c r="C367" s="34" t="s">
        <v>393</v>
      </c>
      <c r="D367" s="38"/>
    </row>
    <row r="368" spans="1:4">
      <c r="A368" s="33">
        <f t="shared" si="61"/>
        <v>367</v>
      </c>
      <c r="B368" s="38">
        <v>43633</v>
      </c>
      <c r="C368" s="34" t="s">
        <v>394</v>
      </c>
      <c r="D368" s="38"/>
    </row>
    <row r="369" spans="1:4">
      <c r="A369" s="33">
        <f t="shared" si="61"/>
        <v>368</v>
      </c>
      <c r="B369" s="38">
        <v>43634</v>
      </c>
      <c r="C369" s="34" t="s">
        <v>395</v>
      </c>
      <c r="D369" s="38"/>
    </row>
    <row r="370" spans="1:4">
      <c r="A370" s="33">
        <f t="shared" si="61"/>
        <v>369</v>
      </c>
      <c r="B370" s="38">
        <v>43635</v>
      </c>
      <c r="C370" s="34" t="s">
        <v>396</v>
      </c>
      <c r="D370" s="38"/>
    </row>
    <row r="371" spans="1:4">
      <c r="A371" s="33">
        <f t="shared" si="61"/>
        <v>370</v>
      </c>
      <c r="B371" s="38">
        <v>43636</v>
      </c>
      <c r="C371" s="34" t="s">
        <v>397</v>
      </c>
      <c r="D371" s="38"/>
    </row>
    <row r="372" spans="1:4">
      <c r="A372" s="33">
        <f t="shared" si="61"/>
        <v>371</v>
      </c>
      <c r="B372" s="38">
        <v>43637</v>
      </c>
      <c r="C372" s="34" t="s">
        <v>398</v>
      </c>
      <c r="D372" s="38"/>
    </row>
    <row r="373" spans="1:4">
      <c r="A373" s="33">
        <f t="shared" si="61"/>
        <v>372</v>
      </c>
      <c r="B373" s="38">
        <v>43640</v>
      </c>
      <c r="C373" s="34" t="s">
        <v>399</v>
      </c>
      <c r="D373" s="38"/>
    </row>
    <row r="374" spans="1:4">
      <c r="A374" s="33">
        <f t="shared" si="61"/>
        <v>373</v>
      </c>
      <c r="B374" s="38">
        <v>43641</v>
      </c>
      <c r="C374" s="34" t="s">
        <v>400</v>
      </c>
      <c r="D374" s="38"/>
    </row>
    <row r="375" spans="1:4">
      <c r="A375" s="33">
        <f t="shared" si="61"/>
        <v>374</v>
      </c>
      <c r="B375" s="38">
        <v>43642</v>
      </c>
      <c r="C375" s="34" t="s">
        <v>401</v>
      </c>
      <c r="D375" s="38"/>
    </row>
    <row r="376" spans="1:4">
      <c r="A376" s="33">
        <f t="shared" si="61"/>
        <v>375</v>
      </c>
      <c r="B376" s="38">
        <v>43643</v>
      </c>
      <c r="C376" s="34" t="s">
        <v>402</v>
      </c>
      <c r="D376" s="38"/>
    </row>
    <row r="377" spans="1:4">
      <c r="A377" s="33">
        <f t="shared" si="61"/>
        <v>376</v>
      </c>
      <c r="B377" s="38">
        <v>43644</v>
      </c>
      <c r="C377" s="34" t="s">
        <v>403</v>
      </c>
      <c r="D377" s="38"/>
    </row>
    <row r="378" spans="1:4">
      <c r="A378" s="33">
        <f t="shared" si="61"/>
        <v>377</v>
      </c>
      <c r="B378" s="38">
        <v>43647</v>
      </c>
      <c r="C378" s="34" t="s">
        <v>404</v>
      </c>
      <c r="D378" s="38"/>
    </row>
    <row r="379" spans="1:4">
      <c r="A379" s="33">
        <f t="shared" si="61"/>
        <v>378</v>
      </c>
      <c r="B379" s="38">
        <v>43648</v>
      </c>
      <c r="C379" s="34" t="s">
        <v>405</v>
      </c>
      <c r="D379" s="38"/>
    </row>
    <row r="380" spans="1:4">
      <c r="A380" s="33">
        <f t="shared" si="61"/>
        <v>379</v>
      </c>
      <c r="B380" s="38">
        <v>43649</v>
      </c>
      <c r="C380" s="34" t="s">
        <v>406</v>
      </c>
      <c r="D380" s="38"/>
    </row>
    <row r="381" spans="1:4">
      <c r="A381" s="33">
        <f t="shared" si="61"/>
        <v>380</v>
      </c>
      <c r="B381" s="38">
        <v>43650</v>
      </c>
      <c r="C381" s="34" t="s">
        <v>406</v>
      </c>
      <c r="D381" s="38"/>
    </row>
    <row r="382" spans="1:4">
      <c r="A382" s="33">
        <f t="shared" si="61"/>
        <v>381</v>
      </c>
      <c r="B382" s="38">
        <v>43651</v>
      </c>
      <c r="C382" s="34" t="s">
        <v>407</v>
      </c>
      <c r="D382" s="38"/>
    </row>
    <row r="383" spans="1:4">
      <c r="A383" s="33">
        <f t="shared" si="61"/>
        <v>382</v>
      </c>
      <c r="B383" s="38">
        <v>43654</v>
      </c>
      <c r="C383" s="34" t="s">
        <v>408</v>
      </c>
      <c r="D383" s="38"/>
    </row>
    <row r="384" spans="1:4">
      <c r="A384" s="33">
        <f t="shared" si="61"/>
        <v>383</v>
      </c>
      <c r="B384" s="38">
        <v>43655</v>
      </c>
      <c r="C384" s="34" t="s">
        <v>403</v>
      </c>
      <c r="D384" s="38"/>
    </row>
    <row r="385" spans="1:4">
      <c r="A385" s="33">
        <f t="shared" si="61"/>
        <v>384</v>
      </c>
      <c r="B385" s="38">
        <v>43656</v>
      </c>
      <c r="C385" s="34" t="s">
        <v>409</v>
      </c>
      <c r="D385" s="38"/>
    </row>
    <row r="386" spans="1:4">
      <c r="A386" s="33">
        <f t="shared" si="61"/>
        <v>385</v>
      </c>
      <c r="B386" s="38">
        <v>43657</v>
      </c>
      <c r="C386" s="34" t="s">
        <v>410</v>
      </c>
      <c r="D386" s="38"/>
    </row>
    <row r="387" spans="1:4">
      <c r="A387" s="33">
        <f t="shared" si="61"/>
        <v>386</v>
      </c>
      <c r="B387" s="38">
        <v>43658</v>
      </c>
      <c r="C387" s="34" t="s">
        <v>411</v>
      </c>
      <c r="D387" s="38"/>
    </row>
    <row r="388" spans="1:4">
      <c r="A388" s="33">
        <f t="shared" ref="A388:A451" si="62">A387+1</f>
        <v>387</v>
      </c>
      <c r="B388" s="38">
        <v>43661</v>
      </c>
      <c r="C388" s="34" t="s">
        <v>412</v>
      </c>
      <c r="D388" s="38"/>
    </row>
    <row r="389" spans="1:4">
      <c r="A389" s="33">
        <f t="shared" si="62"/>
        <v>388</v>
      </c>
      <c r="B389" s="38">
        <v>43662</v>
      </c>
      <c r="C389" s="34" t="s">
        <v>413</v>
      </c>
      <c r="D389" s="38"/>
    </row>
    <row r="390" spans="1:4">
      <c r="A390" s="33">
        <f t="shared" si="62"/>
        <v>389</v>
      </c>
      <c r="B390" s="38">
        <v>43663</v>
      </c>
      <c r="C390" s="34" t="s">
        <v>413</v>
      </c>
      <c r="D390" s="38"/>
    </row>
    <row r="391" spans="1:4">
      <c r="A391" s="33">
        <f t="shared" si="62"/>
        <v>390</v>
      </c>
      <c r="B391" s="38">
        <v>43664</v>
      </c>
      <c r="C391" s="34" t="s">
        <v>414</v>
      </c>
      <c r="D391" s="38"/>
    </row>
    <row r="392" spans="1:4">
      <c r="A392" s="33">
        <f t="shared" si="62"/>
        <v>391</v>
      </c>
      <c r="B392" s="38">
        <v>43665</v>
      </c>
      <c r="C392" s="34" t="s">
        <v>415</v>
      </c>
      <c r="D392" s="38"/>
    </row>
    <row r="393" spans="1:4">
      <c r="A393" s="33">
        <f t="shared" si="62"/>
        <v>392</v>
      </c>
      <c r="B393" s="38">
        <v>43668</v>
      </c>
      <c r="C393" s="34" t="s">
        <v>416</v>
      </c>
      <c r="D393" s="38"/>
    </row>
    <row r="394" spans="1:4">
      <c r="A394" s="33">
        <f t="shared" si="62"/>
        <v>393</v>
      </c>
      <c r="B394" s="38">
        <v>43669</v>
      </c>
      <c r="C394" s="34" t="s">
        <v>417</v>
      </c>
      <c r="D394" s="38"/>
    </row>
    <row r="395" spans="1:4">
      <c r="A395" s="33">
        <f t="shared" si="62"/>
        <v>394</v>
      </c>
      <c r="B395" s="38">
        <v>43670</v>
      </c>
      <c r="C395" s="34" t="s">
        <v>418</v>
      </c>
      <c r="D395" s="38"/>
    </row>
    <row r="396" spans="1:4">
      <c r="A396" s="33">
        <f t="shared" si="62"/>
        <v>395</v>
      </c>
      <c r="B396" s="38">
        <v>43671</v>
      </c>
      <c r="C396" s="34" t="s">
        <v>409</v>
      </c>
      <c r="D396" s="38"/>
    </row>
    <row r="397" spans="1:4">
      <c r="A397" s="33">
        <f t="shared" si="62"/>
        <v>396</v>
      </c>
      <c r="B397" s="38">
        <v>43672</v>
      </c>
      <c r="C397" s="34" t="s">
        <v>419</v>
      </c>
      <c r="D397" s="38"/>
    </row>
    <row r="398" spans="1:4">
      <c r="A398" s="33">
        <f t="shared" si="62"/>
        <v>397</v>
      </c>
      <c r="B398" s="38">
        <v>43675</v>
      </c>
      <c r="C398" s="34" t="s">
        <v>420</v>
      </c>
      <c r="D398" s="38"/>
    </row>
    <row r="399" spans="1:4">
      <c r="A399" s="33">
        <f t="shared" si="62"/>
        <v>398</v>
      </c>
      <c r="B399" s="38">
        <v>43676</v>
      </c>
      <c r="C399" s="34" t="s">
        <v>412</v>
      </c>
      <c r="D399" s="38"/>
    </row>
    <row r="400" spans="1:4">
      <c r="A400" s="33">
        <f t="shared" si="62"/>
        <v>399</v>
      </c>
      <c r="B400" s="38">
        <v>43677</v>
      </c>
      <c r="C400" s="34" t="s">
        <v>421</v>
      </c>
      <c r="D400" s="38"/>
    </row>
    <row r="401" spans="1:4">
      <c r="A401" s="33">
        <f t="shared" si="62"/>
        <v>400</v>
      </c>
      <c r="B401" s="38">
        <v>43678</v>
      </c>
      <c r="C401" s="34" t="s">
        <v>416</v>
      </c>
      <c r="D401" s="38"/>
    </row>
    <row r="402" spans="1:4">
      <c r="A402" s="33">
        <f t="shared" si="62"/>
        <v>401</v>
      </c>
      <c r="B402" s="38">
        <v>43679</v>
      </c>
      <c r="C402" s="34" t="s">
        <v>399</v>
      </c>
      <c r="D402" s="38"/>
    </row>
    <row r="403" spans="1:4">
      <c r="A403" s="33">
        <f t="shared" si="62"/>
        <v>402</v>
      </c>
      <c r="B403" s="38">
        <v>43682</v>
      </c>
      <c r="C403" s="34" t="s">
        <v>422</v>
      </c>
      <c r="D403" s="38"/>
    </row>
    <row r="404" spans="1:4">
      <c r="A404" s="33">
        <f t="shared" si="62"/>
        <v>403</v>
      </c>
      <c r="B404" s="38">
        <v>43683</v>
      </c>
      <c r="C404" s="34" t="s">
        <v>423</v>
      </c>
      <c r="D404" s="38"/>
    </row>
    <row r="405" spans="1:4">
      <c r="A405" s="33">
        <f t="shared" si="62"/>
        <v>404</v>
      </c>
      <c r="B405" s="38">
        <v>43684</v>
      </c>
      <c r="C405" s="34" t="s">
        <v>424</v>
      </c>
      <c r="D405" s="38"/>
    </row>
    <row r="406" spans="1:4">
      <c r="A406" s="33">
        <f t="shared" si="62"/>
        <v>405</v>
      </c>
      <c r="B406" s="38">
        <v>43685</v>
      </c>
      <c r="C406" s="34" t="s">
        <v>425</v>
      </c>
      <c r="D406" s="38"/>
    </row>
    <row r="407" spans="1:4">
      <c r="A407" s="33">
        <f t="shared" si="62"/>
        <v>406</v>
      </c>
      <c r="B407" s="38">
        <v>43686</v>
      </c>
      <c r="C407" s="34" t="s">
        <v>426</v>
      </c>
      <c r="D407" s="38"/>
    </row>
    <row r="408" spans="1:4">
      <c r="A408" s="33">
        <f t="shared" si="62"/>
        <v>407</v>
      </c>
      <c r="B408" s="38">
        <v>43689</v>
      </c>
      <c r="C408" s="34" t="s">
        <v>427</v>
      </c>
      <c r="D408" s="38"/>
    </row>
    <row r="409" spans="1:4">
      <c r="A409" s="33">
        <f t="shared" si="62"/>
        <v>408</v>
      </c>
      <c r="B409" s="38">
        <v>43690</v>
      </c>
      <c r="C409" s="34" t="s">
        <v>428</v>
      </c>
      <c r="D409" s="38"/>
    </row>
    <row r="410" spans="1:4">
      <c r="A410" s="33">
        <f t="shared" si="62"/>
        <v>409</v>
      </c>
      <c r="B410" s="38">
        <v>43691</v>
      </c>
      <c r="C410" s="34" t="s">
        <v>429</v>
      </c>
      <c r="D410" s="38"/>
    </row>
    <row r="411" spans="1:4">
      <c r="A411" s="33">
        <f t="shared" si="62"/>
        <v>410</v>
      </c>
      <c r="B411" s="38">
        <v>43692</v>
      </c>
      <c r="C411" s="34" t="s">
        <v>430</v>
      </c>
      <c r="D411" s="38"/>
    </row>
    <row r="412" spans="1:4">
      <c r="A412" s="33">
        <f t="shared" si="62"/>
        <v>411</v>
      </c>
      <c r="B412" s="38">
        <v>43693</v>
      </c>
      <c r="C412" s="34" t="s">
        <v>431</v>
      </c>
      <c r="D412" s="38"/>
    </row>
    <row r="413" spans="1:4">
      <c r="A413" s="33">
        <f t="shared" si="62"/>
        <v>412</v>
      </c>
      <c r="B413" s="38">
        <v>43696</v>
      </c>
      <c r="C413" s="34" t="s">
        <v>432</v>
      </c>
      <c r="D413" s="38"/>
    </row>
    <row r="414" spans="1:4">
      <c r="A414" s="33">
        <f t="shared" si="62"/>
        <v>413</v>
      </c>
      <c r="B414" s="38">
        <v>43697</v>
      </c>
      <c r="C414" s="34" t="s">
        <v>433</v>
      </c>
      <c r="D414" s="38"/>
    </row>
    <row r="415" spans="1:4">
      <c r="A415" s="33">
        <f t="shared" si="62"/>
        <v>414</v>
      </c>
      <c r="B415" s="38">
        <v>43698</v>
      </c>
      <c r="C415" s="34" t="s">
        <v>407</v>
      </c>
      <c r="D415" s="38"/>
    </row>
    <row r="416" spans="1:4">
      <c r="A416" s="33">
        <f t="shared" si="62"/>
        <v>415</v>
      </c>
      <c r="B416" s="38">
        <v>43699</v>
      </c>
      <c r="C416" s="34" t="s">
        <v>434</v>
      </c>
      <c r="D416" s="38"/>
    </row>
    <row r="417" spans="1:4">
      <c r="A417" s="33">
        <f t="shared" si="62"/>
        <v>416</v>
      </c>
      <c r="B417" s="38">
        <v>43700</v>
      </c>
      <c r="C417" s="34" t="s">
        <v>410</v>
      </c>
      <c r="D417" s="38"/>
    </row>
    <row r="418" spans="1:4">
      <c r="A418" s="33">
        <f t="shared" si="62"/>
        <v>417</v>
      </c>
      <c r="B418" s="38">
        <v>43703</v>
      </c>
      <c r="C418" s="34" t="s">
        <v>425</v>
      </c>
      <c r="D418" s="38"/>
    </row>
    <row r="419" spans="1:4">
      <c r="A419" s="33">
        <f t="shared" si="62"/>
        <v>418</v>
      </c>
      <c r="B419" s="38">
        <v>43704</v>
      </c>
      <c r="C419" s="34" t="s">
        <v>412</v>
      </c>
      <c r="D419" s="38"/>
    </row>
    <row r="420" spans="1:4">
      <c r="A420" s="33">
        <f t="shared" si="62"/>
        <v>419</v>
      </c>
      <c r="B420" s="38">
        <v>43705</v>
      </c>
      <c r="C420" s="34" t="s">
        <v>419</v>
      </c>
      <c r="D420" s="38"/>
    </row>
    <row r="421" spans="1:4">
      <c r="A421" s="33">
        <f t="shared" si="62"/>
        <v>420</v>
      </c>
      <c r="B421" s="38">
        <v>43706</v>
      </c>
      <c r="C421" s="34" t="s">
        <v>435</v>
      </c>
      <c r="D421" s="38"/>
    </row>
    <row r="422" spans="1:4">
      <c r="A422" s="33">
        <f t="shared" si="62"/>
        <v>421</v>
      </c>
      <c r="B422" s="38">
        <v>43707</v>
      </c>
      <c r="C422" s="34" t="s">
        <v>436</v>
      </c>
      <c r="D422" s="38"/>
    </row>
    <row r="423" spans="1:4">
      <c r="A423" s="33">
        <f t="shared" si="62"/>
        <v>422</v>
      </c>
      <c r="B423" s="38">
        <v>43710</v>
      </c>
      <c r="C423" s="34" t="s">
        <v>436</v>
      </c>
      <c r="D423" s="38"/>
    </row>
    <row r="424" spans="1:4">
      <c r="A424" s="33">
        <f t="shared" si="62"/>
        <v>423</v>
      </c>
      <c r="B424" s="38">
        <v>43711</v>
      </c>
      <c r="C424" s="34" t="s">
        <v>436</v>
      </c>
      <c r="D424" s="38"/>
    </row>
    <row r="425" spans="1:4">
      <c r="A425" s="33">
        <f t="shared" si="62"/>
        <v>424</v>
      </c>
      <c r="B425" s="38">
        <v>43712</v>
      </c>
      <c r="C425" s="34" t="s">
        <v>437</v>
      </c>
      <c r="D425" s="38"/>
    </row>
    <row r="426" spans="1:4">
      <c r="A426" s="33">
        <f t="shared" si="62"/>
        <v>425</v>
      </c>
      <c r="B426" s="38">
        <v>43713</v>
      </c>
      <c r="C426" s="34" t="s">
        <v>438</v>
      </c>
      <c r="D426" s="38"/>
    </row>
    <row r="427" spans="1:4">
      <c r="A427" s="33">
        <f t="shared" si="62"/>
        <v>426</v>
      </c>
      <c r="B427" s="38">
        <v>43714</v>
      </c>
      <c r="C427" s="34" t="s">
        <v>439</v>
      </c>
      <c r="D427" s="38"/>
    </row>
    <row r="428" spans="1:4">
      <c r="A428" s="33">
        <f t="shared" si="62"/>
        <v>427</v>
      </c>
      <c r="B428" s="38">
        <v>43717</v>
      </c>
      <c r="C428" s="34" t="s">
        <v>440</v>
      </c>
      <c r="D428" s="38"/>
    </row>
    <row r="429" spans="1:4">
      <c r="A429" s="33">
        <f t="shared" si="62"/>
        <v>428</v>
      </c>
      <c r="B429" s="38">
        <v>43718</v>
      </c>
      <c r="C429" s="34" t="s">
        <v>441</v>
      </c>
      <c r="D429" s="38"/>
    </row>
    <row r="430" spans="1:4">
      <c r="A430" s="33">
        <f t="shared" si="62"/>
        <v>429</v>
      </c>
      <c r="B430" s="38">
        <v>43719</v>
      </c>
      <c r="C430" s="34" t="s">
        <v>442</v>
      </c>
      <c r="D430" s="38"/>
    </row>
    <row r="431" spans="1:4">
      <c r="A431" s="33">
        <f t="shared" si="62"/>
        <v>430</v>
      </c>
      <c r="B431" s="38">
        <v>43720</v>
      </c>
      <c r="C431" s="34" t="s">
        <v>442</v>
      </c>
      <c r="D431" s="38"/>
    </row>
    <row r="432" spans="1:4">
      <c r="A432" s="33">
        <f t="shared" si="62"/>
        <v>431</v>
      </c>
      <c r="B432" s="38">
        <v>43721</v>
      </c>
      <c r="C432" s="34" t="s">
        <v>433</v>
      </c>
      <c r="D432" s="38"/>
    </row>
    <row r="433" spans="1:4">
      <c r="A433" s="33">
        <f t="shared" si="62"/>
        <v>432</v>
      </c>
      <c r="B433" s="38">
        <v>43724</v>
      </c>
      <c r="C433" s="34" t="s">
        <v>443</v>
      </c>
      <c r="D433" s="38"/>
    </row>
    <row r="434" spans="1:4">
      <c r="A434" s="33">
        <f t="shared" si="62"/>
        <v>433</v>
      </c>
      <c r="B434" s="38">
        <v>43725</v>
      </c>
      <c r="C434" s="34" t="s">
        <v>444</v>
      </c>
      <c r="D434" s="38"/>
    </row>
    <row r="435" spans="1:4">
      <c r="A435" s="33">
        <f t="shared" si="62"/>
        <v>434</v>
      </c>
      <c r="B435" s="38">
        <v>43726</v>
      </c>
      <c r="C435" s="34" t="s">
        <v>445</v>
      </c>
      <c r="D435" s="38"/>
    </row>
    <row r="436" spans="1:4">
      <c r="A436" s="33">
        <f t="shared" si="62"/>
        <v>435</v>
      </c>
      <c r="B436" s="38">
        <v>43727</v>
      </c>
      <c r="C436" s="34" t="s">
        <v>446</v>
      </c>
      <c r="D436" s="38"/>
    </row>
    <row r="437" spans="1:4">
      <c r="A437" s="33">
        <f t="shared" si="62"/>
        <v>436</v>
      </c>
      <c r="B437" s="38">
        <v>43728</v>
      </c>
      <c r="C437" s="34" t="s">
        <v>447</v>
      </c>
      <c r="D437" s="38"/>
    </row>
    <row r="438" spans="1:4">
      <c r="A438" s="33">
        <f t="shared" si="62"/>
        <v>437</v>
      </c>
      <c r="B438" s="38">
        <v>43731</v>
      </c>
      <c r="C438" s="34" t="s">
        <v>448</v>
      </c>
      <c r="D438" s="38"/>
    </row>
    <row r="439" spans="1:4">
      <c r="A439" s="33">
        <f t="shared" si="62"/>
        <v>438</v>
      </c>
      <c r="B439" s="38">
        <v>43732</v>
      </c>
      <c r="C439" s="34" t="s">
        <v>449</v>
      </c>
      <c r="D439" s="38"/>
    </row>
    <row r="440" spans="1:4">
      <c r="A440" s="33">
        <f t="shared" si="62"/>
        <v>439</v>
      </c>
      <c r="B440" s="38">
        <v>43733</v>
      </c>
      <c r="C440" s="34" t="s">
        <v>450</v>
      </c>
      <c r="D440" s="38"/>
    </row>
    <row r="441" spans="1:4">
      <c r="A441" s="33">
        <f t="shared" si="62"/>
        <v>440</v>
      </c>
      <c r="B441" s="38">
        <v>43734</v>
      </c>
      <c r="C441" s="34" t="s">
        <v>451</v>
      </c>
      <c r="D441" s="38"/>
    </row>
    <row r="442" spans="1:4">
      <c r="A442" s="33">
        <f t="shared" si="62"/>
        <v>441</v>
      </c>
      <c r="B442" s="38">
        <v>43735</v>
      </c>
      <c r="C442" s="34" t="s">
        <v>452</v>
      </c>
      <c r="D442" s="38"/>
    </row>
    <row r="443" spans="1:4">
      <c r="A443" s="33">
        <f t="shared" si="62"/>
        <v>442</v>
      </c>
      <c r="B443" s="38">
        <v>43738</v>
      </c>
      <c r="C443" s="34" t="s">
        <v>453</v>
      </c>
      <c r="D443" s="38"/>
    </row>
    <row r="444" spans="1:4">
      <c r="A444" s="33">
        <f t="shared" si="62"/>
        <v>443</v>
      </c>
      <c r="B444" s="38">
        <v>43739</v>
      </c>
      <c r="C444" s="34" t="s">
        <v>454</v>
      </c>
      <c r="D444" s="38"/>
    </row>
    <row r="445" spans="1:4">
      <c r="A445" s="33">
        <f t="shared" si="62"/>
        <v>444</v>
      </c>
      <c r="B445" s="38">
        <v>43740</v>
      </c>
      <c r="C445" s="34" t="s">
        <v>455</v>
      </c>
      <c r="D445" s="38"/>
    </row>
    <row r="446" spans="1:4">
      <c r="A446" s="33">
        <f t="shared" si="62"/>
        <v>445</v>
      </c>
      <c r="B446" s="38">
        <v>43741</v>
      </c>
      <c r="C446" s="34" t="s">
        <v>456</v>
      </c>
      <c r="D446" s="38"/>
    </row>
    <row r="447" spans="1:4">
      <c r="A447" s="33">
        <f t="shared" si="62"/>
        <v>446</v>
      </c>
      <c r="B447" s="38">
        <v>43742</v>
      </c>
      <c r="C447" s="34" t="s">
        <v>457</v>
      </c>
      <c r="D447" s="38"/>
    </row>
    <row r="448" spans="1:4">
      <c r="A448" s="33">
        <f t="shared" si="62"/>
        <v>447</v>
      </c>
      <c r="B448" s="38">
        <v>43745</v>
      </c>
      <c r="C448" s="34" t="s">
        <v>436</v>
      </c>
      <c r="D448" s="38"/>
    </row>
    <row r="449" spans="1:4">
      <c r="A449" s="33">
        <f t="shared" si="62"/>
        <v>448</v>
      </c>
      <c r="B449" s="38">
        <v>43746</v>
      </c>
      <c r="C449" s="34" t="s">
        <v>458</v>
      </c>
      <c r="D449" s="38"/>
    </row>
    <row r="450" spans="1:4">
      <c r="A450" s="33">
        <f t="shared" si="62"/>
        <v>449</v>
      </c>
      <c r="B450" s="38">
        <v>43747</v>
      </c>
      <c r="C450" s="34" t="s">
        <v>441</v>
      </c>
      <c r="D450" s="38"/>
    </row>
    <row r="451" spans="1:4">
      <c r="A451" s="33">
        <f t="shared" si="62"/>
        <v>450</v>
      </c>
      <c r="B451" s="38">
        <v>43748</v>
      </c>
      <c r="C451" s="34" t="s">
        <v>459</v>
      </c>
      <c r="D451" s="38"/>
    </row>
    <row r="452" spans="1:4">
      <c r="A452" s="33">
        <f t="shared" ref="A452:A515" si="63">A451+1</f>
        <v>451</v>
      </c>
      <c r="B452" s="38">
        <v>43749</v>
      </c>
      <c r="C452" s="34" t="s">
        <v>444</v>
      </c>
      <c r="D452" s="38"/>
    </row>
    <row r="453" spans="1:4">
      <c r="A453" s="33">
        <f t="shared" si="63"/>
        <v>452</v>
      </c>
      <c r="B453" s="38">
        <v>43752</v>
      </c>
      <c r="C453" s="34" t="s">
        <v>453</v>
      </c>
      <c r="D453" s="38"/>
    </row>
    <row r="454" spans="1:4">
      <c r="A454" s="33">
        <f t="shared" si="63"/>
        <v>453</v>
      </c>
      <c r="B454" s="38">
        <v>43753</v>
      </c>
      <c r="C454" s="34" t="s">
        <v>460</v>
      </c>
      <c r="D454" s="38"/>
    </row>
    <row r="455" spans="1:4">
      <c r="A455" s="33">
        <f t="shared" si="63"/>
        <v>454</v>
      </c>
      <c r="B455" s="38">
        <v>43754</v>
      </c>
      <c r="C455" s="34" t="s">
        <v>461</v>
      </c>
      <c r="D455" s="38"/>
    </row>
    <row r="456" spans="1:4">
      <c r="A456" s="33">
        <f t="shared" si="63"/>
        <v>455</v>
      </c>
      <c r="B456" s="38">
        <v>43755</v>
      </c>
      <c r="C456" s="34" t="s">
        <v>462</v>
      </c>
      <c r="D456" s="38"/>
    </row>
    <row r="457" spans="1:4">
      <c r="A457" s="33">
        <f t="shared" si="63"/>
        <v>456</v>
      </c>
      <c r="B457" s="38">
        <v>43756</v>
      </c>
      <c r="C457" s="34" t="s">
        <v>463</v>
      </c>
      <c r="D457" s="38"/>
    </row>
    <row r="458" spans="1:4">
      <c r="A458" s="33">
        <f t="shared" si="63"/>
        <v>457</v>
      </c>
      <c r="B458" s="38">
        <v>43759</v>
      </c>
      <c r="C458" s="34" t="s">
        <v>464</v>
      </c>
      <c r="D458" s="38"/>
    </row>
    <row r="459" spans="1:4">
      <c r="A459" s="33">
        <f t="shared" si="63"/>
        <v>458</v>
      </c>
      <c r="B459" s="38">
        <v>43760</v>
      </c>
      <c r="C459" s="34" t="s">
        <v>464</v>
      </c>
      <c r="D459" s="38"/>
    </row>
    <row r="460" spans="1:4">
      <c r="A460" s="33">
        <f t="shared" si="63"/>
        <v>459</v>
      </c>
      <c r="B460" s="38">
        <v>43761</v>
      </c>
      <c r="C460" s="34" t="s">
        <v>465</v>
      </c>
      <c r="D460" s="38"/>
    </row>
    <row r="461" spans="1:4">
      <c r="A461" s="33">
        <f t="shared" si="63"/>
        <v>460</v>
      </c>
      <c r="B461" s="38">
        <v>43762</v>
      </c>
      <c r="C461" s="34" t="s">
        <v>466</v>
      </c>
      <c r="D461" s="38"/>
    </row>
    <row r="462" spans="1:4">
      <c r="A462" s="33">
        <f t="shared" si="63"/>
        <v>461</v>
      </c>
      <c r="B462" s="38">
        <v>43763</v>
      </c>
      <c r="C462" s="34" t="s">
        <v>467</v>
      </c>
      <c r="D462" s="38"/>
    </row>
    <row r="463" spans="1:4">
      <c r="A463" s="33">
        <f t="shared" si="63"/>
        <v>462</v>
      </c>
      <c r="B463" s="38">
        <v>43766</v>
      </c>
      <c r="C463" s="34" t="s">
        <v>468</v>
      </c>
      <c r="D463" s="38"/>
    </row>
    <row r="464" spans="1:4">
      <c r="A464" s="33">
        <f t="shared" si="63"/>
        <v>463</v>
      </c>
      <c r="B464" s="38">
        <v>43767</v>
      </c>
      <c r="C464" s="34" t="s">
        <v>469</v>
      </c>
      <c r="D464" s="38"/>
    </row>
    <row r="465" spans="1:4">
      <c r="A465" s="33">
        <f t="shared" si="63"/>
        <v>464</v>
      </c>
      <c r="B465" s="38">
        <v>43768</v>
      </c>
      <c r="C465" s="34" t="s">
        <v>470</v>
      </c>
      <c r="D465" s="38"/>
    </row>
    <row r="466" spans="1:4">
      <c r="A466" s="33">
        <f t="shared" si="63"/>
        <v>465</v>
      </c>
      <c r="B466" s="38">
        <v>43769</v>
      </c>
      <c r="C466" s="34" t="s">
        <v>471</v>
      </c>
      <c r="D466" s="38"/>
    </row>
    <row r="467" spans="1:4">
      <c r="A467" s="33">
        <f t="shared" si="63"/>
        <v>466</v>
      </c>
      <c r="B467" s="38">
        <v>43770</v>
      </c>
      <c r="C467" s="34" t="s">
        <v>472</v>
      </c>
      <c r="D467" s="38"/>
    </row>
    <row r="468" spans="1:4">
      <c r="A468" s="33">
        <f t="shared" si="63"/>
        <v>467</v>
      </c>
      <c r="B468" s="38">
        <v>43773</v>
      </c>
      <c r="C468" s="34" t="s">
        <v>473</v>
      </c>
      <c r="D468" s="38"/>
    </row>
    <row r="469" spans="1:4">
      <c r="A469" s="33">
        <f t="shared" si="63"/>
        <v>468</v>
      </c>
      <c r="B469" s="38">
        <v>43774</v>
      </c>
      <c r="C469" s="34" t="s">
        <v>474</v>
      </c>
      <c r="D469" s="38"/>
    </row>
    <row r="470" spans="1:4">
      <c r="A470" s="33">
        <f t="shared" si="63"/>
        <v>469</v>
      </c>
      <c r="B470" s="38">
        <v>43775</v>
      </c>
      <c r="C470" s="34" t="s">
        <v>475</v>
      </c>
      <c r="D470" s="38"/>
    </row>
    <row r="471" spans="1:4">
      <c r="A471" s="33">
        <f t="shared" si="63"/>
        <v>470</v>
      </c>
      <c r="B471" s="38">
        <v>43776</v>
      </c>
      <c r="C471" s="34" t="s">
        <v>476</v>
      </c>
      <c r="D471" s="38"/>
    </row>
    <row r="472" spans="1:4">
      <c r="A472" s="33">
        <f t="shared" si="63"/>
        <v>471</v>
      </c>
      <c r="B472" s="38">
        <v>43777</v>
      </c>
      <c r="C472" s="34" t="s">
        <v>477</v>
      </c>
      <c r="D472" s="38"/>
    </row>
    <row r="473" spans="1:4">
      <c r="A473" s="33">
        <f t="shared" si="63"/>
        <v>472</v>
      </c>
      <c r="B473" s="38">
        <v>43780</v>
      </c>
      <c r="C473" s="34" t="s">
        <v>478</v>
      </c>
      <c r="D473" s="38"/>
    </row>
    <row r="474" spans="1:4">
      <c r="A474" s="33">
        <f t="shared" si="63"/>
        <v>473</v>
      </c>
      <c r="B474" s="38">
        <v>43781</v>
      </c>
      <c r="C474" s="34" t="s">
        <v>477</v>
      </c>
      <c r="D474" s="38"/>
    </row>
    <row r="475" spans="1:4">
      <c r="A475" s="33">
        <f t="shared" si="63"/>
        <v>474</v>
      </c>
      <c r="B475" s="38">
        <v>43782</v>
      </c>
      <c r="C475" s="34" t="s">
        <v>479</v>
      </c>
      <c r="D475" s="38"/>
    </row>
    <row r="476" spans="1:4">
      <c r="A476" s="33">
        <f t="shared" si="63"/>
        <v>475</v>
      </c>
      <c r="B476" s="38">
        <v>43783</v>
      </c>
      <c r="C476" s="34" t="s">
        <v>480</v>
      </c>
      <c r="D476" s="38"/>
    </row>
    <row r="477" spans="1:4">
      <c r="A477" s="33">
        <f t="shared" si="63"/>
        <v>476</v>
      </c>
      <c r="B477" s="38">
        <v>43784</v>
      </c>
      <c r="C477" s="34" t="s">
        <v>481</v>
      </c>
      <c r="D477" s="38"/>
    </row>
    <row r="478" spans="1:4">
      <c r="A478" s="33">
        <f t="shared" si="63"/>
        <v>477</v>
      </c>
      <c r="B478" s="38">
        <v>43787</v>
      </c>
      <c r="C478" s="34" t="s">
        <v>482</v>
      </c>
      <c r="D478" s="38"/>
    </row>
    <row r="479" spans="1:4">
      <c r="A479" s="33">
        <f t="shared" si="63"/>
        <v>478</v>
      </c>
      <c r="B479" s="38">
        <v>43788</v>
      </c>
      <c r="C479" s="34" t="s">
        <v>483</v>
      </c>
      <c r="D479" s="38"/>
    </row>
    <row r="480" spans="1:4">
      <c r="A480" s="33">
        <f t="shared" si="63"/>
        <v>479</v>
      </c>
      <c r="B480" s="38">
        <v>43789</v>
      </c>
      <c r="C480" s="34" t="s">
        <v>484</v>
      </c>
      <c r="D480" s="38"/>
    </row>
    <row r="481" spans="1:4">
      <c r="A481" s="33">
        <f t="shared" si="63"/>
        <v>480</v>
      </c>
      <c r="B481" s="38">
        <v>43790</v>
      </c>
      <c r="C481" s="34" t="s">
        <v>485</v>
      </c>
      <c r="D481" s="38"/>
    </row>
    <row r="482" spans="1:4">
      <c r="A482" s="33">
        <f t="shared" si="63"/>
        <v>481</v>
      </c>
      <c r="B482" s="38">
        <v>43791</v>
      </c>
      <c r="C482" s="34" t="s">
        <v>486</v>
      </c>
      <c r="D482" s="38"/>
    </row>
    <row r="483" spans="1:4">
      <c r="A483" s="33">
        <f t="shared" si="63"/>
        <v>482</v>
      </c>
      <c r="B483" s="38">
        <v>43794</v>
      </c>
      <c r="C483" s="34" t="s">
        <v>487</v>
      </c>
      <c r="D483" s="38"/>
    </row>
    <row r="484" spans="1:4">
      <c r="A484" s="33">
        <f t="shared" si="63"/>
        <v>483</v>
      </c>
      <c r="B484" s="38">
        <v>43795</v>
      </c>
      <c r="C484" s="34" t="s">
        <v>488</v>
      </c>
      <c r="D484" s="38"/>
    </row>
    <row r="485" spans="1:4">
      <c r="A485" s="33">
        <f t="shared" si="63"/>
        <v>484</v>
      </c>
      <c r="B485" s="38">
        <v>43796</v>
      </c>
      <c r="C485" s="34" t="s">
        <v>489</v>
      </c>
      <c r="D485" s="38"/>
    </row>
    <row r="486" spans="1:4">
      <c r="A486" s="33">
        <f t="shared" si="63"/>
        <v>485</v>
      </c>
      <c r="B486" s="38">
        <v>43797</v>
      </c>
      <c r="C486" s="34" t="s">
        <v>489</v>
      </c>
      <c r="D486" s="38"/>
    </row>
    <row r="487" spans="1:4">
      <c r="A487" s="33">
        <f t="shared" si="63"/>
        <v>486</v>
      </c>
      <c r="B487" s="38">
        <v>43798</v>
      </c>
      <c r="C487" s="34" t="s">
        <v>490</v>
      </c>
      <c r="D487" s="38"/>
    </row>
    <row r="488" spans="1:4">
      <c r="A488" s="33">
        <f t="shared" si="63"/>
        <v>487</v>
      </c>
      <c r="B488" s="38">
        <v>43801</v>
      </c>
      <c r="C488" s="34" t="s">
        <v>485</v>
      </c>
      <c r="D488" s="38"/>
    </row>
    <row r="489" spans="1:4">
      <c r="A489" s="33">
        <f t="shared" si="63"/>
        <v>488</v>
      </c>
      <c r="B489" s="38">
        <v>43802</v>
      </c>
      <c r="C489" s="34" t="s">
        <v>491</v>
      </c>
      <c r="D489" s="38"/>
    </row>
    <row r="490" spans="1:4">
      <c r="A490" s="33">
        <f t="shared" si="63"/>
        <v>489</v>
      </c>
      <c r="B490" s="38">
        <v>43803</v>
      </c>
      <c r="C490" s="34" t="s">
        <v>483</v>
      </c>
      <c r="D490" s="38"/>
    </row>
    <row r="491" spans="1:4">
      <c r="A491" s="33">
        <f t="shared" si="63"/>
        <v>490</v>
      </c>
      <c r="B491" s="38">
        <v>43804</v>
      </c>
      <c r="C491" s="34" t="s">
        <v>483</v>
      </c>
      <c r="D491" s="38"/>
    </row>
    <row r="492" spans="1:4">
      <c r="A492" s="33">
        <f t="shared" si="63"/>
        <v>491</v>
      </c>
      <c r="B492" s="38">
        <v>43805</v>
      </c>
      <c r="C492" s="34" t="s">
        <v>492</v>
      </c>
      <c r="D492" s="38"/>
    </row>
    <row r="493" spans="1:4">
      <c r="A493" s="33">
        <f t="shared" si="63"/>
        <v>492</v>
      </c>
      <c r="B493" s="38">
        <v>43808</v>
      </c>
      <c r="C493" s="34" t="s">
        <v>493</v>
      </c>
      <c r="D493" s="38"/>
    </row>
    <row r="494" spans="1:4">
      <c r="A494" s="33">
        <f t="shared" si="63"/>
        <v>493</v>
      </c>
      <c r="B494" s="38">
        <v>43809</v>
      </c>
      <c r="C494" s="34" t="s">
        <v>494</v>
      </c>
      <c r="D494" s="38"/>
    </row>
    <row r="495" spans="1:4">
      <c r="A495" s="33">
        <f t="shared" si="63"/>
        <v>494</v>
      </c>
      <c r="B495" s="38">
        <v>43810</v>
      </c>
      <c r="C495" s="34" t="s">
        <v>495</v>
      </c>
      <c r="D495" s="38"/>
    </row>
    <row r="496" spans="1:4">
      <c r="A496" s="33">
        <f t="shared" si="63"/>
        <v>495</v>
      </c>
      <c r="B496" s="38">
        <v>43811</v>
      </c>
      <c r="C496" s="34" t="s">
        <v>496</v>
      </c>
      <c r="D496" s="38"/>
    </row>
    <row r="497" spans="1:4">
      <c r="A497" s="33">
        <f t="shared" si="63"/>
        <v>496</v>
      </c>
      <c r="B497" s="38">
        <v>43812</v>
      </c>
      <c r="C497" s="34" t="s">
        <v>497</v>
      </c>
      <c r="D497" s="38"/>
    </row>
    <row r="498" spans="1:4">
      <c r="A498" s="33">
        <f t="shared" si="63"/>
        <v>497</v>
      </c>
      <c r="B498" s="38">
        <v>43815</v>
      </c>
      <c r="C498" s="34" t="s">
        <v>498</v>
      </c>
      <c r="D498" s="38"/>
    </row>
    <row r="499" spans="1:4">
      <c r="A499" s="33">
        <f t="shared" si="63"/>
        <v>498</v>
      </c>
      <c r="B499" s="38">
        <v>43816</v>
      </c>
      <c r="C499" s="34" t="s">
        <v>498</v>
      </c>
      <c r="D499" s="38"/>
    </row>
    <row r="500" spans="1:4">
      <c r="A500" s="33">
        <f t="shared" si="63"/>
        <v>499</v>
      </c>
      <c r="B500" s="38">
        <v>43817</v>
      </c>
      <c r="C500" s="34" t="s">
        <v>499</v>
      </c>
      <c r="D500" s="38"/>
    </row>
    <row r="501" spans="1:4">
      <c r="A501" s="33">
        <f t="shared" si="63"/>
        <v>500</v>
      </c>
      <c r="B501" s="38">
        <v>43818</v>
      </c>
      <c r="C501" s="34" t="s">
        <v>500</v>
      </c>
      <c r="D501" s="38"/>
    </row>
    <row r="502" spans="1:4">
      <c r="A502" s="33">
        <f t="shared" si="63"/>
        <v>501</v>
      </c>
      <c r="B502" s="38">
        <v>43819</v>
      </c>
      <c r="C502" s="34" t="s">
        <v>501</v>
      </c>
      <c r="D502" s="38"/>
    </row>
    <row r="503" spans="1:4">
      <c r="A503" s="33">
        <f t="shared" si="63"/>
        <v>502</v>
      </c>
      <c r="B503" s="38">
        <v>43822</v>
      </c>
      <c r="C503" s="34" t="s">
        <v>502</v>
      </c>
      <c r="D503" s="38"/>
    </row>
    <row r="504" spans="1:4">
      <c r="A504" s="33">
        <f t="shared" si="63"/>
        <v>503</v>
      </c>
      <c r="B504" s="38">
        <v>43823</v>
      </c>
      <c r="C504" s="34" t="s">
        <v>503</v>
      </c>
      <c r="D504" s="38"/>
    </row>
    <row r="505" spans="1:4">
      <c r="A505" s="33">
        <f t="shared" si="63"/>
        <v>504</v>
      </c>
      <c r="B505" s="38">
        <v>43824</v>
      </c>
      <c r="C505" s="34" t="s">
        <v>503</v>
      </c>
      <c r="D505" s="38"/>
    </row>
    <row r="506" spans="1:4">
      <c r="A506" s="33">
        <f t="shared" si="63"/>
        <v>505</v>
      </c>
      <c r="B506" s="38">
        <v>43825</v>
      </c>
      <c r="C506" s="34" t="s">
        <v>504</v>
      </c>
      <c r="D506" s="38"/>
    </row>
    <row r="507" spans="1:4">
      <c r="A507" s="33">
        <f t="shared" si="63"/>
        <v>506</v>
      </c>
      <c r="B507" s="38">
        <v>43826</v>
      </c>
      <c r="C507" s="34" t="s">
        <v>505</v>
      </c>
      <c r="D507" s="38"/>
    </row>
    <row r="508" spans="1:4">
      <c r="A508" s="33">
        <f t="shared" si="63"/>
        <v>507</v>
      </c>
      <c r="B508" s="38">
        <v>43829</v>
      </c>
      <c r="C508" s="34" t="s">
        <v>506</v>
      </c>
      <c r="D508" s="38"/>
    </row>
    <row r="509" spans="1:4">
      <c r="A509" s="33">
        <f t="shared" si="63"/>
        <v>508</v>
      </c>
      <c r="B509" s="38">
        <v>43830</v>
      </c>
      <c r="C509" s="34" t="s">
        <v>507</v>
      </c>
      <c r="D509" s="38"/>
    </row>
    <row r="510" spans="1:4">
      <c r="A510" s="33">
        <f t="shared" si="63"/>
        <v>509</v>
      </c>
      <c r="B510" s="38">
        <v>43832</v>
      </c>
      <c r="C510" s="34" t="s">
        <v>508</v>
      </c>
      <c r="D510" s="38"/>
    </row>
    <row r="511" spans="1:4">
      <c r="A511" s="33">
        <f t="shared" si="63"/>
        <v>510</v>
      </c>
      <c r="B511" s="38">
        <v>43833</v>
      </c>
      <c r="C511" s="34" t="s">
        <v>509</v>
      </c>
      <c r="D511" s="38"/>
    </row>
    <row r="512" spans="1:4">
      <c r="A512" s="33">
        <f t="shared" si="63"/>
        <v>511</v>
      </c>
      <c r="B512" s="38">
        <v>43836</v>
      </c>
      <c r="C512" s="34" t="s">
        <v>510</v>
      </c>
      <c r="D512" s="38"/>
    </row>
    <row r="513" spans="1:4">
      <c r="A513" s="33">
        <f t="shared" si="63"/>
        <v>512</v>
      </c>
      <c r="B513" s="38">
        <v>43837</v>
      </c>
      <c r="C513" s="34" t="s">
        <v>511</v>
      </c>
      <c r="D513" s="38"/>
    </row>
    <row r="514" spans="1:4">
      <c r="A514" s="33">
        <f t="shared" si="63"/>
        <v>513</v>
      </c>
      <c r="B514" s="38">
        <v>43838</v>
      </c>
      <c r="C514" s="34" t="s">
        <v>510</v>
      </c>
      <c r="D514" s="38"/>
    </row>
    <row r="515" spans="1:4">
      <c r="A515" s="33">
        <f t="shared" si="63"/>
        <v>514</v>
      </c>
      <c r="B515" s="38">
        <v>43839</v>
      </c>
      <c r="C515" s="34" t="s">
        <v>512</v>
      </c>
      <c r="D515" s="38"/>
    </row>
    <row r="516" spans="1:4">
      <c r="A516" s="33">
        <f t="shared" ref="A516:A579" si="64">A515+1</f>
        <v>515</v>
      </c>
      <c r="B516" s="38">
        <v>43840</v>
      </c>
      <c r="C516" s="34" t="s">
        <v>513</v>
      </c>
      <c r="D516" s="38"/>
    </row>
    <row r="517" spans="1:4">
      <c r="A517" s="33">
        <f t="shared" si="64"/>
        <v>516</v>
      </c>
      <c r="B517" s="38">
        <v>43843</v>
      </c>
      <c r="C517" s="34" t="s">
        <v>514</v>
      </c>
      <c r="D517" s="38"/>
    </row>
    <row r="518" spans="1:4">
      <c r="A518" s="33">
        <f t="shared" si="64"/>
        <v>517</v>
      </c>
      <c r="B518" s="38">
        <v>43844</v>
      </c>
      <c r="C518" s="34" t="s">
        <v>515</v>
      </c>
      <c r="D518" s="38"/>
    </row>
    <row r="519" spans="1:4">
      <c r="A519" s="33">
        <f t="shared" si="64"/>
        <v>518</v>
      </c>
      <c r="B519" s="38">
        <v>43845</v>
      </c>
      <c r="C519" s="34" t="s">
        <v>516</v>
      </c>
      <c r="D519" s="38"/>
    </row>
    <row r="520" spans="1:4">
      <c r="A520" s="33">
        <f t="shared" si="64"/>
        <v>519</v>
      </c>
      <c r="B520" s="38">
        <v>43846</v>
      </c>
      <c r="C520" s="34" t="s">
        <v>517</v>
      </c>
      <c r="D520" s="38"/>
    </row>
    <row r="521" spans="1:4">
      <c r="A521" s="33">
        <f t="shared" si="64"/>
        <v>520</v>
      </c>
      <c r="B521" s="38">
        <v>43847</v>
      </c>
      <c r="C521" s="34" t="s">
        <v>518</v>
      </c>
      <c r="D521" s="38"/>
    </row>
    <row r="522" spans="1:4">
      <c r="A522" s="33">
        <f t="shared" si="64"/>
        <v>521</v>
      </c>
      <c r="B522" s="38">
        <v>43850</v>
      </c>
      <c r="C522" s="34" t="s">
        <v>518</v>
      </c>
      <c r="D522" s="38"/>
    </row>
    <row r="523" spans="1:4">
      <c r="A523" s="33">
        <f t="shared" si="64"/>
        <v>522</v>
      </c>
      <c r="B523" s="38">
        <v>43851</v>
      </c>
      <c r="C523" s="34" t="s">
        <v>519</v>
      </c>
      <c r="D523" s="38"/>
    </row>
    <row r="524" spans="1:4">
      <c r="A524" s="33">
        <f t="shared" si="64"/>
        <v>523</v>
      </c>
      <c r="B524" s="38">
        <v>43852</v>
      </c>
      <c r="C524" s="34" t="s">
        <v>517</v>
      </c>
      <c r="D524" s="38"/>
    </row>
    <row r="525" spans="1:4">
      <c r="A525" s="33">
        <f t="shared" si="64"/>
        <v>524</v>
      </c>
      <c r="B525" s="38">
        <v>43853</v>
      </c>
      <c r="C525" s="34" t="s">
        <v>520</v>
      </c>
      <c r="D525" s="38"/>
    </row>
    <row r="526" spans="1:4">
      <c r="A526" s="33">
        <f t="shared" si="64"/>
        <v>525</v>
      </c>
      <c r="B526" s="38">
        <v>43854</v>
      </c>
      <c r="C526" s="34" t="s">
        <v>521</v>
      </c>
      <c r="D526" s="38"/>
    </row>
    <row r="527" spans="1:4">
      <c r="A527" s="33">
        <f t="shared" si="64"/>
        <v>526</v>
      </c>
      <c r="B527" s="38">
        <v>43857</v>
      </c>
      <c r="C527" s="34" t="s">
        <v>522</v>
      </c>
      <c r="D527" s="38"/>
    </row>
    <row r="528" spans="1:4">
      <c r="A528" s="33">
        <f t="shared" si="64"/>
        <v>527</v>
      </c>
      <c r="B528" s="38">
        <v>43858</v>
      </c>
      <c r="C528" s="34" t="s">
        <v>523</v>
      </c>
      <c r="D528" s="38"/>
    </row>
    <row r="529" spans="1:4">
      <c r="A529" s="33">
        <f t="shared" si="64"/>
        <v>528</v>
      </c>
      <c r="B529" s="38">
        <v>43859</v>
      </c>
      <c r="C529" s="34" t="s">
        <v>524</v>
      </c>
      <c r="D529" s="38"/>
    </row>
    <row r="530" spans="1:4">
      <c r="A530" s="33">
        <f t="shared" si="64"/>
        <v>529</v>
      </c>
      <c r="B530" s="38">
        <v>43860</v>
      </c>
      <c r="C530" s="34" t="s">
        <v>525</v>
      </c>
      <c r="D530" s="38"/>
    </row>
    <row r="531" spans="1:4">
      <c r="A531" s="33">
        <f t="shared" si="64"/>
        <v>530</v>
      </c>
      <c r="B531" s="38">
        <v>43861</v>
      </c>
      <c r="C531" s="34" t="s">
        <v>526</v>
      </c>
      <c r="D531" s="38"/>
    </row>
    <row r="532" spans="1:4">
      <c r="A532" s="33">
        <f t="shared" si="64"/>
        <v>531</v>
      </c>
      <c r="B532" s="38">
        <v>43864</v>
      </c>
      <c r="C532" s="34" t="s">
        <v>527</v>
      </c>
      <c r="D532" s="38"/>
    </row>
    <row r="533" spans="1:4">
      <c r="A533" s="33">
        <f t="shared" si="64"/>
        <v>532</v>
      </c>
      <c r="B533" s="38">
        <v>43865</v>
      </c>
      <c r="C533" s="34" t="s">
        <v>528</v>
      </c>
      <c r="D533" s="38"/>
    </row>
    <row r="534" spans="1:4">
      <c r="A534" s="33">
        <f t="shared" si="64"/>
        <v>533</v>
      </c>
      <c r="B534" s="38">
        <v>43866</v>
      </c>
      <c r="C534" s="34" t="s">
        <v>529</v>
      </c>
      <c r="D534" s="38"/>
    </row>
    <row r="535" spans="1:4">
      <c r="A535" s="33">
        <f t="shared" si="64"/>
        <v>534</v>
      </c>
      <c r="B535" s="38">
        <v>43867</v>
      </c>
      <c r="C535" s="34" t="s">
        <v>530</v>
      </c>
      <c r="D535" s="38"/>
    </row>
    <row r="536" spans="1:4">
      <c r="A536" s="33">
        <f t="shared" si="64"/>
        <v>535</v>
      </c>
      <c r="B536" s="38">
        <v>43868</v>
      </c>
      <c r="C536" s="34" t="s">
        <v>531</v>
      </c>
      <c r="D536" s="38"/>
    </row>
    <row r="537" spans="1:4">
      <c r="A537" s="33">
        <f t="shared" si="64"/>
        <v>536</v>
      </c>
      <c r="B537" s="38">
        <v>43871</v>
      </c>
      <c r="C537" s="34" t="s">
        <v>532</v>
      </c>
      <c r="D537" s="38"/>
    </row>
    <row r="538" spans="1:4">
      <c r="A538" s="33">
        <f t="shared" si="64"/>
        <v>537</v>
      </c>
      <c r="B538" s="38">
        <v>43872</v>
      </c>
      <c r="C538" s="34" t="s">
        <v>533</v>
      </c>
      <c r="D538" s="38"/>
    </row>
    <row r="539" spans="1:4">
      <c r="A539" s="33">
        <f t="shared" si="64"/>
        <v>538</v>
      </c>
      <c r="B539" s="38">
        <v>43873</v>
      </c>
      <c r="C539" s="34" t="s">
        <v>534</v>
      </c>
      <c r="D539" s="38"/>
    </row>
    <row r="540" spans="1:4">
      <c r="A540" s="33">
        <f t="shared" si="64"/>
        <v>539</v>
      </c>
      <c r="B540" s="38">
        <v>43874</v>
      </c>
      <c r="C540" s="34" t="s">
        <v>535</v>
      </c>
      <c r="D540" s="38"/>
    </row>
    <row r="541" spans="1:4">
      <c r="A541" s="33">
        <f t="shared" si="64"/>
        <v>540</v>
      </c>
      <c r="B541" s="38">
        <v>43875</v>
      </c>
      <c r="C541" s="34" t="s">
        <v>536</v>
      </c>
      <c r="D541" s="38"/>
    </row>
    <row r="542" spans="1:4">
      <c r="A542" s="33">
        <f t="shared" si="64"/>
        <v>541</v>
      </c>
      <c r="B542" s="38">
        <v>43878</v>
      </c>
      <c r="C542" s="34" t="s">
        <v>536</v>
      </c>
      <c r="D542" s="38"/>
    </row>
    <row r="543" spans="1:4">
      <c r="A543" s="33">
        <f t="shared" si="64"/>
        <v>542</v>
      </c>
      <c r="B543" s="38">
        <v>43879</v>
      </c>
      <c r="C543" s="34" t="s">
        <v>537</v>
      </c>
      <c r="D543" s="38"/>
    </row>
    <row r="544" spans="1:4">
      <c r="A544" s="33">
        <f t="shared" si="64"/>
        <v>543</v>
      </c>
      <c r="B544" s="38">
        <v>43880</v>
      </c>
      <c r="C544" s="34" t="s">
        <v>538</v>
      </c>
      <c r="D544" s="38"/>
    </row>
    <row r="545" spans="1:4">
      <c r="A545" s="33">
        <f t="shared" si="64"/>
        <v>544</v>
      </c>
      <c r="B545" s="38">
        <v>43881</v>
      </c>
      <c r="C545" s="34" t="s">
        <v>539</v>
      </c>
      <c r="D545" s="38"/>
    </row>
    <row r="546" spans="1:4">
      <c r="A546" s="33">
        <f t="shared" si="64"/>
        <v>545</v>
      </c>
      <c r="B546" s="38">
        <v>43882</v>
      </c>
      <c r="C546" s="34" t="s">
        <v>540</v>
      </c>
      <c r="D546" s="38"/>
    </row>
    <row r="547" spans="1:4">
      <c r="A547" s="33">
        <f t="shared" si="64"/>
        <v>546</v>
      </c>
      <c r="B547" s="38">
        <v>43885</v>
      </c>
      <c r="C547" s="34" t="s">
        <v>541</v>
      </c>
      <c r="D547" s="38"/>
    </row>
    <row r="548" spans="1:4">
      <c r="A548" s="33">
        <f t="shared" si="64"/>
        <v>547</v>
      </c>
      <c r="B548" s="38">
        <v>43886</v>
      </c>
      <c r="C548" s="34" t="s">
        <v>503</v>
      </c>
      <c r="D548" s="38"/>
    </row>
    <row r="549" spans="1:4">
      <c r="A549" s="33">
        <f t="shared" si="64"/>
        <v>548</v>
      </c>
      <c r="B549" s="38">
        <v>43887</v>
      </c>
      <c r="C549" s="34" t="s">
        <v>542</v>
      </c>
      <c r="D549" s="38"/>
    </row>
    <row r="550" spans="1:4">
      <c r="A550" s="33">
        <f t="shared" si="64"/>
        <v>549</v>
      </c>
      <c r="B550" s="38">
        <v>43888</v>
      </c>
      <c r="C550" s="34" t="s">
        <v>543</v>
      </c>
      <c r="D550" s="38"/>
    </row>
    <row r="551" spans="1:4">
      <c r="A551" s="33">
        <f t="shared" si="64"/>
        <v>550</v>
      </c>
      <c r="B551" s="38">
        <v>43889</v>
      </c>
      <c r="C551" s="34" t="s">
        <v>544</v>
      </c>
      <c r="D551" s="38"/>
    </row>
    <row r="552" spans="1:4">
      <c r="A552" s="33">
        <f t="shared" si="64"/>
        <v>551</v>
      </c>
      <c r="B552" s="38">
        <v>43892</v>
      </c>
      <c r="C552" s="34" t="s">
        <v>545</v>
      </c>
      <c r="D552" s="38"/>
    </row>
    <row r="553" spans="1:4">
      <c r="A553" s="33">
        <f t="shared" si="64"/>
        <v>552</v>
      </c>
      <c r="B553" s="38">
        <v>43893</v>
      </c>
      <c r="C553" s="34" t="s">
        <v>546</v>
      </c>
      <c r="D553" s="38"/>
    </row>
    <row r="554" spans="1:4">
      <c r="A554" s="33">
        <f t="shared" si="64"/>
        <v>553</v>
      </c>
      <c r="B554" s="38">
        <v>43894</v>
      </c>
      <c r="C554" s="34" t="s">
        <v>547</v>
      </c>
      <c r="D554" s="38"/>
    </row>
    <row r="555" spans="1:4">
      <c r="A555" s="33">
        <f t="shared" si="64"/>
        <v>554</v>
      </c>
      <c r="B555" s="38">
        <v>43895</v>
      </c>
      <c r="C555" s="34" t="s">
        <v>548</v>
      </c>
      <c r="D555" s="38"/>
    </row>
    <row r="556" spans="1:4">
      <c r="A556" s="33">
        <f t="shared" si="64"/>
        <v>555</v>
      </c>
      <c r="B556" s="38">
        <v>43896</v>
      </c>
      <c r="C556" s="34" t="s">
        <v>549</v>
      </c>
      <c r="D556" s="38"/>
    </row>
    <row r="557" spans="1:4">
      <c r="A557" s="33">
        <f t="shared" si="64"/>
        <v>556</v>
      </c>
      <c r="B557" s="38">
        <v>43899</v>
      </c>
      <c r="C557" s="34" t="s">
        <v>503</v>
      </c>
      <c r="D557" s="38"/>
    </row>
    <row r="558" spans="1:4">
      <c r="A558" s="33">
        <f t="shared" si="64"/>
        <v>557</v>
      </c>
      <c r="B558" s="38">
        <v>43900</v>
      </c>
      <c r="C558" s="34" t="s">
        <v>550</v>
      </c>
      <c r="D558" s="38"/>
    </row>
    <row r="559" spans="1:4">
      <c r="A559" s="33">
        <f t="shared" si="64"/>
        <v>558</v>
      </c>
      <c r="B559" s="38">
        <v>43901</v>
      </c>
      <c r="C559" s="34" t="s">
        <v>551</v>
      </c>
      <c r="D559" s="38"/>
    </row>
    <row r="560" spans="1:4">
      <c r="A560" s="33">
        <f t="shared" si="64"/>
        <v>559</v>
      </c>
      <c r="B560" s="38">
        <v>43902</v>
      </c>
      <c r="C560" s="34" t="s">
        <v>552</v>
      </c>
      <c r="D560" s="38"/>
    </row>
    <row r="561" spans="1:4">
      <c r="A561" s="33">
        <f t="shared" si="64"/>
        <v>560</v>
      </c>
      <c r="B561" s="38">
        <v>43903</v>
      </c>
      <c r="C561" s="34" t="s">
        <v>553</v>
      </c>
      <c r="D561" s="38"/>
    </row>
    <row r="562" spans="1:4">
      <c r="A562" s="33">
        <f t="shared" si="64"/>
        <v>561</v>
      </c>
      <c r="B562" s="38">
        <v>43906</v>
      </c>
      <c r="C562" s="34" t="s">
        <v>554</v>
      </c>
      <c r="D562" s="38"/>
    </row>
    <row r="563" spans="1:4">
      <c r="A563" s="33">
        <f t="shared" si="64"/>
        <v>562</v>
      </c>
      <c r="B563" s="38">
        <v>43907</v>
      </c>
      <c r="C563" s="34" t="s">
        <v>555</v>
      </c>
      <c r="D563" s="38"/>
    </row>
    <row r="564" spans="1:4">
      <c r="A564" s="33">
        <f t="shared" si="64"/>
        <v>563</v>
      </c>
      <c r="B564" s="38">
        <v>43908</v>
      </c>
      <c r="C564" s="34" t="s">
        <v>556</v>
      </c>
      <c r="D564" s="38"/>
    </row>
    <row r="565" spans="1:4">
      <c r="A565" s="33">
        <f t="shared" si="64"/>
        <v>564</v>
      </c>
      <c r="B565" s="38">
        <v>43909</v>
      </c>
      <c r="C565" s="34" t="s">
        <v>557</v>
      </c>
      <c r="D565" s="38"/>
    </row>
    <row r="566" spans="1:4">
      <c r="A566" s="33">
        <f t="shared" si="64"/>
        <v>565</v>
      </c>
      <c r="B566" s="38">
        <v>43910</v>
      </c>
      <c r="C566" s="34" t="s">
        <v>558</v>
      </c>
      <c r="D566" s="38"/>
    </row>
    <row r="567" spans="1:4">
      <c r="A567" s="33">
        <f t="shared" si="64"/>
        <v>566</v>
      </c>
      <c r="B567" s="38">
        <v>43913</v>
      </c>
      <c r="C567" s="34" t="s">
        <v>559</v>
      </c>
      <c r="D567" s="38"/>
    </row>
    <row r="568" spans="1:4">
      <c r="A568" s="33">
        <f t="shared" si="64"/>
        <v>567</v>
      </c>
      <c r="B568" s="38">
        <v>43914</v>
      </c>
      <c r="C568" s="34" t="s">
        <v>491</v>
      </c>
      <c r="D568" s="38"/>
    </row>
    <row r="569" spans="1:4">
      <c r="A569" s="33">
        <f t="shared" si="64"/>
        <v>568</v>
      </c>
      <c r="B569" s="38">
        <v>43915</v>
      </c>
      <c r="C569" s="34" t="s">
        <v>560</v>
      </c>
      <c r="D569" s="38"/>
    </row>
    <row r="570" spans="1:4">
      <c r="A570" s="33">
        <f t="shared" si="64"/>
        <v>569</v>
      </c>
      <c r="B570" s="38">
        <v>43916</v>
      </c>
      <c r="C570" s="34" t="s">
        <v>561</v>
      </c>
      <c r="D570" s="38"/>
    </row>
    <row r="571" spans="1:4">
      <c r="A571" s="33">
        <f t="shared" si="64"/>
        <v>570</v>
      </c>
      <c r="B571" s="38">
        <v>43917</v>
      </c>
      <c r="C571" s="34" t="s">
        <v>562</v>
      </c>
      <c r="D571" s="38"/>
    </row>
    <row r="572" spans="1:4">
      <c r="A572" s="33">
        <f t="shared" si="64"/>
        <v>571</v>
      </c>
      <c r="B572" s="38">
        <v>43920</v>
      </c>
      <c r="C572" s="34" t="s">
        <v>488</v>
      </c>
      <c r="D572" s="38"/>
    </row>
    <row r="573" spans="1:4">
      <c r="A573" s="33">
        <f t="shared" si="64"/>
        <v>572</v>
      </c>
      <c r="B573" s="38">
        <v>43921</v>
      </c>
      <c r="C573" s="34" t="s">
        <v>563</v>
      </c>
      <c r="D573" s="38"/>
    </row>
    <row r="574" spans="1:4">
      <c r="A574" s="33">
        <f t="shared" si="64"/>
        <v>573</v>
      </c>
      <c r="B574" s="38">
        <v>43922</v>
      </c>
      <c r="C574" s="34" t="s">
        <v>564</v>
      </c>
      <c r="D574" s="38"/>
    </row>
    <row r="575" spans="1:4">
      <c r="A575" s="33">
        <f t="shared" si="64"/>
        <v>574</v>
      </c>
      <c r="B575" s="38">
        <v>43923</v>
      </c>
      <c r="C575" s="34" t="s">
        <v>565</v>
      </c>
      <c r="D575" s="38"/>
    </row>
    <row r="576" spans="1:4">
      <c r="A576" s="33">
        <f t="shared" si="64"/>
        <v>575</v>
      </c>
      <c r="B576" s="38">
        <v>43924</v>
      </c>
      <c r="C576" s="34" t="s">
        <v>566</v>
      </c>
      <c r="D576" s="38"/>
    </row>
    <row r="577" spans="1:4">
      <c r="A577" s="33">
        <f t="shared" si="64"/>
        <v>576</v>
      </c>
      <c r="B577" s="38">
        <v>43927</v>
      </c>
      <c r="C577" s="34" t="s">
        <v>567</v>
      </c>
      <c r="D577" s="38"/>
    </row>
    <row r="578" spans="1:4">
      <c r="A578" s="33">
        <f t="shared" si="64"/>
        <v>577</v>
      </c>
      <c r="B578" s="38">
        <v>43928</v>
      </c>
      <c r="C578" s="34" t="s">
        <v>488</v>
      </c>
      <c r="D578" s="38"/>
    </row>
    <row r="579" spans="1:4">
      <c r="A579" s="33">
        <f t="shared" si="64"/>
        <v>578</v>
      </c>
      <c r="B579" s="38">
        <v>43929</v>
      </c>
      <c r="C579" s="34" t="s">
        <v>568</v>
      </c>
      <c r="D579" s="38"/>
    </row>
    <row r="580" spans="1:4">
      <c r="A580" s="33">
        <f t="shared" ref="A580:A643" si="65">A579+1</f>
        <v>579</v>
      </c>
      <c r="B580" s="38">
        <v>43930</v>
      </c>
      <c r="C580" s="34" t="s">
        <v>569</v>
      </c>
      <c r="D580" s="38"/>
    </row>
    <row r="581" spans="1:4">
      <c r="A581" s="33">
        <f t="shared" si="65"/>
        <v>580</v>
      </c>
      <c r="B581" s="38">
        <v>43931</v>
      </c>
      <c r="C581" s="34" t="s">
        <v>569</v>
      </c>
      <c r="D581" s="38"/>
    </row>
    <row r="582" spans="1:4">
      <c r="A582" s="33">
        <f t="shared" si="65"/>
        <v>581</v>
      </c>
      <c r="B582" s="38">
        <v>43934</v>
      </c>
      <c r="C582" s="34" t="s">
        <v>570</v>
      </c>
      <c r="D582" s="38"/>
    </row>
    <row r="583" spans="1:4">
      <c r="A583" s="33">
        <f t="shared" si="65"/>
        <v>582</v>
      </c>
      <c r="B583" s="38">
        <v>43935</v>
      </c>
      <c r="C583" s="34" t="s">
        <v>571</v>
      </c>
      <c r="D583" s="38"/>
    </row>
    <row r="584" spans="1:4">
      <c r="A584" s="33">
        <f t="shared" si="65"/>
        <v>583</v>
      </c>
      <c r="B584" s="38">
        <v>43936</v>
      </c>
      <c r="C584" s="34" t="s">
        <v>572</v>
      </c>
      <c r="D584" s="38"/>
    </row>
    <row r="585" spans="1:4">
      <c r="A585" s="33">
        <f t="shared" si="65"/>
        <v>584</v>
      </c>
      <c r="B585" s="38">
        <v>43937</v>
      </c>
      <c r="C585" s="34" t="s">
        <v>573</v>
      </c>
      <c r="D585" s="38"/>
    </row>
    <row r="586" spans="1:4">
      <c r="A586" s="33">
        <f t="shared" si="65"/>
        <v>585</v>
      </c>
      <c r="B586" s="38">
        <v>43938</v>
      </c>
      <c r="C586" s="34" t="s">
        <v>574</v>
      </c>
      <c r="D586" s="38"/>
    </row>
    <row r="587" spans="1:4">
      <c r="A587" s="33">
        <f t="shared" si="65"/>
        <v>586</v>
      </c>
      <c r="B587" s="38">
        <v>43941</v>
      </c>
      <c r="C587" s="34" t="s">
        <v>575</v>
      </c>
      <c r="D587" s="38"/>
    </row>
    <row r="588" spans="1:4">
      <c r="A588" s="33">
        <f t="shared" si="65"/>
        <v>587</v>
      </c>
      <c r="B588" s="38">
        <v>43942</v>
      </c>
      <c r="C588" s="34" t="s">
        <v>576</v>
      </c>
      <c r="D588" s="38"/>
    </row>
    <row r="589" spans="1:4">
      <c r="A589" s="33">
        <f t="shared" si="65"/>
        <v>588</v>
      </c>
      <c r="B589" s="38">
        <v>43943</v>
      </c>
      <c r="C589" s="34" t="s">
        <v>577</v>
      </c>
      <c r="D589" s="38"/>
    </row>
    <row r="590" spans="1:4">
      <c r="A590" s="33">
        <f t="shared" si="65"/>
        <v>589</v>
      </c>
      <c r="B590" s="38">
        <v>43944</v>
      </c>
      <c r="C590" s="34" t="s">
        <v>578</v>
      </c>
      <c r="D590" s="38"/>
    </row>
    <row r="591" spans="1:4">
      <c r="A591" s="33">
        <f t="shared" si="65"/>
        <v>590</v>
      </c>
      <c r="B591" s="38">
        <v>43945</v>
      </c>
      <c r="C591" s="34" t="s">
        <v>579</v>
      </c>
      <c r="D591" s="38"/>
    </row>
    <row r="592" spans="1:4">
      <c r="A592" s="33">
        <f t="shared" si="65"/>
        <v>591</v>
      </c>
      <c r="B592" s="38">
        <v>43948</v>
      </c>
      <c r="C592" s="34" t="s">
        <v>577</v>
      </c>
      <c r="D592" s="38"/>
    </row>
    <row r="593" spans="1:4">
      <c r="A593" s="33">
        <f t="shared" si="65"/>
        <v>592</v>
      </c>
      <c r="B593" s="38">
        <v>43949</v>
      </c>
      <c r="C593" s="34" t="s">
        <v>580</v>
      </c>
      <c r="D593" s="38"/>
    </row>
    <row r="594" spans="1:4">
      <c r="A594" s="33">
        <f t="shared" si="65"/>
        <v>593</v>
      </c>
      <c r="B594" s="38">
        <v>43950</v>
      </c>
      <c r="C594" s="34" t="s">
        <v>581</v>
      </c>
      <c r="D594" s="38"/>
    </row>
    <row r="595" spans="1:4">
      <c r="A595" s="33">
        <f t="shared" si="65"/>
        <v>594</v>
      </c>
      <c r="B595" s="38">
        <v>43951</v>
      </c>
      <c r="C595" s="34" t="s">
        <v>580</v>
      </c>
      <c r="D595" s="38"/>
    </row>
    <row r="596" spans="1:4">
      <c r="A596" s="33">
        <f t="shared" si="65"/>
        <v>595</v>
      </c>
      <c r="B596" s="38">
        <v>43952</v>
      </c>
      <c r="C596" s="34" t="s">
        <v>582</v>
      </c>
      <c r="D596" s="38"/>
    </row>
    <row r="597" spans="1:4">
      <c r="A597" s="33">
        <f t="shared" si="65"/>
        <v>596</v>
      </c>
      <c r="B597" s="38">
        <v>43955</v>
      </c>
      <c r="C597" s="34" t="s">
        <v>496</v>
      </c>
      <c r="D597" s="38"/>
    </row>
    <row r="598" spans="1:4">
      <c r="A598" s="33">
        <f t="shared" si="65"/>
        <v>597</v>
      </c>
      <c r="B598" s="38">
        <v>43956</v>
      </c>
      <c r="C598" s="34" t="s">
        <v>583</v>
      </c>
      <c r="D598" s="38"/>
    </row>
    <row r="599" spans="1:4">
      <c r="A599" s="33">
        <f t="shared" si="65"/>
        <v>598</v>
      </c>
      <c r="B599" s="38">
        <v>43957</v>
      </c>
      <c r="C599" s="34" t="s">
        <v>584</v>
      </c>
      <c r="D599" s="38"/>
    </row>
    <row r="600" spans="1:4">
      <c r="A600" s="33">
        <f t="shared" si="65"/>
        <v>599</v>
      </c>
      <c r="B600" s="38">
        <v>43958</v>
      </c>
      <c r="C600" s="34" t="s">
        <v>585</v>
      </c>
      <c r="D600" s="38"/>
    </row>
    <row r="601" spans="1:4">
      <c r="A601" s="33">
        <f t="shared" si="65"/>
        <v>600</v>
      </c>
      <c r="B601" s="38">
        <v>43959</v>
      </c>
      <c r="C601" s="34" t="s">
        <v>586</v>
      </c>
      <c r="D601" s="38"/>
    </row>
    <row r="602" spans="1:4">
      <c r="A602" s="33">
        <f t="shared" si="65"/>
        <v>601</v>
      </c>
      <c r="B602" s="38">
        <v>43962</v>
      </c>
      <c r="C602" s="34" t="s">
        <v>583</v>
      </c>
      <c r="D602" s="38"/>
    </row>
    <row r="603" spans="1:4">
      <c r="A603" s="33">
        <f t="shared" si="65"/>
        <v>602</v>
      </c>
      <c r="B603" s="38">
        <v>43963</v>
      </c>
      <c r="C603" s="34" t="s">
        <v>587</v>
      </c>
      <c r="D603" s="38"/>
    </row>
    <row r="604" spans="1:4">
      <c r="A604" s="33">
        <f t="shared" si="65"/>
        <v>603</v>
      </c>
      <c r="B604" s="38">
        <v>43964</v>
      </c>
      <c r="C604" s="34" t="s">
        <v>588</v>
      </c>
      <c r="D604" s="38"/>
    </row>
    <row r="605" spans="1:4">
      <c r="A605" s="33">
        <f t="shared" si="65"/>
        <v>604</v>
      </c>
      <c r="B605" s="38">
        <v>43965</v>
      </c>
      <c r="C605" s="34" t="s">
        <v>589</v>
      </c>
      <c r="D605" s="38"/>
    </row>
    <row r="606" spans="1:4">
      <c r="A606" s="33">
        <f t="shared" si="65"/>
        <v>605</v>
      </c>
      <c r="B606" s="38">
        <v>43966</v>
      </c>
      <c r="C606" s="34" t="s">
        <v>589</v>
      </c>
      <c r="D606" s="38"/>
    </row>
    <row r="607" spans="1:4">
      <c r="A607" s="33">
        <f t="shared" si="65"/>
        <v>606</v>
      </c>
      <c r="B607" s="38">
        <v>43969</v>
      </c>
      <c r="C607" s="34" t="s">
        <v>590</v>
      </c>
      <c r="D607" s="38"/>
    </row>
    <row r="608" spans="1:4">
      <c r="A608" s="33">
        <f t="shared" si="65"/>
        <v>607</v>
      </c>
      <c r="B608" s="38">
        <v>43970</v>
      </c>
      <c r="C608" s="34" t="s">
        <v>591</v>
      </c>
      <c r="D608" s="38"/>
    </row>
    <row r="609" spans="1:4">
      <c r="A609" s="33">
        <f t="shared" si="65"/>
        <v>608</v>
      </c>
      <c r="B609" s="38">
        <v>43971</v>
      </c>
      <c r="C609" s="34" t="s">
        <v>592</v>
      </c>
      <c r="D609" s="38"/>
    </row>
    <row r="610" spans="1:4">
      <c r="A610" s="33">
        <f t="shared" si="65"/>
        <v>609</v>
      </c>
      <c r="B610" s="38">
        <v>43972</v>
      </c>
      <c r="C610" s="34" t="s">
        <v>593</v>
      </c>
      <c r="D610" s="38"/>
    </row>
    <row r="611" spans="1:4">
      <c r="A611" s="33">
        <f t="shared" si="65"/>
        <v>610</v>
      </c>
      <c r="B611" s="38">
        <v>43973</v>
      </c>
      <c r="C611" s="34" t="s">
        <v>594</v>
      </c>
      <c r="D611" s="38"/>
    </row>
    <row r="612" spans="1:4">
      <c r="A612" s="33">
        <f t="shared" si="65"/>
        <v>611</v>
      </c>
      <c r="B612" s="38">
        <v>43976</v>
      </c>
      <c r="C612" s="34" t="s">
        <v>594</v>
      </c>
      <c r="D612" s="38"/>
    </row>
    <row r="613" spans="1:4">
      <c r="A613" s="33">
        <f t="shared" si="65"/>
        <v>612</v>
      </c>
      <c r="B613" s="38">
        <v>43977</v>
      </c>
      <c r="C613" s="34" t="s">
        <v>595</v>
      </c>
      <c r="D613" s="38"/>
    </row>
    <row r="614" spans="1:4">
      <c r="A614" s="33">
        <f t="shared" si="65"/>
        <v>613</v>
      </c>
      <c r="B614" s="38">
        <v>43978</v>
      </c>
      <c r="C614" s="34" t="s">
        <v>596</v>
      </c>
      <c r="D614" s="38"/>
    </row>
    <row r="615" spans="1:4">
      <c r="A615" s="33">
        <f t="shared" si="65"/>
        <v>614</v>
      </c>
      <c r="B615" s="38">
        <v>43979</v>
      </c>
      <c r="C615" s="34" t="s">
        <v>597</v>
      </c>
      <c r="D615" s="38"/>
    </row>
    <row r="616" spans="1:4">
      <c r="A616" s="33">
        <f t="shared" si="65"/>
        <v>615</v>
      </c>
      <c r="B616" s="38">
        <v>43980</v>
      </c>
      <c r="C616" s="34" t="s">
        <v>598</v>
      </c>
      <c r="D616" s="38"/>
    </row>
    <row r="617" spans="1:4">
      <c r="A617" s="33">
        <f t="shared" si="65"/>
        <v>616</v>
      </c>
      <c r="B617" s="38">
        <v>43983</v>
      </c>
      <c r="C617" s="34" t="s">
        <v>599</v>
      </c>
      <c r="D617" s="38"/>
    </row>
    <row r="618" spans="1:4">
      <c r="A618" s="33">
        <f t="shared" si="65"/>
        <v>617</v>
      </c>
      <c r="B618" s="38">
        <v>43984</v>
      </c>
      <c r="C618" s="34" t="s">
        <v>600</v>
      </c>
      <c r="D618" s="38"/>
    </row>
    <row r="619" spans="1:4">
      <c r="A619" s="33">
        <f t="shared" si="65"/>
        <v>618</v>
      </c>
      <c r="B619" s="38">
        <v>43985</v>
      </c>
      <c r="C619" s="34" t="s">
        <v>511</v>
      </c>
      <c r="D619" s="38"/>
    </row>
    <row r="620" spans="1:4">
      <c r="A620" s="33">
        <f t="shared" si="65"/>
        <v>619</v>
      </c>
      <c r="B620" s="38">
        <v>43986</v>
      </c>
      <c r="C620" s="34" t="s">
        <v>601</v>
      </c>
      <c r="D620" s="38"/>
    </row>
    <row r="621" spans="1:4">
      <c r="A621" s="33">
        <f t="shared" si="65"/>
        <v>620</v>
      </c>
      <c r="B621" s="38">
        <v>43987</v>
      </c>
      <c r="C621" s="34" t="s">
        <v>602</v>
      </c>
      <c r="D621" s="38"/>
    </row>
    <row r="622" spans="1:4">
      <c r="A622" s="33">
        <f t="shared" si="65"/>
        <v>621</v>
      </c>
      <c r="B622" s="38">
        <v>43990</v>
      </c>
      <c r="C622" s="34" t="s">
        <v>510</v>
      </c>
      <c r="D622" s="38"/>
    </row>
    <row r="623" spans="1:4">
      <c r="A623" s="33">
        <f t="shared" si="65"/>
        <v>622</v>
      </c>
      <c r="B623" s="38">
        <v>43991</v>
      </c>
      <c r="C623" s="34" t="s">
        <v>603</v>
      </c>
      <c r="D623" s="38"/>
    </row>
    <row r="624" spans="1:4">
      <c r="A624" s="33">
        <f t="shared" si="65"/>
        <v>623</v>
      </c>
      <c r="B624" s="38">
        <v>43992</v>
      </c>
      <c r="C624" s="34" t="s">
        <v>604</v>
      </c>
      <c r="D624" s="38"/>
    </row>
    <row r="625" spans="1:4">
      <c r="A625" s="33">
        <f t="shared" si="65"/>
        <v>624</v>
      </c>
      <c r="B625" s="38">
        <v>43993</v>
      </c>
      <c r="C625" s="34" t="s">
        <v>605</v>
      </c>
      <c r="D625" s="38"/>
    </row>
    <row r="626" spans="1:4">
      <c r="A626" s="33">
        <f t="shared" si="65"/>
        <v>625</v>
      </c>
      <c r="B626" s="38">
        <v>43994</v>
      </c>
      <c r="C626" s="34" t="s">
        <v>601</v>
      </c>
      <c r="D626" s="38"/>
    </row>
    <row r="627" spans="1:4">
      <c r="A627" s="33">
        <f t="shared" si="65"/>
        <v>626</v>
      </c>
      <c r="B627" s="38">
        <v>43997</v>
      </c>
      <c r="C627" s="34" t="s">
        <v>606</v>
      </c>
      <c r="D627" s="38"/>
    </row>
    <row r="628" spans="1:4">
      <c r="A628" s="33">
        <f t="shared" si="65"/>
        <v>627</v>
      </c>
      <c r="B628" s="38">
        <v>43998</v>
      </c>
      <c r="C628" s="34" t="s">
        <v>546</v>
      </c>
      <c r="D628" s="38"/>
    </row>
    <row r="629" spans="1:4">
      <c r="A629" s="33">
        <f t="shared" si="65"/>
        <v>628</v>
      </c>
      <c r="B629" s="38">
        <v>43999</v>
      </c>
      <c r="C629" s="34" t="s">
        <v>607</v>
      </c>
      <c r="D629" s="38"/>
    </row>
    <row r="630" spans="1:4">
      <c r="A630" s="33">
        <f t="shared" si="65"/>
        <v>629</v>
      </c>
      <c r="B630" s="38">
        <v>44000</v>
      </c>
      <c r="C630" s="34" t="s">
        <v>608</v>
      </c>
      <c r="D630" s="38"/>
    </row>
    <row r="631" spans="1:4">
      <c r="A631" s="33">
        <f t="shared" si="65"/>
        <v>630</v>
      </c>
      <c r="B631" s="38">
        <v>44001</v>
      </c>
      <c r="C631" s="34" t="s">
        <v>609</v>
      </c>
      <c r="D631" s="38"/>
    </row>
    <row r="632" spans="1:4">
      <c r="A632" s="33">
        <f t="shared" si="65"/>
        <v>631</v>
      </c>
      <c r="B632" s="38">
        <v>44004</v>
      </c>
      <c r="C632" s="34" t="s">
        <v>600</v>
      </c>
      <c r="D632" s="38"/>
    </row>
    <row r="633" spans="1:4">
      <c r="A633" s="33">
        <f t="shared" si="65"/>
        <v>632</v>
      </c>
      <c r="B633" s="38">
        <v>44005</v>
      </c>
      <c r="C633" s="34" t="s">
        <v>522</v>
      </c>
      <c r="D633" s="38"/>
    </row>
    <row r="634" spans="1:4">
      <c r="A634" s="33">
        <f t="shared" si="65"/>
        <v>633</v>
      </c>
      <c r="B634" s="38">
        <v>44006</v>
      </c>
      <c r="C634" s="34" t="s">
        <v>610</v>
      </c>
      <c r="D634" s="38"/>
    </row>
    <row r="635" spans="1:4">
      <c r="A635" s="33">
        <f t="shared" si="65"/>
        <v>634</v>
      </c>
      <c r="B635" s="38">
        <v>44007</v>
      </c>
      <c r="C635" s="34" t="s">
        <v>511</v>
      </c>
      <c r="D635" s="38"/>
    </row>
    <row r="636" spans="1:4">
      <c r="A636" s="33">
        <f t="shared" si="65"/>
        <v>635</v>
      </c>
      <c r="B636" s="38">
        <v>44008</v>
      </c>
      <c r="C636" s="34" t="s">
        <v>611</v>
      </c>
      <c r="D636" s="38"/>
    </row>
    <row r="637" spans="1:4">
      <c r="A637" s="33">
        <f t="shared" si="65"/>
        <v>636</v>
      </c>
      <c r="B637" s="38">
        <v>44011</v>
      </c>
      <c r="C637" s="34" t="s">
        <v>612</v>
      </c>
      <c r="D637" s="38"/>
    </row>
    <row r="638" spans="1:4">
      <c r="A638" s="33">
        <f t="shared" si="65"/>
        <v>637</v>
      </c>
      <c r="B638" s="38">
        <v>44012</v>
      </c>
      <c r="C638" s="34" t="s">
        <v>613</v>
      </c>
      <c r="D638" s="38"/>
    </row>
    <row r="639" spans="1:4">
      <c r="A639" s="33">
        <f t="shared" si="65"/>
        <v>638</v>
      </c>
      <c r="B639" s="38">
        <v>44013</v>
      </c>
      <c r="C639" s="34" t="s">
        <v>614</v>
      </c>
      <c r="D639" s="38"/>
    </row>
    <row r="640" spans="1:4">
      <c r="A640" s="33">
        <f t="shared" si="65"/>
        <v>639</v>
      </c>
      <c r="B640" s="38">
        <v>44014</v>
      </c>
      <c r="C640" s="34" t="s">
        <v>615</v>
      </c>
      <c r="D640" s="38"/>
    </row>
    <row r="641" spans="1:4">
      <c r="A641" s="33">
        <f t="shared" si="65"/>
        <v>640</v>
      </c>
      <c r="B641" s="38">
        <v>44015</v>
      </c>
      <c r="C641" s="34" t="s">
        <v>615</v>
      </c>
      <c r="D641" s="38"/>
    </row>
    <row r="642" spans="1:4">
      <c r="A642" s="33">
        <f t="shared" si="65"/>
        <v>641</v>
      </c>
      <c r="B642" s="38">
        <v>44018</v>
      </c>
      <c r="C642" s="34" t="s">
        <v>616</v>
      </c>
      <c r="D642" s="38"/>
    </row>
    <row r="643" spans="1:4">
      <c r="A643" s="33">
        <f t="shared" si="65"/>
        <v>642</v>
      </c>
      <c r="B643" s="38">
        <v>44019</v>
      </c>
      <c r="C643" s="34" t="s">
        <v>617</v>
      </c>
      <c r="D643" s="38"/>
    </row>
    <row r="644" spans="1:4">
      <c r="A644" s="33">
        <f t="shared" ref="A644:A707" si="66">A643+1</f>
        <v>643</v>
      </c>
      <c r="B644" s="38">
        <v>44020</v>
      </c>
      <c r="C644" s="34" t="s">
        <v>618</v>
      </c>
      <c r="D644" s="38"/>
    </row>
    <row r="645" spans="1:4">
      <c r="A645" s="33">
        <f t="shared" si="66"/>
        <v>644</v>
      </c>
      <c r="B645" s="38">
        <v>44021</v>
      </c>
      <c r="C645" s="34" t="s">
        <v>619</v>
      </c>
      <c r="D645" s="38"/>
    </row>
    <row r="646" spans="1:4">
      <c r="A646" s="33">
        <f t="shared" si="66"/>
        <v>645</v>
      </c>
      <c r="B646" s="38">
        <v>44022</v>
      </c>
      <c r="C646" s="34" t="s">
        <v>620</v>
      </c>
      <c r="D646" s="38"/>
    </row>
    <row r="647" spans="1:4">
      <c r="A647" s="33">
        <f t="shared" si="66"/>
        <v>646</v>
      </c>
      <c r="B647" s="38">
        <v>44025</v>
      </c>
      <c r="C647" s="34" t="s">
        <v>621</v>
      </c>
      <c r="D647" s="38"/>
    </row>
    <row r="648" spans="1:4">
      <c r="A648" s="33">
        <f t="shared" si="66"/>
        <v>647</v>
      </c>
      <c r="B648" s="38">
        <v>44026</v>
      </c>
      <c r="C648" s="34" t="s">
        <v>622</v>
      </c>
      <c r="D648" s="38"/>
    </row>
    <row r="649" spans="1:4">
      <c r="A649" s="33">
        <f t="shared" si="66"/>
        <v>648</v>
      </c>
      <c r="B649" s="38">
        <v>44027</v>
      </c>
      <c r="C649" s="34" t="s">
        <v>623</v>
      </c>
      <c r="D649" s="38"/>
    </row>
    <row r="650" spans="1:4">
      <c r="A650" s="33">
        <f t="shared" si="66"/>
        <v>649</v>
      </c>
      <c r="B650" s="38">
        <v>44028</v>
      </c>
      <c r="C650" s="34" t="s">
        <v>624</v>
      </c>
      <c r="D650" s="38"/>
    </row>
    <row r="651" spans="1:4">
      <c r="A651" s="33">
        <f t="shared" si="66"/>
        <v>650</v>
      </c>
      <c r="B651" s="38">
        <v>44029</v>
      </c>
      <c r="C651" s="34" t="s">
        <v>625</v>
      </c>
      <c r="D651" s="38"/>
    </row>
    <row r="652" spans="1:4">
      <c r="A652" s="33">
        <f t="shared" si="66"/>
        <v>651</v>
      </c>
      <c r="B652" s="38">
        <v>44032</v>
      </c>
      <c r="C652" s="34" t="s">
        <v>626</v>
      </c>
      <c r="D652" s="38"/>
    </row>
    <row r="653" spans="1:4">
      <c r="A653" s="33">
        <f t="shared" si="66"/>
        <v>652</v>
      </c>
      <c r="B653" s="38">
        <v>44033</v>
      </c>
      <c r="C653" s="34" t="s">
        <v>627</v>
      </c>
      <c r="D653" s="38"/>
    </row>
    <row r="654" spans="1:4">
      <c r="A654" s="33">
        <f t="shared" si="66"/>
        <v>653</v>
      </c>
      <c r="B654" s="38">
        <v>44034</v>
      </c>
      <c r="C654" s="34" t="s">
        <v>628</v>
      </c>
      <c r="D654" s="38"/>
    </row>
    <row r="655" spans="1:4">
      <c r="A655" s="33">
        <f t="shared" si="66"/>
        <v>654</v>
      </c>
      <c r="B655" s="38">
        <v>44035</v>
      </c>
      <c r="C655" s="34" t="s">
        <v>629</v>
      </c>
      <c r="D655" s="38"/>
    </row>
    <row r="656" spans="1:4">
      <c r="A656" s="33">
        <f t="shared" si="66"/>
        <v>655</v>
      </c>
      <c r="B656" s="38">
        <v>44036</v>
      </c>
      <c r="C656" s="34" t="s">
        <v>630</v>
      </c>
      <c r="D656" s="38"/>
    </row>
    <row r="657" spans="1:4">
      <c r="A657" s="33">
        <f t="shared" si="66"/>
        <v>656</v>
      </c>
      <c r="B657" s="38">
        <v>44039</v>
      </c>
      <c r="C657" s="34" t="s">
        <v>631</v>
      </c>
      <c r="D657" s="38"/>
    </row>
    <row r="658" spans="1:4">
      <c r="A658" s="33">
        <f t="shared" si="66"/>
        <v>657</v>
      </c>
      <c r="B658" s="38">
        <v>44040</v>
      </c>
      <c r="C658" s="34" t="s">
        <v>632</v>
      </c>
      <c r="D658" s="38"/>
    </row>
    <row r="659" spans="1:4">
      <c r="A659" s="33">
        <f t="shared" si="66"/>
        <v>658</v>
      </c>
      <c r="B659" s="38">
        <v>44041</v>
      </c>
      <c r="C659" s="34" t="s">
        <v>633</v>
      </c>
      <c r="D659" s="38"/>
    </row>
    <row r="660" spans="1:4">
      <c r="A660" s="33">
        <f t="shared" si="66"/>
        <v>659</v>
      </c>
      <c r="B660" s="38">
        <v>44042</v>
      </c>
      <c r="C660" s="34" t="s">
        <v>634</v>
      </c>
      <c r="D660" s="38"/>
    </row>
    <row r="661" spans="1:4">
      <c r="A661" s="33">
        <f t="shared" si="66"/>
        <v>660</v>
      </c>
      <c r="B661" s="38">
        <v>44043</v>
      </c>
      <c r="C661" s="34" t="s">
        <v>635</v>
      </c>
      <c r="D661" s="38"/>
    </row>
    <row r="662" spans="1:4">
      <c r="A662" s="33">
        <f t="shared" si="66"/>
        <v>661</v>
      </c>
      <c r="B662" s="38">
        <v>44046</v>
      </c>
      <c r="C662" s="34" t="s">
        <v>636</v>
      </c>
      <c r="D662" s="38"/>
    </row>
    <row r="663" spans="1:4">
      <c r="A663" s="33">
        <f t="shared" si="66"/>
        <v>662</v>
      </c>
      <c r="B663" s="38">
        <v>44047</v>
      </c>
      <c r="C663" s="34" t="s">
        <v>637</v>
      </c>
      <c r="D663" s="38"/>
    </row>
    <row r="664" spans="1:4">
      <c r="A664" s="33">
        <f t="shared" si="66"/>
        <v>663</v>
      </c>
      <c r="B664" s="38">
        <v>44048</v>
      </c>
      <c r="C664" s="34" t="s">
        <v>637</v>
      </c>
      <c r="D664" s="38"/>
    </row>
    <row r="665" spans="1:4">
      <c r="A665" s="33">
        <f t="shared" si="66"/>
        <v>664</v>
      </c>
      <c r="B665" s="38">
        <v>44049</v>
      </c>
      <c r="C665" s="34" t="s">
        <v>638</v>
      </c>
      <c r="D665" s="38"/>
    </row>
    <row r="666" spans="1:4">
      <c r="A666" s="33">
        <f t="shared" si="66"/>
        <v>665</v>
      </c>
      <c r="B666" s="38">
        <v>44050</v>
      </c>
      <c r="C666" s="34" t="s">
        <v>639</v>
      </c>
      <c r="D666" s="38"/>
    </row>
    <row r="667" spans="1:4">
      <c r="A667" s="33">
        <f t="shared" si="66"/>
        <v>666</v>
      </c>
      <c r="B667" s="38">
        <v>44053</v>
      </c>
      <c r="C667" s="34" t="s">
        <v>640</v>
      </c>
      <c r="D667" s="38"/>
    </row>
    <row r="668" spans="1:4">
      <c r="A668" s="33">
        <f t="shared" si="66"/>
        <v>667</v>
      </c>
      <c r="B668" s="38">
        <v>44054</v>
      </c>
      <c r="C668" s="34" t="s">
        <v>641</v>
      </c>
      <c r="D668" s="38"/>
    </row>
    <row r="669" spans="1:4">
      <c r="A669" s="33">
        <f t="shared" si="66"/>
        <v>668</v>
      </c>
      <c r="B669" s="38">
        <v>44055</v>
      </c>
      <c r="C669" s="34" t="s">
        <v>642</v>
      </c>
      <c r="D669" s="38"/>
    </row>
    <row r="670" spans="1:4">
      <c r="A670" s="33">
        <f t="shared" si="66"/>
        <v>669</v>
      </c>
      <c r="B670" s="38">
        <v>44056</v>
      </c>
      <c r="C670" s="34" t="s">
        <v>643</v>
      </c>
      <c r="D670" s="38"/>
    </row>
    <row r="671" spans="1:4">
      <c r="A671" s="33">
        <f t="shared" si="66"/>
        <v>670</v>
      </c>
      <c r="B671" s="38">
        <v>44057</v>
      </c>
      <c r="C671" s="34" t="s">
        <v>644</v>
      </c>
      <c r="D671" s="38"/>
    </row>
    <row r="672" spans="1:4">
      <c r="A672" s="33">
        <f t="shared" si="66"/>
        <v>671</v>
      </c>
      <c r="B672" s="38">
        <v>44060</v>
      </c>
      <c r="C672" s="34" t="s">
        <v>645</v>
      </c>
      <c r="D672" s="38"/>
    </row>
    <row r="673" spans="1:4">
      <c r="A673" s="33">
        <f t="shared" si="66"/>
        <v>672</v>
      </c>
      <c r="B673" s="38">
        <v>44061</v>
      </c>
      <c r="C673" s="34" t="s">
        <v>646</v>
      </c>
      <c r="D673" s="38"/>
    </row>
    <row r="674" spans="1:4">
      <c r="A674" s="33">
        <f t="shared" si="66"/>
        <v>673</v>
      </c>
      <c r="B674" s="38">
        <v>44062</v>
      </c>
      <c r="C674" s="34" t="s">
        <v>647</v>
      </c>
      <c r="D674" s="38"/>
    </row>
    <row r="675" spans="1:4">
      <c r="A675" s="33">
        <f t="shared" si="66"/>
        <v>674</v>
      </c>
      <c r="B675" s="38">
        <v>44063</v>
      </c>
      <c r="C675" s="34" t="s">
        <v>648</v>
      </c>
      <c r="D675" s="38"/>
    </row>
    <row r="676" spans="1:4">
      <c r="A676" s="33">
        <f t="shared" si="66"/>
        <v>675</v>
      </c>
      <c r="B676" s="38">
        <v>44064</v>
      </c>
      <c r="C676" s="34" t="s">
        <v>649</v>
      </c>
      <c r="D676" s="38"/>
    </row>
    <row r="677" spans="1:4">
      <c r="A677" s="33">
        <f t="shared" si="66"/>
        <v>676</v>
      </c>
      <c r="B677" s="38">
        <v>44067</v>
      </c>
      <c r="C677" s="34" t="s">
        <v>650</v>
      </c>
      <c r="D677" s="38"/>
    </row>
    <row r="678" spans="1:4">
      <c r="A678" s="33">
        <f t="shared" si="66"/>
        <v>677</v>
      </c>
      <c r="B678" s="38">
        <v>44068</v>
      </c>
      <c r="C678" s="34" t="s">
        <v>651</v>
      </c>
      <c r="D678" s="38"/>
    </row>
    <row r="679" spans="1:4">
      <c r="A679" s="33">
        <f t="shared" si="66"/>
        <v>678</v>
      </c>
      <c r="B679" s="38">
        <v>44069</v>
      </c>
      <c r="C679" s="34" t="s">
        <v>652</v>
      </c>
      <c r="D679" s="38"/>
    </row>
    <row r="680" spans="1:4">
      <c r="A680" s="33">
        <f t="shared" si="66"/>
        <v>679</v>
      </c>
      <c r="B680" s="38">
        <v>44070</v>
      </c>
      <c r="C680" s="34" t="s">
        <v>653</v>
      </c>
      <c r="D680" s="38"/>
    </row>
    <row r="681" spans="1:4">
      <c r="A681" s="33">
        <f t="shared" si="66"/>
        <v>680</v>
      </c>
      <c r="B681" s="38">
        <v>44071</v>
      </c>
      <c r="C681" s="34" t="s">
        <v>654</v>
      </c>
      <c r="D681" s="38"/>
    </row>
    <row r="682" spans="1:4">
      <c r="A682" s="33">
        <f t="shared" si="66"/>
        <v>681</v>
      </c>
      <c r="B682" s="38">
        <v>44074</v>
      </c>
      <c r="C682" s="34" t="s">
        <v>655</v>
      </c>
      <c r="D682" s="38"/>
    </row>
    <row r="683" spans="1:4">
      <c r="A683" s="33">
        <f t="shared" si="66"/>
        <v>682</v>
      </c>
      <c r="B683" s="38">
        <v>44075</v>
      </c>
      <c r="C683" s="34" t="s">
        <v>656</v>
      </c>
      <c r="D683" s="38"/>
    </row>
    <row r="684" spans="1:4">
      <c r="A684" s="33">
        <f t="shared" si="66"/>
        <v>683</v>
      </c>
      <c r="B684" s="38">
        <v>44076</v>
      </c>
      <c r="C684" s="34" t="s">
        <v>657</v>
      </c>
      <c r="D684" s="38"/>
    </row>
    <row r="685" spans="1:4">
      <c r="A685" s="33">
        <f t="shared" si="66"/>
        <v>684</v>
      </c>
      <c r="B685" s="38">
        <v>44077</v>
      </c>
      <c r="C685" s="34" t="s">
        <v>658</v>
      </c>
      <c r="D685" s="38"/>
    </row>
    <row r="686" spans="1:4">
      <c r="A686" s="33">
        <f t="shared" si="66"/>
        <v>685</v>
      </c>
      <c r="B686" s="38">
        <v>44078</v>
      </c>
      <c r="C686" s="34" t="s">
        <v>659</v>
      </c>
      <c r="D686" s="38"/>
    </row>
    <row r="687" spans="1:4">
      <c r="A687" s="33">
        <f t="shared" si="66"/>
        <v>686</v>
      </c>
      <c r="B687" s="38">
        <v>44081</v>
      </c>
      <c r="C687" s="34" t="s">
        <v>659</v>
      </c>
      <c r="D687" s="38"/>
    </row>
    <row r="688" spans="1:4">
      <c r="A688" s="33">
        <f t="shared" si="66"/>
        <v>687</v>
      </c>
      <c r="B688" s="38">
        <v>44082</v>
      </c>
      <c r="C688" s="34" t="s">
        <v>660</v>
      </c>
      <c r="D688" s="38"/>
    </row>
    <row r="689" spans="1:4">
      <c r="A689" s="33">
        <f t="shared" si="66"/>
        <v>688</v>
      </c>
      <c r="B689" s="38">
        <v>44083</v>
      </c>
      <c r="C689" s="34" t="s">
        <v>647</v>
      </c>
      <c r="D689" s="38"/>
    </row>
    <row r="690" spans="1:4">
      <c r="A690" s="33">
        <f t="shared" si="66"/>
        <v>689</v>
      </c>
      <c r="B690" s="38">
        <v>44084</v>
      </c>
      <c r="C690" s="34" t="s">
        <v>661</v>
      </c>
      <c r="D690" s="38"/>
    </row>
    <row r="691" spans="1:4">
      <c r="A691" s="33">
        <f t="shared" si="66"/>
        <v>690</v>
      </c>
      <c r="B691" s="38">
        <v>44085</v>
      </c>
      <c r="C691" s="34" t="s">
        <v>536</v>
      </c>
      <c r="D691" s="38"/>
    </row>
    <row r="692" spans="1:4">
      <c r="A692" s="33">
        <f t="shared" si="66"/>
        <v>691</v>
      </c>
      <c r="B692" s="38">
        <v>44088</v>
      </c>
      <c r="C692" s="34" t="s">
        <v>662</v>
      </c>
      <c r="D692" s="38"/>
    </row>
    <row r="693" spans="1:4">
      <c r="A693" s="33">
        <f t="shared" si="66"/>
        <v>692</v>
      </c>
      <c r="B693" s="38">
        <v>44089</v>
      </c>
      <c r="C693" s="34" t="s">
        <v>663</v>
      </c>
      <c r="D693" s="38"/>
    </row>
    <row r="694" spans="1:4">
      <c r="A694" s="33">
        <f t="shared" si="66"/>
        <v>693</v>
      </c>
      <c r="B694" s="38">
        <v>44090</v>
      </c>
      <c r="C694" s="34" t="s">
        <v>664</v>
      </c>
      <c r="D694" s="38"/>
    </row>
    <row r="695" spans="1:4">
      <c r="A695" s="33">
        <f t="shared" si="66"/>
        <v>694</v>
      </c>
      <c r="B695" s="38">
        <v>44091</v>
      </c>
      <c r="C695" s="34" t="s">
        <v>665</v>
      </c>
      <c r="D695" s="38"/>
    </row>
    <row r="696" spans="1:4">
      <c r="A696" s="33">
        <f t="shared" si="66"/>
        <v>695</v>
      </c>
      <c r="B696" s="38">
        <v>44092</v>
      </c>
      <c r="C696" s="34" t="s">
        <v>666</v>
      </c>
      <c r="D696" s="38"/>
    </row>
    <row r="697" spans="1:4">
      <c r="A697" s="33">
        <f t="shared" si="66"/>
        <v>696</v>
      </c>
      <c r="B697" s="38">
        <v>44095</v>
      </c>
      <c r="C697" s="34" t="s">
        <v>520</v>
      </c>
      <c r="D697" s="38"/>
    </row>
    <row r="698" spans="1:4">
      <c r="A698" s="33">
        <f t="shared" si="66"/>
        <v>697</v>
      </c>
      <c r="B698" s="38">
        <v>44096</v>
      </c>
      <c r="C698" s="34" t="s">
        <v>634</v>
      </c>
      <c r="D698" s="38"/>
    </row>
    <row r="699" spans="1:4">
      <c r="A699" s="33">
        <f t="shared" si="66"/>
        <v>698</v>
      </c>
      <c r="B699" s="38">
        <v>44097</v>
      </c>
      <c r="C699" s="34" t="s">
        <v>667</v>
      </c>
      <c r="D699" s="38"/>
    </row>
    <row r="700" spans="1:4">
      <c r="A700" s="33">
        <f t="shared" si="66"/>
        <v>699</v>
      </c>
      <c r="B700" s="38">
        <v>44098</v>
      </c>
      <c r="C700" s="34" t="s">
        <v>625</v>
      </c>
      <c r="D700" s="38"/>
    </row>
    <row r="701" spans="1:4">
      <c r="A701" s="33">
        <f t="shared" si="66"/>
        <v>700</v>
      </c>
      <c r="B701" s="38">
        <v>44099</v>
      </c>
      <c r="C701" s="34" t="s">
        <v>668</v>
      </c>
      <c r="D701" s="38"/>
    </row>
    <row r="702" spans="1:4">
      <c r="A702" s="33">
        <f t="shared" si="66"/>
        <v>701</v>
      </c>
      <c r="B702" s="38">
        <v>44102</v>
      </c>
      <c r="C702" s="34" t="s">
        <v>669</v>
      </c>
      <c r="D702" s="38"/>
    </row>
    <row r="703" spans="1:4">
      <c r="A703" s="33">
        <f t="shared" si="66"/>
        <v>702</v>
      </c>
      <c r="B703" s="38">
        <v>44103</v>
      </c>
      <c r="C703" s="34" t="s">
        <v>670</v>
      </c>
      <c r="D703" s="38"/>
    </row>
    <row r="704" spans="1:4">
      <c r="A704" s="33">
        <f t="shared" si="66"/>
        <v>703</v>
      </c>
      <c r="B704" s="38">
        <v>44104</v>
      </c>
      <c r="C704" s="34" t="s">
        <v>540</v>
      </c>
      <c r="D704" s="38"/>
    </row>
    <row r="705" spans="1:4">
      <c r="A705" s="33">
        <f t="shared" si="66"/>
        <v>704</v>
      </c>
      <c r="B705" s="38">
        <v>44105</v>
      </c>
      <c r="C705" s="34" t="s">
        <v>671</v>
      </c>
      <c r="D705" s="38"/>
    </row>
    <row r="706" spans="1:4">
      <c r="A706" s="33">
        <f t="shared" si="66"/>
        <v>705</v>
      </c>
      <c r="B706" s="38">
        <v>44106</v>
      </c>
      <c r="C706" s="34" t="s">
        <v>661</v>
      </c>
      <c r="D706" s="38"/>
    </row>
    <row r="707" spans="1:4">
      <c r="A707" s="33">
        <f t="shared" si="66"/>
        <v>706</v>
      </c>
      <c r="B707" s="38">
        <v>44109</v>
      </c>
      <c r="C707" s="34" t="s">
        <v>672</v>
      </c>
      <c r="D707" s="38"/>
    </row>
    <row r="708" spans="1:4">
      <c r="A708" s="33">
        <f t="shared" ref="A708:A771" si="67">A707+1</f>
        <v>707</v>
      </c>
      <c r="B708" s="38">
        <v>44110</v>
      </c>
      <c r="C708" s="34" t="s">
        <v>673</v>
      </c>
      <c r="D708" s="38"/>
    </row>
    <row r="709" spans="1:4">
      <c r="A709" s="33">
        <f t="shared" si="67"/>
        <v>708</v>
      </c>
      <c r="B709" s="38">
        <v>44111</v>
      </c>
      <c r="C709" s="34" t="s">
        <v>674</v>
      </c>
      <c r="D709" s="38"/>
    </row>
    <row r="710" spans="1:4">
      <c r="A710" s="33">
        <f t="shared" si="67"/>
        <v>709</v>
      </c>
      <c r="B710" s="38">
        <v>44112</v>
      </c>
      <c r="C710" s="34" t="s">
        <v>637</v>
      </c>
      <c r="D710" s="38"/>
    </row>
    <row r="711" spans="1:4">
      <c r="A711" s="33">
        <f t="shared" si="67"/>
        <v>710</v>
      </c>
      <c r="B711" s="38">
        <v>44113</v>
      </c>
      <c r="C711" s="34" t="s">
        <v>675</v>
      </c>
      <c r="D711" s="38"/>
    </row>
    <row r="712" spans="1:4">
      <c r="A712" s="33">
        <f t="shared" si="67"/>
        <v>711</v>
      </c>
      <c r="B712" s="38">
        <v>44116</v>
      </c>
      <c r="C712" s="34" t="s">
        <v>676</v>
      </c>
      <c r="D712" s="38"/>
    </row>
    <row r="713" spans="1:4">
      <c r="A713" s="33">
        <f t="shared" si="67"/>
        <v>712</v>
      </c>
      <c r="B713" s="38">
        <v>44117</v>
      </c>
      <c r="C713" s="34" t="s">
        <v>677</v>
      </c>
      <c r="D713" s="38"/>
    </row>
    <row r="714" spans="1:4">
      <c r="A714" s="33">
        <f t="shared" si="67"/>
        <v>713</v>
      </c>
      <c r="B714" s="38">
        <v>44118</v>
      </c>
      <c r="C714" s="34" t="s">
        <v>678</v>
      </c>
      <c r="D714" s="38"/>
    </row>
    <row r="715" spans="1:4">
      <c r="A715" s="33">
        <f t="shared" si="67"/>
        <v>714</v>
      </c>
      <c r="B715" s="38">
        <v>44119</v>
      </c>
      <c r="C715" s="34" t="s">
        <v>679</v>
      </c>
      <c r="D715" s="38"/>
    </row>
    <row r="716" spans="1:4">
      <c r="A716" s="33">
        <f t="shared" si="67"/>
        <v>715</v>
      </c>
      <c r="B716" s="38">
        <v>44120</v>
      </c>
      <c r="C716" s="34" t="s">
        <v>680</v>
      </c>
      <c r="D716" s="38"/>
    </row>
    <row r="717" spans="1:4">
      <c r="A717" s="33">
        <f t="shared" si="67"/>
        <v>716</v>
      </c>
      <c r="B717" s="38">
        <v>44123</v>
      </c>
      <c r="C717" s="34" t="s">
        <v>681</v>
      </c>
      <c r="D717" s="38"/>
    </row>
    <row r="718" spans="1:4">
      <c r="A718" s="33">
        <f t="shared" si="67"/>
        <v>717</v>
      </c>
      <c r="B718" s="38">
        <v>44124</v>
      </c>
      <c r="C718" s="34" t="s">
        <v>682</v>
      </c>
      <c r="D718" s="38"/>
    </row>
    <row r="719" spans="1:4">
      <c r="A719" s="33">
        <f t="shared" si="67"/>
        <v>718</v>
      </c>
      <c r="B719" s="38">
        <v>44125</v>
      </c>
      <c r="C719" s="34" t="s">
        <v>683</v>
      </c>
      <c r="D719" s="38"/>
    </row>
    <row r="720" spans="1:4">
      <c r="A720" s="33">
        <f t="shared" si="67"/>
        <v>719</v>
      </c>
      <c r="B720" s="38">
        <v>44126</v>
      </c>
      <c r="C720" s="34" t="s">
        <v>669</v>
      </c>
      <c r="D720" s="38"/>
    </row>
    <row r="721" spans="1:4">
      <c r="A721" s="33">
        <f t="shared" si="67"/>
        <v>720</v>
      </c>
      <c r="B721" s="38">
        <v>44127</v>
      </c>
      <c r="C721" s="34" t="s">
        <v>538</v>
      </c>
      <c r="D721" s="38"/>
    </row>
    <row r="722" spans="1:4">
      <c r="A722" s="33">
        <f t="shared" si="67"/>
        <v>721</v>
      </c>
      <c r="B722" s="38">
        <v>44130</v>
      </c>
      <c r="C722" s="34" t="s">
        <v>684</v>
      </c>
      <c r="D722" s="38"/>
    </row>
    <row r="723" spans="1:4">
      <c r="A723" s="33">
        <f t="shared" si="67"/>
        <v>722</v>
      </c>
      <c r="B723" s="38">
        <v>44131</v>
      </c>
      <c r="C723" s="34" t="s">
        <v>684</v>
      </c>
      <c r="D723" s="38"/>
    </row>
    <row r="724" spans="1:4">
      <c r="A724" s="33">
        <f t="shared" si="67"/>
        <v>723</v>
      </c>
      <c r="B724" s="38">
        <v>44132</v>
      </c>
      <c r="C724" s="34" t="s">
        <v>685</v>
      </c>
      <c r="D724" s="38"/>
    </row>
    <row r="725" spans="1:4">
      <c r="A725" s="33">
        <f t="shared" si="67"/>
        <v>724</v>
      </c>
      <c r="B725" s="38">
        <v>44133</v>
      </c>
      <c r="C725" s="34" t="s">
        <v>515</v>
      </c>
      <c r="D725" s="38"/>
    </row>
    <row r="726" spans="1:4">
      <c r="A726" s="33">
        <f t="shared" si="67"/>
        <v>725</v>
      </c>
      <c r="B726" s="38">
        <v>44134</v>
      </c>
      <c r="C726" s="34" t="s">
        <v>686</v>
      </c>
      <c r="D726" s="38"/>
    </row>
    <row r="727" spans="1:4">
      <c r="A727" s="33">
        <f t="shared" si="67"/>
        <v>726</v>
      </c>
      <c r="B727" s="38">
        <v>44137</v>
      </c>
      <c r="C727" s="34" t="s">
        <v>687</v>
      </c>
      <c r="D727" s="38"/>
    </row>
    <row r="728" spans="1:4">
      <c r="A728" s="33">
        <f t="shared" si="67"/>
        <v>727</v>
      </c>
      <c r="B728" s="38">
        <v>44138</v>
      </c>
      <c r="C728" s="34" t="s">
        <v>688</v>
      </c>
      <c r="D728" s="38"/>
    </row>
    <row r="729" spans="1:4">
      <c r="A729" s="33">
        <f t="shared" si="67"/>
        <v>728</v>
      </c>
      <c r="B729" s="38">
        <v>44139</v>
      </c>
      <c r="C729" s="34" t="s">
        <v>689</v>
      </c>
      <c r="D729" s="38"/>
    </row>
    <row r="730" spans="1:4">
      <c r="A730" s="33">
        <f t="shared" si="67"/>
        <v>729</v>
      </c>
      <c r="B730" s="38">
        <v>44140</v>
      </c>
      <c r="C730" s="34" t="s">
        <v>650</v>
      </c>
      <c r="D730" s="38"/>
    </row>
    <row r="731" spans="1:4">
      <c r="A731" s="33">
        <f t="shared" si="67"/>
        <v>730</v>
      </c>
      <c r="B731" s="38">
        <v>44141</v>
      </c>
      <c r="C731" s="34" t="s">
        <v>690</v>
      </c>
      <c r="D731" s="38"/>
    </row>
    <row r="732" spans="1:4">
      <c r="A732" s="33">
        <f t="shared" si="67"/>
        <v>731</v>
      </c>
      <c r="B732" s="38">
        <v>44144</v>
      </c>
      <c r="C732" s="34" t="s">
        <v>691</v>
      </c>
      <c r="D732" s="38"/>
    </row>
    <row r="733" spans="1:4">
      <c r="A733" s="33">
        <f t="shared" si="67"/>
        <v>732</v>
      </c>
      <c r="B733" s="38">
        <v>44145</v>
      </c>
      <c r="C733" s="34" t="s">
        <v>646</v>
      </c>
      <c r="D733" s="38"/>
    </row>
    <row r="734" spans="1:4">
      <c r="A734" s="33">
        <f t="shared" si="67"/>
        <v>733</v>
      </c>
      <c r="B734" s="38">
        <v>44146</v>
      </c>
      <c r="C734" s="34" t="s">
        <v>692</v>
      </c>
      <c r="D734" s="38"/>
    </row>
    <row r="735" spans="1:4">
      <c r="A735" s="33">
        <f t="shared" si="67"/>
        <v>734</v>
      </c>
      <c r="B735" s="38">
        <v>44147</v>
      </c>
      <c r="C735" s="34" t="s">
        <v>693</v>
      </c>
      <c r="D735" s="38"/>
    </row>
    <row r="736" spans="1:4">
      <c r="A736" s="33">
        <f t="shared" si="67"/>
        <v>735</v>
      </c>
      <c r="B736" s="38">
        <v>44148</v>
      </c>
      <c r="C736" s="34" t="s">
        <v>694</v>
      </c>
      <c r="D736" s="38"/>
    </row>
    <row r="737" spans="1:4">
      <c r="A737" s="33">
        <f t="shared" si="67"/>
        <v>736</v>
      </c>
      <c r="B737" s="38">
        <v>44151</v>
      </c>
      <c r="C737" s="34" t="s">
        <v>695</v>
      </c>
      <c r="D737" s="38"/>
    </row>
    <row r="738" spans="1:4">
      <c r="A738" s="33">
        <f t="shared" si="67"/>
        <v>737</v>
      </c>
      <c r="B738" s="38">
        <v>44152</v>
      </c>
      <c r="C738" s="34" t="s">
        <v>696</v>
      </c>
      <c r="D738" s="38"/>
    </row>
    <row r="739" spans="1:4">
      <c r="A739" s="33">
        <f t="shared" si="67"/>
        <v>738</v>
      </c>
      <c r="B739" s="38">
        <v>44153</v>
      </c>
      <c r="C739" s="34" t="s">
        <v>697</v>
      </c>
      <c r="D739" s="38"/>
    </row>
    <row r="740" spans="1:4">
      <c r="A740" s="33">
        <f t="shared" si="67"/>
        <v>739</v>
      </c>
      <c r="B740" s="38">
        <v>44154</v>
      </c>
      <c r="C740" s="34" t="s">
        <v>698</v>
      </c>
      <c r="D740" s="38"/>
    </row>
    <row r="741" spans="1:4">
      <c r="A741" s="33">
        <f t="shared" si="67"/>
        <v>740</v>
      </c>
      <c r="B741" s="38">
        <v>44155</v>
      </c>
      <c r="C741" s="34" t="s">
        <v>699</v>
      </c>
      <c r="D741" s="38"/>
    </row>
    <row r="742" spans="1:4">
      <c r="A742" s="33">
        <f t="shared" si="67"/>
        <v>741</v>
      </c>
      <c r="B742" s="38">
        <v>44158</v>
      </c>
      <c r="C742" s="34" t="s">
        <v>699</v>
      </c>
      <c r="D742" s="38"/>
    </row>
    <row r="743" spans="1:4">
      <c r="A743" s="33">
        <f t="shared" si="67"/>
        <v>742</v>
      </c>
      <c r="B743" s="38">
        <v>44159</v>
      </c>
      <c r="C743" s="34" t="s">
        <v>700</v>
      </c>
      <c r="D743" s="38"/>
    </row>
    <row r="744" spans="1:4">
      <c r="A744" s="33">
        <f t="shared" si="67"/>
        <v>743</v>
      </c>
      <c r="B744" s="38">
        <v>44160</v>
      </c>
      <c r="C744" s="34" t="s">
        <v>701</v>
      </c>
      <c r="D744" s="38"/>
    </row>
    <row r="745" spans="1:4">
      <c r="A745" s="33">
        <f t="shared" si="67"/>
        <v>744</v>
      </c>
      <c r="B745" s="38">
        <v>44161</v>
      </c>
      <c r="C745" s="34" t="s">
        <v>701</v>
      </c>
      <c r="D745" s="38"/>
    </row>
    <row r="746" spans="1:4">
      <c r="A746" s="33">
        <f t="shared" si="67"/>
        <v>745</v>
      </c>
      <c r="B746" s="38">
        <v>44162</v>
      </c>
      <c r="C746" s="34" t="s">
        <v>702</v>
      </c>
      <c r="D746" s="38"/>
    </row>
    <row r="747" spans="1:4">
      <c r="A747" s="33">
        <f t="shared" si="67"/>
        <v>746</v>
      </c>
      <c r="B747" s="38">
        <v>44165</v>
      </c>
      <c r="C747" s="34" t="s">
        <v>656</v>
      </c>
      <c r="D747" s="38"/>
    </row>
    <row r="748" spans="1:4">
      <c r="A748" s="33">
        <f t="shared" si="67"/>
        <v>747</v>
      </c>
      <c r="B748" s="38">
        <v>44166</v>
      </c>
      <c r="C748" s="34" t="s">
        <v>703</v>
      </c>
      <c r="D748" s="38"/>
    </row>
    <row r="749" spans="1:4">
      <c r="A749" s="33">
        <f t="shared" si="67"/>
        <v>748</v>
      </c>
      <c r="B749" s="38">
        <v>44167</v>
      </c>
      <c r="C749" s="34" t="s">
        <v>704</v>
      </c>
      <c r="D749" s="38"/>
    </row>
    <row r="750" spans="1:4">
      <c r="A750" s="33">
        <f t="shared" si="67"/>
        <v>749</v>
      </c>
      <c r="B750" s="38">
        <v>44168</v>
      </c>
      <c r="C750" s="34" t="s">
        <v>705</v>
      </c>
      <c r="D750" s="38"/>
    </row>
    <row r="751" spans="1:4">
      <c r="A751" s="33">
        <f t="shared" si="67"/>
        <v>750</v>
      </c>
      <c r="B751" s="38">
        <v>44169</v>
      </c>
      <c r="C751" s="34" t="s">
        <v>706</v>
      </c>
      <c r="D751" s="38"/>
    </row>
    <row r="752" spans="1:4">
      <c r="A752" s="33">
        <f t="shared" si="67"/>
        <v>751</v>
      </c>
      <c r="B752" s="38">
        <v>44172</v>
      </c>
      <c r="C752" s="34" t="s">
        <v>707</v>
      </c>
      <c r="D752" s="38"/>
    </row>
    <row r="753" spans="1:4">
      <c r="A753" s="33">
        <f t="shared" si="67"/>
        <v>752</v>
      </c>
      <c r="B753" s="38">
        <v>44173</v>
      </c>
      <c r="C753" s="34" t="s">
        <v>708</v>
      </c>
      <c r="D753" s="38"/>
    </row>
    <row r="754" spans="1:4">
      <c r="A754" s="33">
        <f t="shared" si="67"/>
        <v>753</v>
      </c>
      <c r="B754" s="38">
        <v>44174</v>
      </c>
      <c r="C754" s="34" t="s">
        <v>709</v>
      </c>
      <c r="D754" s="38"/>
    </row>
    <row r="755" spans="1:4">
      <c r="A755" s="33">
        <f t="shared" si="67"/>
        <v>754</v>
      </c>
      <c r="B755" s="38">
        <v>44175</v>
      </c>
      <c r="C755" s="34" t="s">
        <v>710</v>
      </c>
      <c r="D755" s="38"/>
    </row>
    <row r="756" spans="1:4">
      <c r="A756" s="33">
        <f t="shared" si="67"/>
        <v>755</v>
      </c>
      <c r="B756" s="38">
        <v>44176</v>
      </c>
      <c r="C756" s="34" t="s">
        <v>711</v>
      </c>
      <c r="D756" s="38"/>
    </row>
    <row r="757" spans="1:4">
      <c r="A757" s="33">
        <f t="shared" si="67"/>
        <v>756</v>
      </c>
      <c r="B757" s="38">
        <v>44179</v>
      </c>
      <c r="C757" s="34" t="s">
        <v>712</v>
      </c>
      <c r="D757" s="38"/>
    </row>
    <row r="758" spans="1:4">
      <c r="A758" s="33">
        <f t="shared" si="67"/>
        <v>757</v>
      </c>
      <c r="B758" s="38">
        <v>44180</v>
      </c>
      <c r="C758" s="34" t="s">
        <v>713</v>
      </c>
      <c r="D758" s="38"/>
    </row>
    <row r="759" spans="1:4">
      <c r="A759" s="33">
        <f t="shared" si="67"/>
        <v>758</v>
      </c>
      <c r="B759" s="38">
        <v>44181</v>
      </c>
      <c r="C759" s="34" t="s">
        <v>657</v>
      </c>
      <c r="D759" s="38"/>
    </row>
    <row r="760" spans="1:4">
      <c r="A760" s="33">
        <f t="shared" si="67"/>
        <v>759</v>
      </c>
      <c r="B760" s="38">
        <v>44182</v>
      </c>
      <c r="C760" s="34" t="s">
        <v>714</v>
      </c>
      <c r="D760" s="38"/>
    </row>
    <row r="761" spans="1:4">
      <c r="A761" s="33">
        <f t="shared" si="67"/>
        <v>760</v>
      </c>
      <c r="B761" s="38">
        <v>44183</v>
      </c>
      <c r="C761" s="34" t="s">
        <v>715</v>
      </c>
      <c r="D761" s="38"/>
    </row>
    <row r="762" spans="1:4">
      <c r="A762" s="33">
        <f t="shared" si="67"/>
        <v>761</v>
      </c>
      <c r="B762" s="38">
        <v>44186</v>
      </c>
      <c r="C762" s="34" t="s">
        <v>716</v>
      </c>
      <c r="D762" s="38"/>
    </row>
    <row r="763" spans="1:4">
      <c r="A763" s="33">
        <f t="shared" si="67"/>
        <v>762</v>
      </c>
      <c r="B763" s="38">
        <v>44187</v>
      </c>
      <c r="C763" s="34" t="s">
        <v>717</v>
      </c>
      <c r="D763" s="38"/>
    </row>
    <row r="764" spans="1:4">
      <c r="A764" s="33">
        <f t="shared" si="67"/>
        <v>763</v>
      </c>
      <c r="B764" s="38">
        <v>44188</v>
      </c>
      <c r="C764" s="34" t="s">
        <v>718</v>
      </c>
      <c r="D764" s="38"/>
    </row>
    <row r="765" spans="1:4">
      <c r="A765" s="33">
        <f t="shared" si="67"/>
        <v>764</v>
      </c>
      <c r="B765" s="38">
        <v>44189</v>
      </c>
      <c r="C765" s="34" t="s">
        <v>719</v>
      </c>
      <c r="D765" s="38"/>
    </row>
    <row r="766" spans="1:4">
      <c r="A766" s="33">
        <f t="shared" si="67"/>
        <v>765</v>
      </c>
      <c r="B766" s="38">
        <v>44190</v>
      </c>
      <c r="C766" s="34" t="s">
        <v>719</v>
      </c>
      <c r="D766" s="38"/>
    </row>
    <row r="767" spans="1:4">
      <c r="A767" s="33">
        <f t="shared" si="67"/>
        <v>766</v>
      </c>
      <c r="B767" s="38">
        <v>44193</v>
      </c>
      <c r="C767" s="34" t="s">
        <v>720</v>
      </c>
      <c r="D767" s="38"/>
    </row>
    <row r="768" spans="1:4">
      <c r="A768" s="33">
        <f t="shared" si="67"/>
        <v>767</v>
      </c>
      <c r="B768" s="38">
        <v>44194</v>
      </c>
      <c r="C768" s="34" t="s">
        <v>721</v>
      </c>
      <c r="D768" s="38"/>
    </row>
    <row r="769" spans="1:4">
      <c r="A769" s="33">
        <f t="shared" si="67"/>
        <v>768</v>
      </c>
      <c r="B769" s="38">
        <v>44195</v>
      </c>
      <c r="C769" s="34" t="s">
        <v>722</v>
      </c>
      <c r="D769" s="38"/>
    </row>
    <row r="770" spans="1:4">
      <c r="A770" s="33">
        <f t="shared" si="67"/>
        <v>769</v>
      </c>
      <c r="B770" s="38">
        <v>44196</v>
      </c>
      <c r="C770" s="34" t="s">
        <v>723</v>
      </c>
      <c r="D770" s="38"/>
    </row>
    <row r="771" spans="1:4">
      <c r="A771" s="33">
        <f t="shared" si="67"/>
        <v>770</v>
      </c>
      <c r="B771" s="38">
        <v>44200</v>
      </c>
      <c r="C771" s="34" t="s">
        <v>724</v>
      </c>
      <c r="D771" s="38"/>
    </row>
    <row r="772" spans="1:4">
      <c r="A772" s="33">
        <f t="shared" ref="A772:A783" si="68">A771+1</f>
        <v>771</v>
      </c>
      <c r="B772" s="38">
        <v>44201</v>
      </c>
      <c r="C772" s="34" t="s">
        <v>725</v>
      </c>
      <c r="D772" s="38"/>
    </row>
    <row r="773" spans="1:4">
      <c r="A773" s="33">
        <f t="shared" si="68"/>
        <v>772</v>
      </c>
      <c r="B773" s="38">
        <v>44202</v>
      </c>
      <c r="C773" s="34" t="s">
        <v>726</v>
      </c>
      <c r="D773" s="38"/>
    </row>
    <row r="774" spans="1:4">
      <c r="A774" s="33">
        <f t="shared" si="68"/>
        <v>773</v>
      </c>
      <c r="B774" s="38">
        <v>44203</v>
      </c>
      <c r="C774" s="34" t="s">
        <v>727</v>
      </c>
      <c r="D774" s="38"/>
    </row>
    <row r="775" spans="1:4">
      <c r="A775" s="33">
        <f t="shared" si="68"/>
        <v>774</v>
      </c>
      <c r="B775" s="38">
        <v>44204</v>
      </c>
      <c r="C775" s="34" t="s">
        <v>728</v>
      </c>
      <c r="D775" s="38"/>
    </row>
    <row r="776" spans="1:4">
      <c r="A776" s="33">
        <f t="shared" si="68"/>
        <v>775</v>
      </c>
      <c r="B776" s="38">
        <v>44207</v>
      </c>
      <c r="C776" s="34" t="s">
        <v>729</v>
      </c>
      <c r="D776" s="38"/>
    </row>
    <row r="777" spans="1:4">
      <c r="A777" s="33">
        <f t="shared" si="68"/>
        <v>776</v>
      </c>
      <c r="B777" s="38">
        <v>44208</v>
      </c>
      <c r="C777" s="34" t="s">
        <v>730</v>
      </c>
      <c r="D777" s="38"/>
    </row>
    <row r="778" spans="1:4">
      <c r="A778" s="33">
        <f t="shared" si="68"/>
        <v>777</v>
      </c>
      <c r="B778" s="38">
        <v>44209</v>
      </c>
      <c r="C778" s="34" t="s">
        <v>731</v>
      </c>
      <c r="D778" s="38"/>
    </row>
    <row r="779" spans="1:4">
      <c r="A779" s="33">
        <f t="shared" si="68"/>
        <v>778</v>
      </c>
      <c r="B779" s="38">
        <v>44210</v>
      </c>
      <c r="C779" s="34" t="s">
        <v>732</v>
      </c>
      <c r="D779" s="38"/>
    </row>
    <row r="780" spans="1:4">
      <c r="A780" s="33">
        <f t="shared" si="68"/>
        <v>779</v>
      </c>
      <c r="B780" s="38">
        <v>44211</v>
      </c>
      <c r="C780" s="34" t="s">
        <v>733</v>
      </c>
      <c r="D780" s="38"/>
    </row>
    <row r="781" spans="1:4">
      <c r="A781" s="33">
        <f t="shared" si="68"/>
        <v>780</v>
      </c>
      <c r="B781" s="38">
        <v>44214</v>
      </c>
      <c r="C781" s="34" t="s">
        <v>733</v>
      </c>
      <c r="D781" s="38"/>
    </row>
    <row r="782" spans="1:4">
      <c r="A782" s="33">
        <f t="shared" si="68"/>
        <v>781</v>
      </c>
      <c r="B782" s="38">
        <v>44215</v>
      </c>
      <c r="C782" s="34" t="s">
        <v>728</v>
      </c>
      <c r="D782" s="38"/>
    </row>
    <row r="783" spans="1:4">
      <c r="A783" s="33">
        <f t="shared" si="68"/>
        <v>782</v>
      </c>
      <c r="B783" s="38">
        <v>44216</v>
      </c>
      <c r="C783" s="34" t="s">
        <v>734</v>
      </c>
      <c r="D783" s="38"/>
    </row>
  </sheetData>
  <sortState xmlns:xlrd2="http://schemas.microsoft.com/office/spreadsheetml/2017/richdata2" ref="B2:C783">
    <sortCondition ref="B2:B783"/>
  </sortState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177FA-B35E-456C-8655-E637BD74C72B}">
  <sheetPr codeName="Sheet14"/>
  <dimension ref="B1:P783"/>
  <sheetViews>
    <sheetView workbookViewId="0">
      <selection activeCell="N1" sqref="N1:P1048576"/>
    </sheetView>
  </sheetViews>
  <sheetFormatPr defaultColWidth="9.3046875" defaultRowHeight="14.6"/>
  <cols>
    <col min="1" max="1" width="9.3046875" style="33"/>
    <col min="2" max="2" width="12.3046875" style="38" bestFit="1" customWidth="1"/>
    <col min="3" max="3" width="11.69140625" style="33" bestFit="1" customWidth="1"/>
    <col min="4" max="4" width="9.3046875" style="33"/>
    <col min="5" max="5" width="12" bestFit="1" customWidth="1"/>
    <col min="6" max="6" width="6.69140625" bestFit="1" customWidth="1"/>
    <col min="7" max="7" width="10.69140625" bestFit="1" customWidth="1"/>
    <col min="8" max="8" width="8" customWidth="1"/>
    <col min="9" max="9" width="12.3046875" style="33" bestFit="1" customWidth="1"/>
    <col min="10" max="10" width="10.3046875" bestFit="1" customWidth="1"/>
    <col min="11" max="11" width="9.3046875" style="33"/>
    <col min="12" max="12" width="7.69140625" style="33" bestFit="1" customWidth="1"/>
    <col min="13" max="13" width="9.3046875" style="33"/>
    <col min="17" max="16384" width="9.3046875" style="33"/>
  </cols>
  <sheetData>
    <row r="1" spans="2:16">
      <c r="B1" s="39" t="s">
        <v>103</v>
      </c>
      <c r="C1" s="32" t="s">
        <v>109</v>
      </c>
      <c r="E1" t="s">
        <v>105</v>
      </c>
      <c r="F1" t="s">
        <v>102</v>
      </c>
      <c r="G1" t="s">
        <v>103</v>
      </c>
      <c r="H1" t="s">
        <v>104</v>
      </c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2:16">
      <c r="B2" s="38">
        <v>43353</v>
      </c>
      <c r="C2" s="34" t="s">
        <v>735</v>
      </c>
      <c r="D2" s="38"/>
      <c r="E2">
        <v>2</v>
      </c>
      <c r="F2" s="43"/>
      <c r="G2" s="30">
        <f>B2</f>
        <v>43353</v>
      </c>
      <c r="H2" t="str">
        <f>VLOOKUP(G2,$B:$C,2,TRUE)</f>
        <v>100.10</v>
      </c>
      <c r="I2" s="30"/>
      <c r="J2">
        <v>1</v>
      </c>
      <c r="K2" s="33" t="str">
        <f>H2</f>
        <v>100.10</v>
      </c>
      <c r="L2" s="58">
        <f>(K3-K2)/K2</f>
        <v>2.7272727272727313E-2</v>
      </c>
      <c r="N2">
        <v>1</v>
      </c>
      <c r="O2" t="str">
        <f>K2</f>
        <v>100.10</v>
      </c>
      <c r="P2">
        <f>0</f>
        <v>0</v>
      </c>
    </row>
    <row r="3" spans="2:16">
      <c r="B3" s="38">
        <v>43354</v>
      </c>
      <c r="C3" s="34" t="s">
        <v>736</v>
      </c>
      <c r="D3" s="38"/>
      <c r="E3">
        <v>1</v>
      </c>
      <c r="F3" s="43"/>
      <c r="G3" s="30">
        <f>DATE(YEAR(G2)+1,MONTH(G2),DAY(G2))</f>
        <v>43718</v>
      </c>
      <c r="H3" t="str">
        <f t="shared" ref="H3" si="0">VLOOKUP(G3,$B:$C,2,TRUE)</f>
        <v>102.83</v>
      </c>
      <c r="I3" s="30"/>
      <c r="J3">
        <v>2</v>
      </c>
      <c r="K3" s="33" t="str">
        <f>H3</f>
        <v>102.83</v>
      </c>
      <c r="L3" s="58">
        <f t="shared" ref="L3:L66" si="1">(K4-K3)/K3</f>
        <v>5.1541378975007268E-2</v>
      </c>
      <c r="N3">
        <v>2</v>
      </c>
      <c r="O3" t="str">
        <f t="shared" ref="O3:O66" si="2">K3</f>
        <v>102.83</v>
      </c>
      <c r="P3">
        <f>(O4-O2)/O2</f>
        <v>8.021978021978024E-2</v>
      </c>
    </row>
    <row r="4" spans="2:16">
      <c r="B4" s="38">
        <v>43355</v>
      </c>
      <c r="C4" s="34" t="s">
        <v>737</v>
      </c>
      <c r="D4" s="38"/>
      <c r="E4">
        <v>0</v>
      </c>
      <c r="F4" s="43"/>
      <c r="G4" s="30">
        <f>DATE(YEAR(G3)+1,MONTH(G3),DAY(G3))</f>
        <v>44084</v>
      </c>
      <c r="H4" t="str">
        <f>VLOOKUP(G4,$B:$C,2,TRUE)</f>
        <v>108.13</v>
      </c>
      <c r="I4" s="30"/>
      <c r="J4">
        <v>3</v>
      </c>
      <c r="K4" s="33" t="str">
        <f>H4</f>
        <v>108.13</v>
      </c>
      <c r="L4" s="58">
        <f t="shared" si="1"/>
        <v>-7.4262461851475087E-2</v>
      </c>
      <c r="N4">
        <v>3</v>
      </c>
      <c r="O4" t="str">
        <f t="shared" si="2"/>
        <v>108.13</v>
      </c>
      <c r="P4">
        <f>0</f>
        <v>0</v>
      </c>
    </row>
    <row r="5" spans="2:16">
      <c r="B5" s="38">
        <v>43356</v>
      </c>
      <c r="C5" s="34" t="s">
        <v>738</v>
      </c>
      <c r="D5" s="38"/>
      <c r="F5" s="43"/>
      <c r="G5" s="30"/>
      <c r="I5" s="30"/>
      <c r="J5">
        <v>4</v>
      </c>
      <c r="K5" s="33" t="str">
        <f>K2</f>
        <v>100.10</v>
      </c>
      <c r="L5" s="58">
        <f t="shared" si="1"/>
        <v>2.7272727272727313E-2</v>
      </c>
      <c r="N5">
        <v>4</v>
      </c>
      <c r="O5" t="str">
        <f t="shared" si="2"/>
        <v>100.10</v>
      </c>
      <c r="P5">
        <f>(O6-O4)/O4</f>
        <v>-4.9015074447424374E-2</v>
      </c>
    </row>
    <row r="6" spans="2:16">
      <c r="B6" s="38">
        <v>43357</v>
      </c>
      <c r="C6" s="34" t="s">
        <v>739</v>
      </c>
      <c r="D6" s="38"/>
      <c r="F6" s="43"/>
      <c r="G6" s="30"/>
      <c r="I6" s="30"/>
      <c r="J6">
        <v>5</v>
      </c>
      <c r="K6" s="33" t="str">
        <f t="shared" ref="K6:K69" si="3">K3</f>
        <v>102.83</v>
      </c>
      <c r="L6" s="58">
        <f t="shared" si="1"/>
        <v>5.1541378975007268E-2</v>
      </c>
      <c r="N6">
        <v>5</v>
      </c>
      <c r="O6" t="str">
        <f t="shared" si="2"/>
        <v>102.83</v>
      </c>
      <c r="P6">
        <f>0</f>
        <v>0</v>
      </c>
    </row>
    <row r="7" spans="2:16">
      <c r="B7" s="38">
        <v>43360</v>
      </c>
      <c r="C7" s="34" t="s">
        <v>740</v>
      </c>
      <c r="D7" s="38"/>
      <c r="F7" s="43"/>
      <c r="G7" s="30"/>
      <c r="J7">
        <v>6</v>
      </c>
      <c r="K7" s="33" t="str">
        <f t="shared" si="3"/>
        <v>108.13</v>
      </c>
      <c r="L7" s="58">
        <f t="shared" si="1"/>
        <v>-7.4262461851475087E-2</v>
      </c>
      <c r="N7">
        <v>6</v>
      </c>
      <c r="O7" t="str">
        <f t="shared" si="2"/>
        <v>108.13</v>
      </c>
      <c r="P7">
        <f t="shared" ref="P7" si="4">(O8-O6)/O6</f>
        <v>-2.6548672566371719E-2</v>
      </c>
    </row>
    <row r="8" spans="2:16">
      <c r="B8" s="38">
        <v>43361</v>
      </c>
      <c r="C8" s="34" t="s">
        <v>741</v>
      </c>
      <c r="D8" s="38"/>
      <c r="F8" s="43"/>
      <c r="G8" s="30"/>
      <c r="J8">
        <v>7</v>
      </c>
      <c r="K8" s="33" t="str">
        <f t="shared" si="3"/>
        <v>100.10</v>
      </c>
      <c r="L8" s="58">
        <f t="shared" si="1"/>
        <v>2.7272727272727313E-2</v>
      </c>
      <c r="N8">
        <v>7</v>
      </c>
      <c r="O8" t="str">
        <f t="shared" si="2"/>
        <v>100.10</v>
      </c>
      <c r="P8">
        <f>0</f>
        <v>0</v>
      </c>
    </row>
    <row r="9" spans="2:16">
      <c r="B9" s="38">
        <v>43362</v>
      </c>
      <c r="C9" s="34" t="s">
        <v>742</v>
      </c>
      <c r="D9" s="38"/>
      <c r="F9" s="43"/>
      <c r="G9" s="30"/>
      <c r="J9">
        <v>8</v>
      </c>
      <c r="K9" s="33" t="str">
        <f t="shared" si="3"/>
        <v>102.83</v>
      </c>
      <c r="L9" s="58">
        <f t="shared" si="1"/>
        <v>5.1541378975007268E-2</v>
      </c>
      <c r="N9">
        <v>8</v>
      </c>
      <c r="O9" t="str">
        <f t="shared" si="2"/>
        <v>102.83</v>
      </c>
      <c r="P9">
        <f t="shared" ref="P9" si="5">(O10-O8)/O8</f>
        <v>8.021978021978024E-2</v>
      </c>
    </row>
    <row r="10" spans="2:16">
      <c r="B10" s="38">
        <v>43363</v>
      </c>
      <c r="C10" s="34" t="s">
        <v>743</v>
      </c>
      <c r="D10" s="38"/>
      <c r="F10" s="43"/>
      <c r="G10" s="30"/>
      <c r="J10">
        <v>9</v>
      </c>
      <c r="K10" s="33" t="str">
        <f t="shared" si="3"/>
        <v>108.13</v>
      </c>
      <c r="L10" s="58">
        <f t="shared" si="1"/>
        <v>-7.4262461851475087E-2</v>
      </c>
      <c r="N10">
        <v>9</v>
      </c>
      <c r="O10" t="str">
        <f t="shared" si="2"/>
        <v>108.13</v>
      </c>
      <c r="P10">
        <f>0</f>
        <v>0</v>
      </c>
    </row>
    <row r="11" spans="2:16">
      <c r="B11" s="38">
        <v>43364</v>
      </c>
      <c r="C11" s="34" t="s">
        <v>744</v>
      </c>
      <c r="D11" s="38"/>
      <c r="F11" s="43"/>
      <c r="G11" s="30"/>
      <c r="J11">
        <v>10</v>
      </c>
      <c r="K11" s="33" t="str">
        <f t="shared" si="3"/>
        <v>100.10</v>
      </c>
      <c r="L11" s="58">
        <f t="shared" si="1"/>
        <v>2.7272727272727313E-2</v>
      </c>
      <c r="N11">
        <v>10</v>
      </c>
      <c r="O11" t="str">
        <f t="shared" si="2"/>
        <v>100.10</v>
      </c>
      <c r="P11">
        <f t="shared" ref="P11" si="6">(O12-O10)/O10</f>
        <v>-4.9015074447424374E-2</v>
      </c>
    </row>
    <row r="12" spans="2:16">
      <c r="B12" s="38">
        <v>43367</v>
      </c>
      <c r="C12" s="34" t="s">
        <v>745</v>
      </c>
      <c r="D12" s="38"/>
      <c r="F12" s="43"/>
      <c r="G12" s="30"/>
      <c r="J12">
        <v>11</v>
      </c>
      <c r="K12" s="33" t="str">
        <f t="shared" si="3"/>
        <v>102.83</v>
      </c>
      <c r="L12" s="58">
        <f t="shared" si="1"/>
        <v>5.1541378975007268E-2</v>
      </c>
      <c r="N12">
        <v>11</v>
      </c>
      <c r="O12" t="str">
        <f t="shared" si="2"/>
        <v>102.83</v>
      </c>
      <c r="P12">
        <f>0</f>
        <v>0</v>
      </c>
    </row>
    <row r="13" spans="2:16">
      <c r="B13" s="38">
        <v>43368</v>
      </c>
      <c r="C13" s="34" t="s">
        <v>746</v>
      </c>
      <c r="D13" s="38"/>
      <c r="J13">
        <v>12</v>
      </c>
      <c r="K13" s="33" t="str">
        <f t="shared" si="3"/>
        <v>108.13</v>
      </c>
      <c r="L13" s="58">
        <f t="shared" si="1"/>
        <v>-7.4262461851475087E-2</v>
      </c>
      <c r="N13">
        <v>12</v>
      </c>
      <c r="O13" t="str">
        <f t="shared" si="2"/>
        <v>108.13</v>
      </c>
      <c r="P13">
        <f t="shared" ref="P13" si="7">(O14-O12)/O12</f>
        <v>-2.6548672566371719E-2</v>
      </c>
    </row>
    <row r="14" spans="2:16">
      <c r="B14" s="38">
        <v>43369</v>
      </c>
      <c r="C14" s="34" t="s">
        <v>747</v>
      </c>
      <c r="D14" s="38"/>
      <c r="J14">
        <v>13</v>
      </c>
      <c r="K14" s="33" t="str">
        <f t="shared" si="3"/>
        <v>100.10</v>
      </c>
      <c r="L14" s="58">
        <f t="shared" si="1"/>
        <v>2.7272727272727313E-2</v>
      </c>
      <c r="N14">
        <v>13</v>
      </c>
      <c r="O14" t="str">
        <f t="shared" si="2"/>
        <v>100.10</v>
      </c>
      <c r="P14">
        <f>0</f>
        <v>0</v>
      </c>
    </row>
    <row r="15" spans="2:16">
      <c r="B15" s="38">
        <v>43370</v>
      </c>
      <c r="C15" s="34" t="s">
        <v>746</v>
      </c>
      <c r="D15" s="38"/>
      <c r="J15">
        <v>14</v>
      </c>
      <c r="K15" s="33" t="str">
        <f t="shared" si="3"/>
        <v>102.83</v>
      </c>
      <c r="L15" s="58">
        <f t="shared" si="1"/>
        <v>5.1541378975007268E-2</v>
      </c>
      <c r="N15">
        <v>14</v>
      </c>
      <c r="O15" t="str">
        <f t="shared" si="2"/>
        <v>102.83</v>
      </c>
      <c r="P15">
        <f t="shared" ref="P15" si="8">(O16-O14)/O14</f>
        <v>8.021978021978024E-2</v>
      </c>
    </row>
    <row r="16" spans="2:16">
      <c r="B16" s="38">
        <v>43371</v>
      </c>
      <c r="C16" s="34" t="s">
        <v>748</v>
      </c>
      <c r="D16" s="38"/>
      <c r="J16">
        <v>15</v>
      </c>
      <c r="K16" s="33" t="str">
        <f t="shared" si="3"/>
        <v>108.13</v>
      </c>
      <c r="L16" s="58">
        <f t="shared" si="1"/>
        <v>-7.4262461851475087E-2</v>
      </c>
      <c r="N16">
        <v>15</v>
      </c>
      <c r="O16" t="str">
        <f t="shared" si="2"/>
        <v>108.13</v>
      </c>
      <c r="P16">
        <f>0</f>
        <v>0</v>
      </c>
    </row>
    <row r="17" spans="2:16">
      <c r="B17" s="38">
        <v>43374</v>
      </c>
      <c r="C17" s="34" t="s">
        <v>749</v>
      </c>
      <c r="D17" s="38"/>
      <c r="J17">
        <v>16</v>
      </c>
      <c r="K17" s="33" t="str">
        <f t="shared" si="3"/>
        <v>100.10</v>
      </c>
      <c r="L17" s="58">
        <f t="shared" si="1"/>
        <v>2.7272727272727313E-2</v>
      </c>
      <c r="N17">
        <v>16</v>
      </c>
      <c r="O17" t="str">
        <f t="shared" si="2"/>
        <v>100.10</v>
      </c>
      <c r="P17">
        <f t="shared" ref="P17" si="9">(O18-O16)/O16</f>
        <v>-4.9015074447424374E-2</v>
      </c>
    </row>
    <row r="18" spans="2:16">
      <c r="B18" s="38">
        <v>43375</v>
      </c>
      <c r="C18" s="34" t="s">
        <v>750</v>
      </c>
      <c r="D18" s="38"/>
      <c r="J18">
        <v>17</v>
      </c>
      <c r="K18" s="33" t="str">
        <f t="shared" si="3"/>
        <v>102.83</v>
      </c>
      <c r="L18" s="58">
        <f t="shared" si="1"/>
        <v>5.1541378975007268E-2</v>
      </c>
      <c r="N18">
        <v>17</v>
      </c>
      <c r="O18" t="str">
        <f t="shared" si="2"/>
        <v>102.83</v>
      </c>
      <c r="P18">
        <f>0</f>
        <v>0</v>
      </c>
    </row>
    <row r="19" spans="2:16">
      <c r="B19" s="38">
        <v>43376</v>
      </c>
      <c r="C19" s="34" t="s">
        <v>751</v>
      </c>
      <c r="D19" s="38"/>
      <c r="J19">
        <v>18</v>
      </c>
      <c r="K19" s="33" t="str">
        <f t="shared" si="3"/>
        <v>108.13</v>
      </c>
      <c r="L19" s="58">
        <f t="shared" si="1"/>
        <v>-7.4262461851475087E-2</v>
      </c>
      <c r="N19">
        <v>18</v>
      </c>
      <c r="O19" t="str">
        <f t="shared" si="2"/>
        <v>108.13</v>
      </c>
      <c r="P19">
        <f t="shared" ref="P19" si="10">(O20-O18)/O18</f>
        <v>-2.6548672566371719E-2</v>
      </c>
    </row>
    <row r="20" spans="2:16">
      <c r="B20" s="38">
        <v>43377</v>
      </c>
      <c r="C20" s="34" t="s">
        <v>752</v>
      </c>
      <c r="D20" s="38"/>
      <c r="J20">
        <v>19</v>
      </c>
      <c r="K20" s="33" t="str">
        <f t="shared" si="3"/>
        <v>100.10</v>
      </c>
      <c r="L20" s="58">
        <f t="shared" si="1"/>
        <v>2.7272727272727313E-2</v>
      </c>
      <c r="N20">
        <v>19</v>
      </c>
      <c r="O20" t="str">
        <f t="shared" si="2"/>
        <v>100.10</v>
      </c>
      <c r="P20">
        <f>0</f>
        <v>0</v>
      </c>
    </row>
    <row r="21" spans="2:16">
      <c r="B21" s="38">
        <v>43378</v>
      </c>
      <c r="C21" s="34" t="s">
        <v>753</v>
      </c>
      <c r="D21" s="38"/>
      <c r="J21">
        <v>20</v>
      </c>
      <c r="K21" s="33" t="str">
        <f t="shared" si="3"/>
        <v>102.83</v>
      </c>
      <c r="L21" s="58">
        <f t="shared" si="1"/>
        <v>5.1541378975007268E-2</v>
      </c>
      <c r="N21">
        <v>20</v>
      </c>
      <c r="O21" t="str">
        <f t="shared" si="2"/>
        <v>102.83</v>
      </c>
      <c r="P21">
        <f t="shared" ref="P21" si="11">(O22-O20)/O20</f>
        <v>8.021978021978024E-2</v>
      </c>
    </row>
    <row r="22" spans="2:16">
      <c r="B22" s="38">
        <v>43381</v>
      </c>
      <c r="C22" s="34" t="s">
        <v>754</v>
      </c>
      <c r="D22" s="38"/>
      <c r="J22">
        <v>21</v>
      </c>
      <c r="K22" s="33" t="str">
        <f t="shared" si="3"/>
        <v>108.13</v>
      </c>
      <c r="L22" s="58">
        <f t="shared" si="1"/>
        <v>-7.4262461851475087E-2</v>
      </c>
      <c r="N22">
        <v>21</v>
      </c>
      <c r="O22" t="str">
        <f t="shared" si="2"/>
        <v>108.13</v>
      </c>
      <c r="P22">
        <f>0</f>
        <v>0</v>
      </c>
    </row>
    <row r="23" spans="2:16">
      <c r="B23" s="38">
        <v>43382</v>
      </c>
      <c r="C23" s="34" t="s">
        <v>755</v>
      </c>
      <c r="D23" s="38"/>
      <c r="J23">
        <v>22</v>
      </c>
      <c r="K23" s="33" t="str">
        <f t="shared" si="3"/>
        <v>100.10</v>
      </c>
      <c r="L23" s="58">
        <f t="shared" si="1"/>
        <v>2.7272727272727313E-2</v>
      </c>
      <c r="N23">
        <v>22</v>
      </c>
      <c r="O23" t="str">
        <f t="shared" si="2"/>
        <v>100.10</v>
      </c>
      <c r="P23">
        <f t="shared" ref="P23" si="12">(O24-O22)/O22</f>
        <v>-4.9015074447424374E-2</v>
      </c>
    </row>
    <row r="24" spans="2:16">
      <c r="B24" s="38">
        <v>43383</v>
      </c>
      <c r="C24" s="34" t="s">
        <v>756</v>
      </c>
      <c r="D24" s="38"/>
      <c r="J24">
        <v>23</v>
      </c>
      <c r="K24" s="33" t="str">
        <f t="shared" si="3"/>
        <v>102.83</v>
      </c>
      <c r="L24" s="58">
        <f t="shared" si="1"/>
        <v>5.1541378975007268E-2</v>
      </c>
      <c r="N24">
        <v>23</v>
      </c>
      <c r="O24" t="str">
        <f t="shared" si="2"/>
        <v>102.83</v>
      </c>
      <c r="P24">
        <f>0</f>
        <v>0</v>
      </c>
    </row>
    <row r="25" spans="2:16">
      <c r="B25" s="38">
        <v>43384</v>
      </c>
      <c r="C25" s="34" t="s">
        <v>757</v>
      </c>
      <c r="D25" s="38"/>
      <c r="J25">
        <v>24</v>
      </c>
      <c r="K25" s="33" t="str">
        <f t="shared" si="3"/>
        <v>108.13</v>
      </c>
      <c r="L25" s="58">
        <f t="shared" si="1"/>
        <v>-7.4262461851475087E-2</v>
      </c>
      <c r="N25">
        <v>24</v>
      </c>
      <c r="O25" t="str">
        <f t="shared" si="2"/>
        <v>108.13</v>
      </c>
      <c r="P25">
        <f t="shared" ref="P25" si="13">(O26-O24)/O24</f>
        <v>-2.6548672566371719E-2</v>
      </c>
    </row>
    <row r="26" spans="2:16">
      <c r="B26" s="38">
        <v>43385</v>
      </c>
      <c r="C26" s="34" t="s">
        <v>758</v>
      </c>
      <c r="D26" s="38"/>
      <c r="J26">
        <v>25</v>
      </c>
      <c r="K26" s="33" t="str">
        <f t="shared" si="3"/>
        <v>100.10</v>
      </c>
      <c r="L26" s="58">
        <f t="shared" si="1"/>
        <v>2.7272727272727313E-2</v>
      </c>
      <c r="N26">
        <v>25</v>
      </c>
      <c r="O26" t="str">
        <f t="shared" si="2"/>
        <v>100.10</v>
      </c>
      <c r="P26">
        <f>0</f>
        <v>0</v>
      </c>
    </row>
    <row r="27" spans="2:16">
      <c r="B27" s="38">
        <v>43388</v>
      </c>
      <c r="C27" s="34" t="s">
        <v>759</v>
      </c>
      <c r="D27" s="38"/>
      <c r="J27">
        <v>26</v>
      </c>
      <c r="K27" s="33" t="str">
        <f t="shared" si="3"/>
        <v>102.83</v>
      </c>
      <c r="L27" s="58">
        <f t="shared" si="1"/>
        <v>5.1541378975007268E-2</v>
      </c>
      <c r="N27">
        <v>26</v>
      </c>
      <c r="O27" t="str">
        <f t="shared" si="2"/>
        <v>102.83</v>
      </c>
      <c r="P27">
        <f t="shared" ref="P27" si="14">(O28-O26)/O26</f>
        <v>8.021978021978024E-2</v>
      </c>
    </row>
    <row r="28" spans="2:16">
      <c r="B28" s="38">
        <v>43389</v>
      </c>
      <c r="C28" s="34" t="s">
        <v>760</v>
      </c>
      <c r="D28" s="38"/>
      <c r="J28">
        <v>27</v>
      </c>
      <c r="K28" s="33" t="str">
        <f t="shared" si="3"/>
        <v>108.13</v>
      </c>
      <c r="L28" s="58">
        <f t="shared" si="1"/>
        <v>-7.4262461851475087E-2</v>
      </c>
      <c r="N28">
        <v>27</v>
      </c>
      <c r="O28" t="str">
        <f t="shared" si="2"/>
        <v>108.13</v>
      </c>
      <c r="P28">
        <f>0</f>
        <v>0</v>
      </c>
    </row>
    <row r="29" spans="2:16">
      <c r="B29" s="38">
        <v>43390</v>
      </c>
      <c r="C29" s="34" t="s">
        <v>761</v>
      </c>
      <c r="D29" s="38"/>
      <c r="J29">
        <v>28</v>
      </c>
      <c r="K29" s="33" t="str">
        <f t="shared" si="3"/>
        <v>100.10</v>
      </c>
      <c r="L29" s="58">
        <f t="shared" si="1"/>
        <v>2.7272727272727313E-2</v>
      </c>
      <c r="N29">
        <v>28</v>
      </c>
      <c r="O29" t="str">
        <f t="shared" si="2"/>
        <v>100.10</v>
      </c>
      <c r="P29">
        <f t="shared" ref="P29" si="15">(O30-O28)/O28</f>
        <v>-4.9015074447424374E-2</v>
      </c>
    </row>
    <row r="30" spans="2:16">
      <c r="B30" s="38">
        <v>43391</v>
      </c>
      <c r="C30" s="34" t="s">
        <v>762</v>
      </c>
      <c r="D30" s="38"/>
      <c r="J30">
        <v>29</v>
      </c>
      <c r="K30" s="33" t="str">
        <f t="shared" si="3"/>
        <v>102.83</v>
      </c>
      <c r="L30" s="58">
        <f t="shared" si="1"/>
        <v>5.1541378975007268E-2</v>
      </c>
      <c r="N30">
        <v>29</v>
      </c>
      <c r="O30" t="str">
        <f t="shared" si="2"/>
        <v>102.83</v>
      </c>
      <c r="P30">
        <f>0</f>
        <v>0</v>
      </c>
    </row>
    <row r="31" spans="2:16">
      <c r="B31" s="38">
        <v>43392</v>
      </c>
      <c r="C31" s="34" t="s">
        <v>763</v>
      </c>
      <c r="D31" s="38"/>
      <c r="J31">
        <v>30</v>
      </c>
      <c r="K31" s="33" t="str">
        <f t="shared" si="3"/>
        <v>108.13</v>
      </c>
      <c r="L31" s="58">
        <f t="shared" si="1"/>
        <v>-7.4262461851475087E-2</v>
      </c>
      <c r="N31">
        <v>30</v>
      </c>
      <c r="O31" t="str">
        <f t="shared" si="2"/>
        <v>108.13</v>
      </c>
      <c r="P31">
        <f t="shared" ref="P31" si="16">(O32-O30)/O30</f>
        <v>-2.6548672566371719E-2</v>
      </c>
    </row>
    <row r="32" spans="2:16">
      <c r="B32" s="38">
        <v>43395</v>
      </c>
      <c r="C32" s="34" t="s">
        <v>764</v>
      </c>
      <c r="D32" s="38"/>
      <c r="J32">
        <v>31</v>
      </c>
      <c r="K32" s="33" t="str">
        <f t="shared" si="3"/>
        <v>100.10</v>
      </c>
      <c r="L32" s="58">
        <f t="shared" si="1"/>
        <v>2.7272727272727313E-2</v>
      </c>
      <c r="N32">
        <v>31</v>
      </c>
      <c r="O32" t="str">
        <f t="shared" si="2"/>
        <v>100.10</v>
      </c>
      <c r="P32">
        <f>0</f>
        <v>0</v>
      </c>
    </row>
    <row r="33" spans="2:16">
      <c r="B33" s="38">
        <v>43396</v>
      </c>
      <c r="C33" s="34" t="s">
        <v>765</v>
      </c>
      <c r="D33" s="38"/>
      <c r="J33">
        <v>32</v>
      </c>
      <c r="K33" s="33" t="str">
        <f t="shared" si="3"/>
        <v>102.83</v>
      </c>
      <c r="L33" s="58">
        <f t="shared" si="1"/>
        <v>5.1541378975007268E-2</v>
      </c>
      <c r="N33">
        <v>32</v>
      </c>
      <c r="O33" t="str">
        <f t="shared" si="2"/>
        <v>102.83</v>
      </c>
      <c r="P33">
        <f t="shared" ref="P33" si="17">(O34-O32)/O32</f>
        <v>8.021978021978024E-2</v>
      </c>
    </row>
    <row r="34" spans="2:16">
      <c r="B34" s="38">
        <v>43397</v>
      </c>
      <c r="C34" s="34" t="s">
        <v>766</v>
      </c>
      <c r="D34" s="38"/>
      <c r="J34">
        <v>33</v>
      </c>
      <c r="K34" s="33" t="str">
        <f t="shared" si="3"/>
        <v>108.13</v>
      </c>
      <c r="L34" s="58">
        <f t="shared" si="1"/>
        <v>-7.4262461851475087E-2</v>
      </c>
      <c r="N34">
        <v>33</v>
      </c>
      <c r="O34" t="str">
        <f t="shared" si="2"/>
        <v>108.13</v>
      </c>
      <c r="P34">
        <f>0</f>
        <v>0</v>
      </c>
    </row>
    <row r="35" spans="2:16">
      <c r="B35" s="38">
        <v>43398</v>
      </c>
      <c r="C35" s="34" t="s">
        <v>767</v>
      </c>
      <c r="D35" s="38"/>
      <c r="J35">
        <v>34</v>
      </c>
      <c r="K35" s="33" t="str">
        <f t="shared" si="3"/>
        <v>100.10</v>
      </c>
      <c r="L35" s="58">
        <f t="shared" si="1"/>
        <v>2.7272727272727313E-2</v>
      </c>
      <c r="N35">
        <v>34</v>
      </c>
      <c r="O35" t="str">
        <f t="shared" si="2"/>
        <v>100.10</v>
      </c>
      <c r="P35">
        <f t="shared" ref="P35" si="18">(O36-O34)/O34</f>
        <v>-4.9015074447424374E-2</v>
      </c>
    </row>
    <row r="36" spans="2:16">
      <c r="B36" s="38">
        <v>43399</v>
      </c>
      <c r="C36" s="34" t="s">
        <v>768</v>
      </c>
      <c r="D36" s="38"/>
      <c r="J36">
        <v>35</v>
      </c>
      <c r="K36" s="33" t="str">
        <f t="shared" si="3"/>
        <v>102.83</v>
      </c>
      <c r="L36" s="58">
        <f t="shared" si="1"/>
        <v>5.1541378975007268E-2</v>
      </c>
      <c r="N36">
        <v>35</v>
      </c>
      <c r="O36" t="str">
        <f t="shared" si="2"/>
        <v>102.83</v>
      </c>
      <c r="P36">
        <f>0</f>
        <v>0</v>
      </c>
    </row>
    <row r="37" spans="2:16">
      <c r="B37" s="38">
        <v>43402</v>
      </c>
      <c r="C37" s="34" t="s">
        <v>769</v>
      </c>
      <c r="D37" s="38"/>
      <c r="J37">
        <v>36</v>
      </c>
      <c r="K37" s="33" t="str">
        <f t="shared" si="3"/>
        <v>108.13</v>
      </c>
      <c r="L37" s="58">
        <f t="shared" si="1"/>
        <v>-7.4262461851475087E-2</v>
      </c>
      <c r="N37">
        <v>36</v>
      </c>
      <c r="O37" t="str">
        <f t="shared" si="2"/>
        <v>108.13</v>
      </c>
      <c r="P37">
        <f t="shared" ref="P37" si="19">(O38-O36)/O36</f>
        <v>-2.6548672566371719E-2</v>
      </c>
    </row>
    <row r="38" spans="2:16">
      <c r="B38" s="38">
        <v>43403</v>
      </c>
      <c r="C38" s="34" t="s">
        <v>770</v>
      </c>
      <c r="D38" s="38"/>
      <c r="J38">
        <v>37</v>
      </c>
      <c r="K38" s="33" t="str">
        <f t="shared" si="3"/>
        <v>100.10</v>
      </c>
      <c r="L38" s="58">
        <f t="shared" si="1"/>
        <v>2.7272727272727313E-2</v>
      </c>
      <c r="N38">
        <v>37</v>
      </c>
      <c r="O38" t="str">
        <f t="shared" si="2"/>
        <v>100.10</v>
      </c>
      <c r="P38">
        <f>0</f>
        <v>0</v>
      </c>
    </row>
    <row r="39" spans="2:16">
      <c r="B39" s="38">
        <v>43404</v>
      </c>
      <c r="C39" s="34" t="s">
        <v>771</v>
      </c>
      <c r="D39" s="38"/>
      <c r="J39">
        <v>38</v>
      </c>
      <c r="K39" s="33" t="str">
        <f t="shared" si="3"/>
        <v>102.83</v>
      </c>
      <c r="L39" s="58">
        <f t="shared" si="1"/>
        <v>5.1541378975007268E-2</v>
      </c>
      <c r="N39">
        <v>38</v>
      </c>
      <c r="O39" t="str">
        <f t="shared" si="2"/>
        <v>102.83</v>
      </c>
      <c r="P39">
        <f t="shared" ref="P39" si="20">(O40-O38)/O38</f>
        <v>8.021978021978024E-2</v>
      </c>
    </row>
    <row r="40" spans="2:16">
      <c r="B40" s="38">
        <v>43405</v>
      </c>
      <c r="C40" s="34" t="s">
        <v>762</v>
      </c>
      <c r="D40" s="38"/>
      <c r="J40">
        <v>39</v>
      </c>
      <c r="K40" s="33" t="str">
        <f t="shared" si="3"/>
        <v>108.13</v>
      </c>
      <c r="L40" s="58">
        <f t="shared" si="1"/>
        <v>-7.4262461851475087E-2</v>
      </c>
      <c r="N40">
        <v>39</v>
      </c>
      <c r="O40" t="str">
        <f t="shared" si="2"/>
        <v>108.13</v>
      </c>
      <c r="P40">
        <f>0</f>
        <v>0</v>
      </c>
    </row>
    <row r="41" spans="2:16">
      <c r="B41" s="38">
        <v>43406</v>
      </c>
      <c r="C41" s="34" t="s">
        <v>772</v>
      </c>
      <c r="D41" s="38"/>
      <c r="J41">
        <v>40</v>
      </c>
      <c r="K41" s="33" t="str">
        <f t="shared" si="3"/>
        <v>100.10</v>
      </c>
      <c r="L41" s="58">
        <f t="shared" si="1"/>
        <v>2.7272727272727313E-2</v>
      </c>
      <c r="N41">
        <v>40</v>
      </c>
      <c r="O41" t="str">
        <f t="shared" si="2"/>
        <v>100.10</v>
      </c>
      <c r="P41">
        <f t="shared" ref="P41" si="21">(O42-O40)/O40</f>
        <v>-4.9015074447424374E-2</v>
      </c>
    </row>
    <row r="42" spans="2:16">
      <c r="B42" s="38">
        <v>43409</v>
      </c>
      <c r="C42" s="34" t="s">
        <v>773</v>
      </c>
      <c r="D42" s="38"/>
      <c r="J42">
        <v>41</v>
      </c>
      <c r="K42" s="33" t="str">
        <f t="shared" si="3"/>
        <v>102.83</v>
      </c>
      <c r="L42" s="58">
        <f t="shared" si="1"/>
        <v>5.1541378975007268E-2</v>
      </c>
      <c r="N42">
        <v>41</v>
      </c>
      <c r="O42" t="str">
        <f t="shared" si="2"/>
        <v>102.83</v>
      </c>
      <c r="P42">
        <f>0</f>
        <v>0</v>
      </c>
    </row>
    <row r="43" spans="2:16">
      <c r="B43" s="38">
        <v>43410</v>
      </c>
      <c r="C43" s="34" t="s">
        <v>774</v>
      </c>
      <c r="D43" s="38"/>
      <c r="J43">
        <v>42</v>
      </c>
      <c r="K43" s="33" t="str">
        <f t="shared" si="3"/>
        <v>108.13</v>
      </c>
      <c r="L43" s="58">
        <f t="shared" si="1"/>
        <v>-7.4262461851475087E-2</v>
      </c>
      <c r="N43">
        <v>42</v>
      </c>
      <c r="O43" t="str">
        <f t="shared" si="2"/>
        <v>108.13</v>
      </c>
      <c r="P43">
        <f t="shared" ref="P43" si="22">(O44-O42)/O42</f>
        <v>-2.6548672566371719E-2</v>
      </c>
    </row>
    <row r="44" spans="2:16">
      <c r="B44" s="38">
        <v>43411</v>
      </c>
      <c r="C44" s="34" t="s">
        <v>775</v>
      </c>
      <c r="D44" s="38"/>
      <c r="J44">
        <v>43</v>
      </c>
      <c r="K44" s="33" t="str">
        <f t="shared" si="3"/>
        <v>100.10</v>
      </c>
      <c r="L44" s="58">
        <f t="shared" si="1"/>
        <v>2.7272727272727313E-2</v>
      </c>
      <c r="N44">
        <v>43</v>
      </c>
      <c r="O44" t="str">
        <f t="shared" si="2"/>
        <v>100.10</v>
      </c>
      <c r="P44">
        <f>0</f>
        <v>0</v>
      </c>
    </row>
    <row r="45" spans="2:16">
      <c r="B45" s="38">
        <v>43412</v>
      </c>
      <c r="C45" s="34" t="s">
        <v>776</v>
      </c>
      <c r="D45" s="38"/>
      <c r="J45">
        <v>44</v>
      </c>
      <c r="K45" s="33" t="str">
        <f t="shared" si="3"/>
        <v>102.83</v>
      </c>
      <c r="L45" s="58">
        <f t="shared" si="1"/>
        <v>5.1541378975007268E-2</v>
      </c>
      <c r="N45">
        <v>44</v>
      </c>
      <c r="O45" t="str">
        <f t="shared" si="2"/>
        <v>102.83</v>
      </c>
      <c r="P45">
        <f t="shared" ref="P45" si="23">(O46-O44)/O44</f>
        <v>8.021978021978024E-2</v>
      </c>
    </row>
    <row r="46" spans="2:16">
      <c r="B46" s="38">
        <v>43413</v>
      </c>
      <c r="C46" s="34" t="s">
        <v>777</v>
      </c>
      <c r="D46" s="38"/>
      <c r="J46">
        <v>45</v>
      </c>
      <c r="K46" s="33" t="str">
        <f t="shared" si="3"/>
        <v>108.13</v>
      </c>
      <c r="L46" s="58">
        <f t="shared" si="1"/>
        <v>-7.4262461851475087E-2</v>
      </c>
      <c r="N46">
        <v>45</v>
      </c>
      <c r="O46" t="str">
        <f t="shared" si="2"/>
        <v>108.13</v>
      </c>
      <c r="P46">
        <f>0</f>
        <v>0</v>
      </c>
    </row>
    <row r="47" spans="2:16">
      <c r="B47" s="38">
        <v>43416</v>
      </c>
      <c r="C47" s="34" t="s">
        <v>770</v>
      </c>
      <c r="D47" s="38"/>
      <c r="J47">
        <v>46</v>
      </c>
      <c r="K47" s="33" t="str">
        <f t="shared" si="3"/>
        <v>100.10</v>
      </c>
      <c r="L47" s="58">
        <f t="shared" si="1"/>
        <v>2.7272727272727313E-2</v>
      </c>
      <c r="N47">
        <v>46</v>
      </c>
      <c r="O47" t="str">
        <f t="shared" si="2"/>
        <v>100.10</v>
      </c>
      <c r="P47">
        <f t="shared" ref="P47" si="24">(O48-O46)/O46</f>
        <v>-4.9015074447424374E-2</v>
      </c>
    </row>
    <row r="48" spans="2:16">
      <c r="B48" s="38">
        <v>43417</v>
      </c>
      <c r="C48" s="34" t="s">
        <v>778</v>
      </c>
      <c r="D48" s="38"/>
      <c r="J48">
        <v>47</v>
      </c>
      <c r="K48" s="33" t="str">
        <f t="shared" si="3"/>
        <v>102.83</v>
      </c>
      <c r="L48" s="58">
        <f t="shared" si="1"/>
        <v>5.1541378975007268E-2</v>
      </c>
      <c r="N48">
        <v>47</v>
      </c>
      <c r="O48" t="str">
        <f t="shared" si="2"/>
        <v>102.83</v>
      </c>
      <c r="P48">
        <f>0</f>
        <v>0</v>
      </c>
    </row>
    <row r="49" spans="2:16">
      <c r="B49" s="38">
        <v>43418</v>
      </c>
      <c r="C49" s="34" t="s">
        <v>779</v>
      </c>
      <c r="D49" s="38"/>
      <c r="J49">
        <v>48</v>
      </c>
      <c r="K49" s="33" t="str">
        <f t="shared" si="3"/>
        <v>108.13</v>
      </c>
      <c r="L49" s="58">
        <f t="shared" si="1"/>
        <v>-7.4262461851475087E-2</v>
      </c>
      <c r="N49">
        <v>48</v>
      </c>
      <c r="O49" t="str">
        <f t="shared" si="2"/>
        <v>108.13</v>
      </c>
      <c r="P49">
        <f t="shared" ref="P49" si="25">(O50-O48)/O48</f>
        <v>-2.6548672566371719E-2</v>
      </c>
    </row>
    <row r="50" spans="2:16">
      <c r="B50" s="38">
        <v>43419</v>
      </c>
      <c r="C50" s="34" t="s">
        <v>780</v>
      </c>
      <c r="D50" s="38"/>
      <c r="J50">
        <v>49</v>
      </c>
      <c r="K50" s="33" t="str">
        <f t="shared" si="3"/>
        <v>100.10</v>
      </c>
      <c r="L50" s="58">
        <f t="shared" si="1"/>
        <v>2.7272727272727313E-2</v>
      </c>
      <c r="N50">
        <v>49</v>
      </c>
      <c r="O50" t="str">
        <f t="shared" si="2"/>
        <v>100.10</v>
      </c>
      <c r="P50">
        <f>0</f>
        <v>0</v>
      </c>
    </row>
    <row r="51" spans="2:16">
      <c r="B51" s="38">
        <v>43420</v>
      </c>
      <c r="C51" s="34" t="s">
        <v>781</v>
      </c>
      <c r="D51" s="38"/>
      <c r="J51">
        <v>50</v>
      </c>
      <c r="K51" s="33" t="str">
        <f t="shared" si="3"/>
        <v>102.83</v>
      </c>
      <c r="L51" s="58">
        <f t="shared" si="1"/>
        <v>5.1541378975007268E-2</v>
      </c>
      <c r="N51">
        <v>50</v>
      </c>
      <c r="O51" t="str">
        <f t="shared" si="2"/>
        <v>102.83</v>
      </c>
      <c r="P51">
        <f t="shared" ref="P51" si="26">(O52-O50)/O50</f>
        <v>8.021978021978024E-2</v>
      </c>
    </row>
    <row r="52" spans="2:16">
      <c r="B52" s="38">
        <v>43423</v>
      </c>
      <c r="C52" s="34" t="s">
        <v>782</v>
      </c>
      <c r="D52" s="38"/>
      <c r="J52">
        <v>51</v>
      </c>
      <c r="K52" s="33" t="str">
        <f t="shared" si="3"/>
        <v>108.13</v>
      </c>
      <c r="L52" s="58">
        <f t="shared" si="1"/>
        <v>-7.4262461851475087E-2</v>
      </c>
      <c r="N52">
        <v>51</v>
      </c>
      <c r="O52" t="str">
        <f t="shared" si="2"/>
        <v>108.13</v>
      </c>
      <c r="P52">
        <f>0</f>
        <v>0</v>
      </c>
    </row>
    <row r="53" spans="2:16">
      <c r="B53" s="38">
        <v>43424</v>
      </c>
      <c r="C53" s="34" t="s">
        <v>783</v>
      </c>
      <c r="D53" s="38"/>
      <c r="J53">
        <v>52</v>
      </c>
      <c r="K53" s="33" t="str">
        <f t="shared" si="3"/>
        <v>100.10</v>
      </c>
      <c r="L53" s="58">
        <f t="shared" si="1"/>
        <v>2.7272727272727313E-2</v>
      </c>
      <c r="N53">
        <v>52</v>
      </c>
      <c r="O53" t="str">
        <f t="shared" si="2"/>
        <v>100.10</v>
      </c>
      <c r="P53">
        <f t="shared" ref="P53" si="27">(O54-O52)/O52</f>
        <v>-4.9015074447424374E-2</v>
      </c>
    </row>
    <row r="54" spans="2:16">
      <c r="B54" s="38">
        <v>43425</v>
      </c>
      <c r="C54" s="34" t="s">
        <v>772</v>
      </c>
      <c r="D54" s="38"/>
      <c r="J54">
        <v>53</v>
      </c>
      <c r="K54" s="33" t="str">
        <f t="shared" si="3"/>
        <v>102.83</v>
      </c>
      <c r="L54" s="58">
        <f t="shared" si="1"/>
        <v>5.1541378975007268E-2</v>
      </c>
      <c r="N54">
        <v>53</v>
      </c>
      <c r="O54" t="str">
        <f t="shared" si="2"/>
        <v>102.83</v>
      </c>
      <c r="P54">
        <f>0</f>
        <v>0</v>
      </c>
    </row>
    <row r="55" spans="2:16">
      <c r="B55" s="38">
        <v>43426</v>
      </c>
      <c r="C55" s="34" t="s">
        <v>772</v>
      </c>
      <c r="D55" s="38"/>
      <c r="J55">
        <v>54</v>
      </c>
      <c r="K55" s="33" t="str">
        <f t="shared" si="3"/>
        <v>108.13</v>
      </c>
      <c r="L55" s="58">
        <f t="shared" si="1"/>
        <v>-7.4262461851475087E-2</v>
      </c>
      <c r="N55">
        <v>54</v>
      </c>
      <c r="O55" t="str">
        <f t="shared" si="2"/>
        <v>108.13</v>
      </c>
      <c r="P55">
        <f t="shared" ref="P55" si="28">(O56-O54)/O54</f>
        <v>-2.6548672566371719E-2</v>
      </c>
    </row>
    <row r="56" spans="2:16">
      <c r="B56" s="38">
        <v>43427</v>
      </c>
      <c r="C56" s="34" t="s">
        <v>768</v>
      </c>
      <c r="D56" s="38"/>
      <c r="J56">
        <v>55</v>
      </c>
      <c r="K56" s="33" t="str">
        <f t="shared" si="3"/>
        <v>100.10</v>
      </c>
      <c r="L56" s="58">
        <f t="shared" si="1"/>
        <v>2.7272727272727313E-2</v>
      </c>
      <c r="N56">
        <v>55</v>
      </c>
      <c r="O56" t="str">
        <f t="shared" si="2"/>
        <v>100.10</v>
      </c>
      <c r="P56">
        <f>0</f>
        <v>0</v>
      </c>
    </row>
    <row r="57" spans="2:16">
      <c r="B57" s="38">
        <v>43430</v>
      </c>
      <c r="C57" s="34" t="s">
        <v>784</v>
      </c>
      <c r="D57" s="38"/>
      <c r="J57">
        <v>56</v>
      </c>
      <c r="K57" s="33" t="str">
        <f t="shared" si="3"/>
        <v>102.83</v>
      </c>
      <c r="L57" s="58">
        <f t="shared" si="1"/>
        <v>5.1541378975007268E-2</v>
      </c>
      <c r="N57">
        <v>56</v>
      </c>
      <c r="O57" t="str">
        <f t="shared" si="2"/>
        <v>102.83</v>
      </c>
      <c r="P57">
        <f t="shared" ref="P57" si="29">(O58-O56)/O56</f>
        <v>8.021978021978024E-2</v>
      </c>
    </row>
    <row r="58" spans="2:16">
      <c r="B58" s="38">
        <v>43431</v>
      </c>
      <c r="C58" s="34" t="s">
        <v>776</v>
      </c>
      <c r="D58" s="38"/>
      <c r="J58">
        <v>57</v>
      </c>
      <c r="K58" s="33" t="str">
        <f t="shared" si="3"/>
        <v>108.13</v>
      </c>
      <c r="L58" s="58">
        <f t="shared" si="1"/>
        <v>-7.4262461851475087E-2</v>
      </c>
      <c r="N58">
        <v>57</v>
      </c>
      <c r="O58" t="str">
        <f t="shared" si="2"/>
        <v>108.13</v>
      </c>
      <c r="P58">
        <f>0</f>
        <v>0</v>
      </c>
    </row>
    <row r="59" spans="2:16">
      <c r="B59" s="38">
        <v>43432</v>
      </c>
      <c r="C59" s="34" t="s">
        <v>785</v>
      </c>
      <c r="D59" s="38"/>
      <c r="J59">
        <v>58</v>
      </c>
      <c r="K59" s="33" t="str">
        <f t="shared" si="3"/>
        <v>100.10</v>
      </c>
      <c r="L59" s="58">
        <f t="shared" si="1"/>
        <v>2.7272727272727313E-2</v>
      </c>
      <c r="N59">
        <v>58</v>
      </c>
      <c r="O59" t="str">
        <f t="shared" si="2"/>
        <v>100.10</v>
      </c>
      <c r="P59">
        <f t="shared" ref="P59" si="30">(O60-O58)/O58</f>
        <v>-4.9015074447424374E-2</v>
      </c>
    </row>
    <row r="60" spans="2:16">
      <c r="B60" s="38">
        <v>43433</v>
      </c>
      <c r="C60" s="34" t="s">
        <v>786</v>
      </c>
      <c r="D60" s="38"/>
      <c r="J60">
        <v>59</v>
      </c>
      <c r="K60" s="33" t="str">
        <f t="shared" si="3"/>
        <v>102.83</v>
      </c>
      <c r="L60" s="58">
        <f t="shared" si="1"/>
        <v>5.1541378975007268E-2</v>
      </c>
      <c r="N60">
        <v>59</v>
      </c>
      <c r="O60" t="str">
        <f t="shared" si="2"/>
        <v>102.83</v>
      </c>
      <c r="P60">
        <f>0</f>
        <v>0</v>
      </c>
    </row>
    <row r="61" spans="2:16">
      <c r="B61" s="38">
        <v>43434</v>
      </c>
      <c r="C61" s="34" t="s">
        <v>787</v>
      </c>
      <c r="D61" s="38"/>
      <c r="J61">
        <v>60</v>
      </c>
      <c r="K61" s="33" t="str">
        <f t="shared" si="3"/>
        <v>108.13</v>
      </c>
      <c r="L61" s="58">
        <f t="shared" si="1"/>
        <v>-7.4262461851475087E-2</v>
      </c>
      <c r="N61">
        <v>60</v>
      </c>
      <c r="O61" t="str">
        <f t="shared" si="2"/>
        <v>108.13</v>
      </c>
      <c r="P61">
        <f t="shared" ref="P61" si="31">(O62-O60)/O60</f>
        <v>-2.6548672566371719E-2</v>
      </c>
    </row>
    <row r="62" spans="2:16">
      <c r="B62" s="38">
        <v>43437</v>
      </c>
      <c r="C62" s="34" t="s">
        <v>788</v>
      </c>
      <c r="D62" s="38"/>
      <c r="J62">
        <v>61</v>
      </c>
      <c r="K62" s="33" t="str">
        <f t="shared" si="3"/>
        <v>100.10</v>
      </c>
      <c r="L62" s="58">
        <f t="shared" si="1"/>
        <v>2.7272727272727313E-2</v>
      </c>
      <c r="N62">
        <v>61</v>
      </c>
      <c r="O62" t="str">
        <f t="shared" si="2"/>
        <v>100.10</v>
      </c>
      <c r="P62">
        <f>0</f>
        <v>0</v>
      </c>
    </row>
    <row r="63" spans="2:16">
      <c r="B63" s="38">
        <v>43438</v>
      </c>
      <c r="C63" s="34" t="s">
        <v>789</v>
      </c>
      <c r="D63" s="38"/>
      <c r="J63">
        <v>62</v>
      </c>
      <c r="K63" s="33" t="str">
        <f t="shared" si="3"/>
        <v>102.83</v>
      </c>
      <c r="L63" s="58">
        <f t="shared" si="1"/>
        <v>5.1541378975007268E-2</v>
      </c>
      <c r="N63">
        <v>62</v>
      </c>
      <c r="O63" t="str">
        <f t="shared" si="2"/>
        <v>102.83</v>
      </c>
      <c r="P63">
        <f t="shared" ref="P63" si="32">(O64-O62)/O62</f>
        <v>8.021978021978024E-2</v>
      </c>
    </row>
    <row r="64" spans="2:16">
      <c r="B64" s="38">
        <v>43439</v>
      </c>
      <c r="C64" s="34" t="s">
        <v>789</v>
      </c>
      <c r="D64" s="38"/>
      <c r="J64">
        <v>63</v>
      </c>
      <c r="K64" s="33" t="str">
        <f t="shared" si="3"/>
        <v>108.13</v>
      </c>
      <c r="L64" s="58">
        <f t="shared" si="1"/>
        <v>-7.4262461851475087E-2</v>
      </c>
      <c r="N64">
        <v>63</v>
      </c>
      <c r="O64" t="str">
        <f t="shared" si="2"/>
        <v>108.13</v>
      </c>
      <c r="P64">
        <f>0</f>
        <v>0</v>
      </c>
    </row>
    <row r="65" spans="2:16">
      <c r="B65" s="38">
        <v>43440</v>
      </c>
      <c r="C65" s="34" t="s">
        <v>790</v>
      </c>
      <c r="D65" s="38"/>
      <c r="J65">
        <v>64</v>
      </c>
      <c r="K65" s="33" t="str">
        <f t="shared" si="3"/>
        <v>100.10</v>
      </c>
      <c r="L65" s="58">
        <f t="shared" si="1"/>
        <v>2.7272727272727313E-2</v>
      </c>
      <c r="N65">
        <v>64</v>
      </c>
      <c r="O65" t="str">
        <f t="shared" si="2"/>
        <v>100.10</v>
      </c>
      <c r="P65">
        <f t="shared" ref="P65" si="33">(O66-O64)/O64</f>
        <v>-4.9015074447424374E-2</v>
      </c>
    </row>
    <row r="66" spans="2:16">
      <c r="B66" s="38">
        <v>43441</v>
      </c>
      <c r="C66" s="34" t="s">
        <v>791</v>
      </c>
      <c r="D66" s="38"/>
      <c r="J66">
        <v>65</v>
      </c>
      <c r="K66" s="33" t="str">
        <f t="shared" si="3"/>
        <v>102.83</v>
      </c>
      <c r="L66" s="58">
        <f t="shared" si="1"/>
        <v>5.1541378975007268E-2</v>
      </c>
      <c r="N66">
        <v>65</v>
      </c>
      <c r="O66" t="str">
        <f t="shared" si="2"/>
        <v>102.83</v>
      </c>
      <c r="P66">
        <f>0</f>
        <v>0</v>
      </c>
    </row>
    <row r="67" spans="2:16">
      <c r="B67" s="38">
        <v>43444</v>
      </c>
      <c r="C67" s="34" t="s">
        <v>792</v>
      </c>
      <c r="D67" s="38"/>
      <c r="J67">
        <v>66</v>
      </c>
      <c r="K67" s="33" t="str">
        <f t="shared" si="3"/>
        <v>108.13</v>
      </c>
      <c r="L67" s="58">
        <f t="shared" ref="L67:L104" si="34">(K68-K67)/K67</f>
        <v>-7.4262461851475087E-2</v>
      </c>
      <c r="N67">
        <v>66</v>
      </c>
      <c r="O67" t="str">
        <f t="shared" ref="O67:O104" si="35">K67</f>
        <v>108.13</v>
      </c>
      <c r="P67">
        <f t="shared" ref="P67" si="36">(O68-O66)/O66</f>
        <v>-2.6548672566371719E-2</v>
      </c>
    </row>
    <row r="68" spans="2:16">
      <c r="B68" s="38">
        <v>43445</v>
      </c>
      <c r="C68" s="34" t="s">
        <v>793</v>
      </c>
      <c r="D68" s="38"/>
      <c r="J68">
        <v>67</v>
      </c>
      <c r="K68" s="33" t="str">
        <f t="shared" si="3"/>
        <v>100.10</v>
      </c>
      <c r="L68" s="58">
        <f t="shared" si="34"/>
        <v>2.7272727272727313E-2</v>
      </c>
      <c r="N68">
        <v>67</v>
      </c>
      <c r="O68" t="str">
        <f t="shared" si="35"/>
        <v>100.10</v>
      </c>
      <c r="P68">
        <f>0</f>
        <v>0</v>
      </c>
    </row>
    <row r="69" spans="2:16">
      <c r="B69" s="38">
        <v>43446</v>
      </c>
      <c r="C69" s="34" t="s">
        <v>794</v>
      </c>
      <c r="D69" s="38"/>
      <c r="J69">
        <v>68</v>
      </c>
      <c r="K69" s="33" t="str">
        <f t="shared" si="3"/>
        <v>102.83</v>
      </c>
      <c r="L69" s="58">
        <f t="shared" si="34"/>
        <v>5.1541378975007268E-2</v>
      </c>
      <c r="N69">
        <v>68</v>
      </c>
      <c r="O69" t="str">
        <f t="shared" si="35"/>
        <v>102.83</v>
      </c>
      <c r="P69">
        <f t="shared" ref="P69" si="37">(O70-O68)/O68</f>
        <v>8.021978021978024E-2</v>
      </c>
    </row>
    <row r="70" spans="2:16">
      <c r="B70" s="38">
        <v>43447</v>
      </c>
      <c r="C70" s="34" t="s">
        <v>795</v>
      </c>
      <c r="D70" s="38"/>
      <c r="J70">
        <v>69</v>
      </c>
      <c r="K70" s="33" t="str">
        <f t="shared" ref="K70:K104" si="38">K67</f>
        <v>108.13</v>
      </c>
      <c r="L70" s="58">
        <f t="shared" si="34"/>
        <v>-7.4262461851475087E-2</v>
      </c>
      <c r="N70">
        <v>69</v>
      </c>
      <c r="O70" t="str">
        <f t="shared" si="35"/>
        <v>108.13</v>
      </c>
      <c r="P70">
        <f>0</f>
        <v>0</v>
      </c>
    </row>
    <row r="71" spans="2:16">
      <c r="B71" s="38">
        <v>43448</v>
      </c>
      <c r="C71" s="34" t="s">
        <v>796</v>
      </c>
      <c r="D71" s="38"/>
      <c r="J71">
        <v>70</v>
      </c>
      <c r="K71" s="33" t="str">
        <f t="shared" si="38"/>
        <v>100.10</v>
      </c>
      <c r="L71" s="58">
        <f t="shared" si="34"/>
        <v>2.7272727272727313E-2</v>
      </c>
      <c r="N71">
        <v>70</v>
      </c>
      <c r="O71" t="str">
        <f t="shared" si="35"/>
        <v>100.10</v>
      </c>
      <c r="P71">
        <f t="shared" ref="P71" si="39">(O72-O70)/O70</f>
        <v>-4.9015074447424374E-2</v>
      </c>
    </row>
    <row r="72" spans="2:16">
      <c r="B72" s="38">
        <v>43451</v>
      </c>
      <c r="C72" s="34" t="s">
        <v>797</v>
      </c>
      <c r="D72" s="38"/>
      <c r="J72">
        <v>71</v>
      </c>
      <c r="K72" s="33" t="str">
        <f t="shared" si="38"/>
        <v>102.83</v>
      </c>
      <c r="L72" s="58">
        <f t="shared" si="34"/>
        <v>5.1541378975007268E-2</v>
      </c>
      <c r="N72">
        <v>71</v>
      </c>
      <c r="O72" t="str">
        <f t="shared" si="35"/>
        <v>102.83</v>
      </c>
      <c r="P72">
        <f>0</f>
        <v>0</v>
      </c>
    </row>
    <row r="73" spans="2:16">
      <c r="B73" s="38">
        <v>43452</v>
      </c>
      <c r="C73" s="34" t="s">
        <v>778</v>
      </c>
      <c r="D73" s="38"/>
      <c r="J73">
        <v>72</v>
      </c>
      <c r="K73" s="33" t="str">
        <f t="shared" si="38"/>
        <v>108.13</v>
      </c>
      <c r="L73" s="58">
        <f t="shared" si="34"/>
        <v>-7.4262461851475087E-2</v>
      </c>
      <c r="N73">
        <v>72</v>
      </c>
      <c r="O73" t="str">
        <f t="shared" si="35"/>
        <v>108.13</v>
      </c>
      <c r="P73">
        <f t="shared" ref="P73" si="40">(O74-O72)/O72</f>
        <v>-2.6548672566371719E-2</v>
      </c>
    </row>
    <row r="74" spans="2:16">
      <c r="B74" s="38">
        <v>43453</v>
      </c>
      <c r="C74" s="34" t="s">
        <v>798</v>
      </c>
      <c r="D74" s="38"/>
      <c r="J74">
        <v>73</v>
      </c>
      <c r="K74" s="33" t="str">
        <f t="shared" si="38"/>
        <v>100.10</v>
      </c>
      <c r="L74" s="58">
        <f t="shared" si="34"/>
        <v>2.7272727272727313E-2</v>
      </c>
      <c r="N74">
        <v>73</v>
      </c>
      <c r="O74" t="str">
        <f t="shared" si="35"/>
        <v>100.10</v>
      </c>
      <c r="P74">
        <f>0</f>
        <v>0</v>
      </c>
    </row>
    <row r="75" spans="2:16">
      <c r="B75" s="38">
        <v>43454</v>
      </c>
      <c r="C75" s="34" t="s">
        <v>799</v>
      </c>
      <c r="D75" s="38"/>
      <c r="J75">
        <v>74</v>
      </c>
      <c r="K75" s="33" t="str">
        <f t="shared" si="38"/>
        <v>102.83</v>
      </c>
      <c r="L75" s="58">
        <f t="shared" si="34"/>
        <v>5.1541378975007268E-2</v>
      </c>
      <c r="N75">
        <v>74</v>
      </c>
      <c r="O75" t="str">
        <f t="shared" si="35"/>
        <v>102.83</v>
      </c>
      <c r="P75">
        <f t="shared" ref="P75" si="41">(O76-O74)/O74</f>
        <v>8.021978021978024E-2</v>
      </c>
    </row>
    <row r="76" spans="2:16">
      <c r="B76" s="38">
        <v>43455</v>
      </c>
      <c r="C76" s="34" t="s">
        <v>800</v>
      </c>
      <c r="D76" s="38"/>
      <c r="J76">
        <v>75</v>
      </c>
      <c r="K76" s="33" t="str">
        <f t="shared" si="38"/>
        <v>108.13</v>
      </c>
      <c r="L76" s="58">
        <f t="shared" si="34"/>
        <v>-7.4262461851475087E-2</v>
      </c>
      <c r="N76">
        <v>75</v>
      </c>
      <c r="O76" t="str">
        <f t="shared" si="35"/>
        <v>108.13</v>
      </c>
      <c r="P76">
        <f>0</f>
        <v>0</v>
      </c>
    </row>
    <row r="77" spans="2:16">
      <c r="B77" s="38">
        <v>43458</v>
      </c>
      <c r="C77" s="34" t="s">
        <v>801</v>
      </c>
      <c r="D77" s="38"/>
      <c r="J77">
        <v>76</v>
      </c>
      <c r="K77" s="33" t="str">
        <f t="shared" si="38"/>
        <v>100.10</v>
      </c>
      <c r="L77" s="58">
        <f t="shared" si="34"/>
        <v>2.7272727272727313E-2</v>
      </c>
      <c r="N77">
        <v>76</v>
      </c>
      <c r="O77" t="str">
        <f t="shared" si="35"/>
        <v>100.10</v>
      </c>
      <c r="P77">
        <f t="shared" ref="P77" si="42">(O78-O76)/O76</f>
        <v>-4.9015074447424374E-2</v>
      </c>
    </row>
    <row r="78" spans="2:16">
      <c r="B78" s="38">
        <v>43459</v>
      </c>
      <c r="C78" s="34" t="s">
        <v>801</v>
      </c>
      <c r="D78" s="38"/>
      <c r="J78">
        <v>77</v>
      </c>
      <c r="K78" s="33" t="str">
        <f t="shared" si="38"/>
        <v>102.83</v>
      </c>
      <c r="L78" s="58">
        <f t="shared" si="34"/>
        <v>5.1541378975007268E-2</v>
      </c>
      <c r="N78">
        <v>77</v>
      </c>
      <c r="O78" t="str">
        <f t="shared" si="35"/>
        <v>102.83</v>
      </c>
      <c r="P78">
        <f>0</f>
        <v>0</v>
      </c>
    </row>
    <row r="79" spans="2:16">
      <c r="B79" s="38">
        <v>43460</v>
      </c>
      <c r="C79" s="34" t="s">
        <v>802</v>
      </c>
      <c r="D79" s="38"/>
      <c r="J79">
        <v>78</v>
      </c>
      <c r="K79" s="33" t="str">
        <f t="shared" si="38"/>
        <v>108.13</v>
      </c>
      <c r="L79" s="58">
        <f t="shared" si="34"/>
        <v>-7.4262461851475087E-2</v>
      </c>
      <c r="N79">
        <v>78</v>
      </c>
      <c r="O79" t="str">
        <f t="shared" si="35"/>
        <v>108.13</v>
      </c>
      <c r="P79">
        <f t="shared" ref="P79" si="43">(O80-O78)/O78</f>
        <v>-2.6548672566371719E-2</v>
      </c>
    </row>
    <row r="80" spans="2:16">
      <c r="B80" s="38">
        <v>43461</v>
      </c>
      <c r="C80" s="34" t="s">
        <v>803</v>
      </c>
      <c r="D80" s="38"/>
      <c r="J80">
        <v>79</v>
      </c>
      <c r="K80" s="33" t="str">
        <f t="shared" si="38"/>
        <v>100.10</v>
      </c>
      <c r="L80" s="58">
        <f t="shared" si="34"/>
        <v>2.7272727272727313E-2</v>
      </c>
      <c r="N80">
        <v>79</v>
      </c>
      <c r="O80" t="str">
        <f t="shared" si="35"/>
        <v>100.10</v>
      </c>
      <c r="P80">
        <f>0</f>
        <v>0</v>
      </c>
    </row>
    <row r="81" spans="2:16">
      <c r="B81" s="38">
        <v>43462</v>
      </c>
      <c r="C81" s="34" t="s">
        <v>772</v>
      </c>
      <c r="D81" s="38"/>
      <c r="J81">
        <v>80</v>
      </c>
      <c r="K81" s="33" t="str">
        <f t="shared" si="38"/>
        <v>102.83</v>
      </c>
      <c r="L81" s="58">
        <f t="shared" si="34"/>
        <v>5.1541378975007268E-2</v>
      </c>
      <c r="N81">
        <v>80</v>
      </c>
      <c r="O81" t="str">
        <f t="shared" si="35"/>
        <v>102.83</v>
      </c>
      <c r="P81">
        <f t="shared" ref="P81" si="44">(O82-O80)/O80</f>
        <v>8.021978021978024E-2</v>
      </c>
    </row>
    <row r="82" spans="2:16">
      <c r="B82" s="38">
        <v>43465</v>
      </c>
      <c r="C82" s="34" t="s">
        <v>804</v>
      </c>
      <c r="D82" s="38"/>
      <c r="J82">
        <v>81</v>
      </c>
      <c r="K82" s="33" t="str">
        <f t="shared" si="38"/>
        <v>108.13</v>
      </c>
      <c r="L82" s="58">
        <f t="shared" si="34"/>
        <v>-7.4262461851475087E-2</v>
      </c>
      <c r="N82">
        <v>81</v>
      </c>
      <c r="O82" t="str">
        <f t="shared" si="35"/>
        <v>108.13</v>
      </c>
      <c r="P82">
        <f>0</f>
        <v>0</v>
      </c>
    </row>
    <row r="83" spans="2:16">
      <c r="B83" s="38">
        <v>43466</v>
      </c>
      <c r="C83" s="34" t="s">
        <v>804</v>
      </c>
      <c r="D83" s="38"/>
      <c r="J83">
        <v>82</v>
      </c>
      <c r="K83" s="33" t="str">
        <f t="shared" si="38"/>
        <v>100.10</v>
      </c>
      <c r="L83" s="58">
        <f t="shared" si="34"/>
        <v>2.7272727272727313E-2</v>
      </c>
      <c r="N83">
        <v>82</v>
      </c>
      <c r="O83" t="str">
        <f t="shared" si="35"/>
        <v>100.10</v>
      </c>
      <c r="P83">
        <f t="shared" ref="P83" si="45">(O84-O82)/O82</f>
        <v>-4.9015074447424374E-2</v>
      </c>
    </row>
    <row r="84" spans="2:16">
      <c r="B84" s="38">
        <v>43467</v>
      </c>
      <c r="C84" s="34" t="s">
        <v>805</v>
      </c>
      <c r="D84" s="38"/>
      <c r="J84">
        <v>83</v>
      </c>
      <c r="K84" s="33" t="str">
        <f t="shared" si="38"/>
        <v>102.83</v>
      </c>
      <c r="L84" s="58">
        <f t="shared" si="34"/>
        <v>5.1541378975007268E-2</v>
      </c>
      <c r="N84">
        <v>83</v>
      </c>
      <c r="O84" t="str">
        <f t="shared" si="35"/>
        <v>102.83</v>
      </c>
      <c r="P84">
        <f>0</f>
        <v>0</v>
      </c>
    </row>
    <row r="85" spans="2:16">
      <c r="B85" s="38">
        <v>43468</v>
      </c>
      <c r="C85" s="34" t="s">
        <v>791</v>
      </c>
      <c r="D85" s="38"/>
      <c r="J85">
        <v>84</v>
      </c>
      <c r="K85" s="33" t="str">
        <f t="shared" si="38"/>
        <v>108.13</v>
      </c>
      <c r="L85" s="58">
        <f t="shared" si="34"/>
        <v>-7.4262461851475087E-2</v>
      </c>
      <c r="N85">
        <v>84</v>
      </c>
      <c r="O85" t="str">
        <f t="shared" si="35"/>
        <v>108.13</v>
      </c>
      <c r="P85">
        <f t="shared" ref="P85" si="46">(O86-O84)/O84</f>
        <v>-2.6548672566371719E-2</v>
      </c>
    </row>
    <row r="86" spans="2:16">
      <c r="B86" s="38">
        <v>43469</v>
      </c>
      <c r="C86" s="34" t="s">
        <v>806</v>
      </c>
      <c r="D86" s="38"/>
      <c r="J86">
        <v>85</v>
      </c>
      <c r="K86" s="33" t="str">
        <f t="shared" si="38"/>
        <v>100.10</v>
      </c>
      <c r="L86" s="58">
        <f t="shared" si="34"/>
        <v>2.7272727272727313E-2</v>
      </c>
      <c r="N86">
        <v>85</v>
      </c>
      <c r="O86" t="str">
        <f t="shared" si="35"/>
        <v>100.10</v>
      </c>
      <c r="P86">
        <f>0</f>
        <v>0</v>
      </c>
    </row>
    <row r="87" spans="2:16">
      <c r="B87" s="38">
        <v>43472</v>
      </c>
      <c r="C87" s="34" t="s">
        <v>807</v>
      </c>
      <c r="D87" s="38"/>
      <c r="J87">
        <v>86</v>
      </c>
      <c r="K87" s="33" t="str">
        <f t="shared" si="38"/>
        <v>102.83</v>
      </c>
      <c r="L87" s="58">
        <f t="shared" si="34"/>
        <v>5.1541378975007268E-2</v>
      </c>
      <c r="N87">
        <v>86</v>
      </c>
      <c r="O87" t="str">
        <f t="shared" si="35"/>
        <v>102.83</v>
      </c>
      <c r="P87">
        <f t="shared" ref="P87" si="47">(O88-O86)/O86</f>
        <v>8.021978021978024E-2</v>
      </c>
    </row>
    <row r="88" spans="2:16">
      <c r="B88" s="38">
        <v>43473</v>
      </c>
      <c r="C88" s="34" t="s">
        <v>808</v>
      </c>
      <c r="D88" s="38"/>
      <c r="J88">
        <v>87</v>
      </c>
      <c r="K88" s="33" t="str">
        <f t="shared" si="38"/>
        <v>108.13</v>
      </c>
      <c r="L88" s="58">
        <f t="shared" si="34"/>
        <v>-7.4262461851475087E-2</v>
      </c>
      <c r="N88">
        <v>87</v>
      </c>
      <c r="O88" t="str">
        <f t="shared" si="35"/>
        <v>108.13</v>
      </c>
      <c r="P88">
        <f>0</f>
        <v>0</v>
      </c>
    </row>
    <row r="89" spans="2:16">
      <c r="B89" s="38">
        <v>43474</v>
      </c>
      <c r="C89" s="34" t="s">
        <v>809</v>
      </c>
      <c r="D89" s="38"/>
      <c r="J89">
        <v>88</v>
      </c>
      <c r="K89" s="33" t="str">
        <f t="shared" si="38"/>
        <v>100.10</v>
      </c>
      <c r="L89" s="58">
        <f t="shared" si="34"/>
        <v>2.7272727272727313E-2</v>
      </c>
      <c r="N89">
        <v>88</v>
      </c>
      <c r="O89" t="str">
        <f t="shared" si="35"/>
        <v>100.10</v>
      </c>
      <c r="P89">
        <f t="shared" ref="P89" si="48">(O90-O88)/O88</f>
        <v>-4.9015074447424374E-2</v>
      </c>
    </row>
    <row r="90" spans="2:16">
      <c r="B90" s="38">
        <v>43475</v>
      </c>
      <c r="C90" s="34" t="s">
        <v>810</v>
      </c>
      <c r="D90" s="38"/>
      <c r="J90">
        <v>89</v>
      </c>
      <c r="K90" s="33" t="str">
        <f t="shared" si="38"/>
        <v>102.83</v>
      </c>
      <c r="L90" s="58">
        <f t="shared" si="34"/>
        <v>5.1541378975007268E-2</v>
      </c>
      <c r="N90">
        <v>89</v>
      </c>
      <c r="O90" t="str">
        <f t="shared" si="35"/>
        <v>102.83</v>
      </c>
      <c r="P90">
        <f>0</f>
        <v>0</v>
      </c>
    </row>
    <row r="91" spans="2:16">
      <c r="B91" s="38">
        <v>43476</v>
      </c>
      <c r="C91" s="34" t="s">
        <v>811</v>
      </c>
      <c r="D91" s="38"/>
      <c r="J91">
        <v>90</v>
      </c>
      <c r="K91" s="33" t="str">
        <f t="shared" si="38"/>
        <v>108.13</v>
      </c>
      <c r="L91" s="58">
        <f t="shared" si="34"/>
        <v>-7.4262461851475087E-2</v>
      </c>
      <c r="N91">
        <v>90</v>
      </c>
      <c r="O91" t="str">
        <f t="shared" si="35"/>
        <v>108.13</v>
      </c>
      <c r="P91">
        <f t="shared" ref="P91" si="49">(O92-O90)/O90</f>
        <v>-2.6548672566371719E-2</v>
      </c>
    </row>
    <row r="92" spans="2:16">
      <c r="B92" s="38">
        <v>43479</v>
      </c>
      <c r="C92" s="34" t="s">
        <v>809</v>
      </c>
      <c r="D92" s="38"/>
      <c r="J92">
        <v>91</v>
      </c>
      <c r="K92" s="33" t="str">
        <f t="shared" si="38"/>
        <v>100.10</v>
      </c>
      <c r="L92" s="58">
        <f t="shared" si="34"/>
        <v>2.7272727272727313E-2</v>
      </c>
      <c r="N92">
        <v>91</v>
      </c>
      <c r="O92" t="str">
        <f t="shared" si="35"/>
        <v>100.10</v>
      </c>
      <c r="P92">
        <f>0</f>
        <v>0</v>
      </c>
    </row>
    <row r="93" spans="2:16">
      <c r="B93" s="38">
        <v>43480</v>
      </c>
      <c r="C93" s="34" t="s">
        <v>812</v>
      </c>
      <c r="D93" s="38"/>
      <c r="J93">
        <v>92</v>
      </c>
      <c r="K93" s="33" t="str">
        <f t="shared" si="38"/>
        <v>102.83</v>
      </c>
      <c r="L93" s="58">
        <f t="shared" si="34"/>
        <v>5.1541378975007268E-2</v>
      </c>
      <c r="N93">
        <v>92</v>
      </c>
      <c r="O93" t="str">
        <f t="shared" si="35"/>
        <v>102.83</v>
      </c>
      <c r="P93">
        <f t="shared" ref="P93" si="50">(O94-O92)/O92</f>
        <v>8.021978021978024E-2</v>
      </c>
    </row>
    <row r="94" spans="2:16">
      <c r="B94" s="38">
        <v>43481</v>
      </c>
      <c r="C94" s="34" t="s">
        <v>811</v>
      </c>
      <c r="D94" s="38"/>
      <c r="J94">
        <v>93</v>
      </c>
      <c r="K94" s="33" t="str">
        <f t="shared" si="38"/>
        <v>108.13</v>
      </c>
      <c r="L94" s="58">
        <f t="shared" si="34"/>
        <v>-7.4262461851475087E-2</v>
      </c>
      <c r="N94">
        <v>93</v>
      </c>
      <c r="O94" t="str">
        <f t="shared" si="35"/>
        <v>108.13</v>
      </c>
      <c r="P94">
        <f>0</f>
        <v>0</v>
      </c>
    </row>
    <row r="95" spans="2:16">
      <c r="B95" s="38">
        <v>43482</v>
      </c>
      <c r="C95" s="34" t="s">
        <v>813</v>
      </c>
      <c r="D95" s="38"/>
      <c r="J95">
        <v>94</v>
      </c>
      <c r="K95" s="33" t="str">
        <f t="shared" si="38"/>
        <v>100.10</v>
      </c>
      <c r="L95" s="58">
        <f t="shared" si="34"/>
        <v>2.7272727272727313E-2</v>
      </c>
      <c r="N95">
        <v>94</v>
      </c>
      <c r="O95" t="str">
        <f t="shared" si="35"/>
        <v>100.10</v>
      </c>
      <c r="P95">
        <f t="shared" ref="P95" si="51">(O96-O94)/O94</f>
        <v>-4.9015074447424374E-2</v>
      </c>
    </row>
    <row r="96" spans="2:16">
      <c r="B96" s="38">
        <v>43483</v>
      </c>
      <c r="C96" s="34" t="s">
        <v>814</v>
      </c>
      <c r="D96" s="38"/>
      <c r="J96">
        <v>95</v>
      </c>
      <c r="K96" s="33" t="str">
        <f t="shared" si="38"/>
        <v>102.83</v>
      </c>
      <c r="L96" s="58">
        <f t="shared" si="34"/>
        <v>5.1541378975007268E-2</v>
      </c>
      <c r="N96">
        <v>95</v>
      </c>
      <c r="O96" t="str">
        <f t="shared" si="35"/>
        <v>102.83</v>
      </c>
      <c r="P96">
        <f>0</f>
        <v>0</v>
      </c>
    </row>
    <row r="97" spans="2:16">
      <c r="B97" s="38">
        <v>43486</v>
      </c>
      <c r="C97" s="34" t="s">
        <v>814</v>
      </c>
      <c r="D97" s="38"/>
      <c r="J97">
        <v>96</v>
      </c>
      <c r="K97" s="33" t="str">
        <f t="shared" si="38"/>
        <v>108.13</v>
      </c>
      <c r="L97" s="58">
        <f t="shared" si="34"/>
        <v>-7.4262461851475087E-2</v>
      </c>
      <c r="N97">
        <v>96</v>
      </c>
      <c r="O97" t="str">
        <f t="shared" si="35"/>
        <v>108.13</v>
      </c>
      <c r="P97">
        <f t="shared" ref="P97" si="52">(O98-O96)/O96</f>
        <v>-2.6548672566371719E-2</v>
      </c>
    </row>
    <row r="98" spans="2:16">
      <c r="B98" s="38">
        <v>43487</v>
      </c>
      <c r="C98" s="34" t="s">
        <v>815</v>
      </c>
      <c r="D98" s="38"/>
      <c r="J98">
        <v>97</v>
      </c>
      <c r="K98" s="33" t="str">
        <f t="shared" si="38"/>
        <v>100.10</v>
      </c>
      <c r="L98" s="58">
        <f t="shared" si="34"/>
        <v>2.7272727272727313E-2</v>
      </c>
      <c r="N98">
        <v>97</v>
      </c>
      <c r="O98" t="str">
        <f t="shared" si="35"/>
        <v>100.10</v>
      </c>
      <c r="P98">
        <f>0</f>
        <v>0</v>
      </c>
    </row>
    <row r="99" spans="2:16">
      <c r="B99" s="38">
        <v>43488</v>
      </c>
      <c r="C99" s="34" t="s">
        <v>816</v>
      </c>
      <c r="D99" s="38"/>
      <c r="J99">
        <v>98</v>
      </c>
      <c r="K99" s="33" t="str">
        <f t="shared" si="38"/>
        <v>102.83</v>
      </c>
      <c r="L99" s="58">
        <f t="shared" si="34"/>
        <v>5.1541378975007268E-2</v>
      </c>
      <c r="N99">
        <v>98</v>
      </c>
      <c r="O99" t="str">
        <f t="shared" si="35"/>
        <v>102.83</v>
      </c>
      <c r="P99">
        <f t="shared" ref="P99" si="53">(O100-O98)/O98</f>
        <v>8.021978021978024E-2</v>
      </c>
    </row>
    <row r="100" spans="2:16">
      <c r="B100" s="38">
        <v>43489</v>
      </c>
      <c r="C100" s="34" t="s">
        <v>817</v>
      </c>
      <c r="D100" s="38"/>
      <c r="J100">
        <v>99</v>
      </c>
      <c r="K100" s="33" t="str">
        <f t="shared" si="38"/>
        <v>108.13</v>
      </c>
      <c r="L100" s="58">
        <f t="shared" si="34"/>
        <v>-7.4262461851475087E-2</v>
      </c>
      <c r="N100">
        <v>99</v>
      </c>
      <c r="O100" t="str">
        <f t="shared" si="35"/>
        <v>108.13</v>
      </c>
      <c r="P100">
        <f>0</f>
        <v>0</v>
      </c>
    </row>
    <row r="101" spans="2:16">
      <c r="B101" s="38">
        <v>43490</v>
      </c>
      <c r="C101" s="34" t="s">
        <v>818</v>
      </c>
      <c r="D101" s="38"/>
      <c r="J101">
        <v>100</v>
      </c>
      <c r="K101" s="33" t="str">
        <f t="shared" si="38"/>
        <v>100.10</v>
      </c>
      <c r="L101" s="58">
        <f t="shared" si="34"/>
        <v>2.7272727272727313E-2</v>
      </c>
      <c r="N101">
        <v>100</v>
      </c>
      <c r="O101" t="str">
        <f t="shared" si="35"/>
        <v>100.10</v>
      </c>
      <c r="P101">
        <f t="shared" ref="P101" si="54">(O102-O100)/O100</f>
        <v>-4.9015074447424374E-2</v>
      </c>
    </row>
    <row r="102" spans="2:16">
      <c r="B102" s="38">
        <v>43493</v>
      </c>
      <c r="C102" s="34" t="s">
        <v>819</v>
      </c>
      <c r="D102" s="38"/>
      <c r="J102">
        <v>101</v>
      </c>
      <c r="K102" s="33" t="str">
        <f t="shared" si="38"/>
        <v>102.83</v>
      </c>
      <c r="L102" s="58">
        <f t="shared" si="34"/>
        <v>5.1541378975007268E-2</v>
      </c>
      <c r="N102">
        <v>101</v>
      </c>
      <c r="O102" t="str">
        <f t="shared" si="35"/>
        <v>102.83</v>
      </c>
      <c r="P102">
        <f>0</f>
        <v>0</v>
      </c>
    </row>
    <row r="103" spans="2:16">
      <c r="B103" s="38">
        <v>43494</v>
      </c>
      <c r="C103" s="34" t="s">
        <v>820</v>
      </c>
      <c r="D103" s="38"/>
      <c r="J103">
        <v>102</v>
      </c>
      <c r="K103" s="33" t="str">
        <f t="shared" si="38"/>
        <v>108.13</v>
      </c>
      <c r="L103" s="58">
        <f t="shared" si="34"/>
        <v>-7.4262461851475087E-2</v>
      </c>
      <c r="N103">
        <v>102</v>
      </c>
      <c r="O103" t="str">
        <f t="shared" si="35"/>
        <v>108.13</v>
      </c>
      <c r="P103">
        <f t="shared" ref="P103" si="55">(O104-O102)/O102</f>
        <v>-2.6548672566371719E-2</v>
      </c>
    </row>
    <row r="104" spans="2:16">
      <c r="B104" s="38">
        <v>43495</v>
      </c>
      <c r="C104" s="34" t="s">
        <v>821</v>
      </c>
      <c r="D104" s="38"/>
      <c r="J104">
        <v>103</v>
      </c>
      <c r="K104" s="33" t="str">
        <f t="shared" si="38"/>
        <v>100.10</v>
      </c>
      <c r="L104" s="58">
        <f t="shared" si="34"/>
        <v>-1</v>
      </c>
      <c r="N104">
        <v>103</v>
      </c>
      <c r="O104" t="str">
        <f t="shared" si="35"/>
        <v>100.10</v>
      </c>
      <c r="P104">
        <f>0</f>
        <v>0</v>
      </c>
    </row>
    <row r="105" spans="2:16">
      <c r="B105" s="38">
        <v>43496</v>
      </c>
      <c r="C105" s="34" t="s">
        <v>754</v>
      </c>
      <c r="D105" s="38"/>
    </row>
    <row r="106" spans="2:16">
      <c r="B106" s="38">
        <v>43497</v>
      </c>
      <c r="C106" s="34" t="s">
        <v>822</v>
      </c>
      <c r="D106" s="38"/>
    </row>
    <row r="107" spans="2:16">
      <c r="B107" s="38">
        <v>43500</v>
      </c>
      <c r="C107" s="34" t="s">
        <v>823</v>
      </c>
      <c r="D107" s="38"/>
    </row>
    <row r="108" spans="2:16">
      <c r="B108" s="38">
        <v>43501</v>
      </c>
      <c r="C108" s="34" t="s">
        <v>824</v>
      </c>
      <c r="D108" s="38"/>
    </row>
    <row r="109" spans="2:16">
      <c r="B109" s="38">
        <v>43502</v>
      </c>
      <c r="C109" s="34" t="s">
        <v>825</v>
      </c>
      <c r="D109" s="38"/>
    </row>
    <row r="110" spans="2:16">
      <c r="B110" s="38">
        <v>43503</v>
      </c>
      <c r="C110" s="34" t="s">
        <v>826</v>
      </c>
      <c r="D110" s="38"/>
    </row>
    <row r="111" spans="2:16">
      <c r="B111" s="38">
        <v>43504</v>
      </c>
      <c r="C111" s="34" t="s">
        <v>827</v>
      </c>
      <c r="D111" s="38"/>
    </row>
    <row r="112" spans="2:16">
      <c r="B112" s="38">
        <v>43507</v>
      </c>
      <c r="C112" s="34" t="s">
        <v>828</v>
      </c>
      <c r="D112" s="38"/>
    </row>
    <row r="113" spans="2:4">
      <c r="B113" s="38">
        <v>43508</v>
      </c>
      <c r="C113" s="34" t="s">
        <v>829</v>
      </c>
      <c r="D113" s="38"/>
    </row>
    <row r="114" spans="2:4">
      <c r="B114" s="38">
        <v>43509</v>
      </c>
      <c r="C114" s="34" t="s">
        <v>830</v>
      </c>
      <c r="D114" s="38"/>
    </row>
    <row r="115" spans="2:4">
      <c r="B115" s="38">
        <v>43510</v>
      </c>
      <c r="C115" s="34" t="s">
        <v>831</v>
      </c>
      <c r="D115" s="38"/>
    </row>
    <row r="116" spans="2:4">
      <c r="B116" s="38">
        <v>43511</v>
      </c>
      <c r="C116" s="34" t="s">
        <v>832</v>
      </c>
      <c r="D116" s="38"/>
    </row>
    <row r="117" spans="2:4">
      <c r="B117" s="38">
        <v>43514</v>
      </c>
      <c r="C117" s="34" t="s">
        <v>832</v>
      </c>
      <c r="D117" s="38"/>
    </row>
    <row r="118" spans="2:4">
      <c r="B118" s="38">
        <v>43515</v>
      </c>
      <c r="C118" s="34" t="s">
        <v>752</v>
      </c>
      <c r="D118" s="38"/>
    </row>
    <row r="119" spans="2:4">
      <c r="B119" s="38">
        <v>43516</v>
      </c>
      <c r="C119" s="34" t="s">
        <v>833</v>
      </c>
      <c r="D119" s="38"/>
    </row>
    <row r="120" spans="2:4">
      <c r="B120" s="38">
        <v>43517</v>
      </c>
      <c r="C120" s="34" t="s">
        <v>834</v>
      </c>
      <c r="D120" s="38"/>
    </row>
    <row r="121" spans="2:4">
      <c r="B121" s="38">
        <v>43518</v>
      </c>
      <c r="C121" s="34" t="s">
        <v>835</v>
      </c>
      <c r="D121" s="38"/>
    </row>
    <row r="122" spans="2:4">
      <c r="B122" s="38">
        <v>43521</v>
      </c>
      <c r="C122" s="34" t="s">
        <v>836</v>
      </c>
      <c r="D122" s="38"/>
    </row>
    <row r="123" spans="2:4">
      <c r="B123" s="38">
        <v>43522</v>
      </c>
      <c r="C123" s="34" t="s">
        <v>837</v>
      </c>
      <c r="D123" s="38"/>
    </row>
    <row r="124" spans="2:4">
      <c r="B124" s="38">
        <v>43523</v>
      </c>
      <c r="C124" s="34" t="s">
        <v>838</v>
      </c>
      <c r="D124" s="38"/>
    </row>
    <row r="125" spans="2:4">
      <c r="B125" s="38">
        <v>43524</v>
      </c>
      <c r="C125" s="34" t="s">
        <v>839</v>
      </c>
      <c r="D125" s="38"/>
    </row>
    <row r="126" spans="2:4">
      <c r="B126" s="38">
        <v>43525</v>
      </c>
      <c r="C126" s="34" t="s">
        <v>840</v>
      </c>
      <c r="D126" s="38"/>
    </row>
    <row r="127" spans="2:4">
      <c r="B127" s="38">
        <v>43528</v>
      </c>
      <c r="C127" s="34" t="s">
        <v>841</v>
      </c>
      <c r="D127" s="38"/>
    </row>
    <row r="128" spans="2:4">
      <c r="B128" s="38">
        <v>43529</v>
      </c>
      <c r="C128" s="34" t="s">
        <v>832</v>
      </c>
      <c r="D128" s="38"/>
    </row>
    <row r="129" spans="2:4">
      <c r="B129" s="38">
        <v>43530</v>
      </c>
      <c r="C129" s="34" t="s">
        <v>842</v>
      </c>
      <c r="D129" s="38"/>
    </row>
    <row r="130" spans="2:4">
      <c r="B130" s="38">
        <v>43531</v>
      </c>
      <c r="C130" s="34" t="s">
        <v>843</v>
      </c>
      <c r="D130" s="38"/>
    </row>
    <row r="131" spans="2:4">
      <c r="B131" s="38">
        <v>43532</v>
      </c>
      <c r="C131" s="34" t="s">
        <v>844</v>
      </c>
      <c r="D131" s="38"/>
    </row>
    <row r="132" spans="2:4">
      <c r="B132" s="38">
        <v>43535</v>
      </c>
      <c r="C132" s="34" t="s">
        <v>845</v>
      </c>
      <c r="D132" s="38"/>
    </row>
    <row r="133" spans="2:4">
      <c r="B133" s="38">
        <v>43536</v>
      </c>
      <c r="C133" s="34" t="s">
        <v>846</v>
      </c>
      <c r="D133" s="38"/>
    </row>
    <row r="134" spans="2:4">
      <c r="B134" s="38">
        <v>43537</v>
      </c>
      <c r="C134" s="34" t="s">
        <v>847</v>
      </c>
      <c r="D134" s="38"/>
    </row>
    <row r="135" spans="2:4">
      <c r="B135" s="38">
        <v>43538</v>
      </c>
      <c r="C135" s="34" t="s">
        <v>848</v>
      </c>
      <c r="D135" s="38"/>
    </row>
    <row r="136" spans="2:4">
      <c r="B136" s="38">
        <v>43539</v>
      </c>
      <c r="C136" s="34" t="s">
        <v>849</v>
      </c>
      <c r="D136" s="38"/>
    </row>
    <row r="137" spans="2:4">
      <c r="B137" s="38">
        <v>43542</v>
      </c>
      <c r="C137" s="34" t="s">
        <v>850</v>
      </c>
      <c r="D137" s="38"/>
    </row>
    <row r="138" spans="2:4">
      <c r="B138" s="38">
        <v>43543</v>
      </c>
      <c r="C138" s="34" t="s">
        <v>851</v>
      </c>
      <c r="D138" s="38"/>
    </row>
    <row r="139" spans="2:4">
      <c r="B139" s="38">
        <v>43544</v>
      </c>
      <c r="C139" s="34" t="s">
        <v>852</v>
      </c>
      <c r="D139" s="38"/>
    </row>
    <row r="140" spans="2:4">
      <c r="B140" s="38">
        <v>43545</v>
      </c>
      <c r="C140" s="34" t="s">
        <v>853</v>
      </c>
      <c r="D140" s="38"/>
    </row>
    <row r="141" spans="2:4">
      <c r="B141" s="38">
        <v>43546</v>
      </c>
      <c r="C141" s="34" t="s">
        <v>854</v>
      </c>
      <c r="D141" s="38"/>
    </row>
    <row r="142" spans="2:4">
      <c r="B142" s="38">
        <v>43549</v>
      </c>
      <c r="C142" s="34" t="s">
        <v>855</v>
      </c>
      <c r="D142" s="38"/>
    </row>
    <row r="143" spans="2:4">
      <c r="B143" s="38">
        <v>43550</v>
      </c>
      <c r="C143" s="34" t="s">
        <v>856</v>
      </c>
      <c r="D143" s="38"/>
    </row>
    <row r="144" spans="2:4">
      <c r="B144" s="38">
        <v>43551</v>
      </c>
      <c r="C144" s="34" t="s">
        <v>857</v>
      </c>
      <c r="D144" s="38"/>
    </row>
    <row r="145" spans="2:4">
      <c r="B145" s="38">
        <v>43552</v>
      </c>
      <c r="C145" s="34" t="s">
        <v>858</v>
      </c>
      <c r="D145" s="38"/>
    </row>
    <row r="146" spans="2:4">
      <c r="B146" s="38">
        <v>43553</v>
      </c>
      <c r="C146" s="34" t="s">
        <v>859</v>
      </c>
      <c r="D146" s="38"/>
    </row>
    <row r="147" spans="2:4">
      <c r="B147" s="38">
        <v>43556</v>
      </c>
      <c r="C147" s="34" t="s">
        <v>860</v>
      </c>
      <c r="D147" s="38"/>
    </row>
    <row r="148" spans="2:4">
      <c r="B148" s="38">
        <v>43557</v>
      </c>
      <c r="C148" s="34" t="s">
        <v>861</v>
      </c>
      <c r="D148" s="38"/>
    </row>
    <row r="149" spans="2:4">
      <c r="B149" s="38">
        <v>43558</v>
      </c>
      <c r="C149" s="34" t="s">
        <v>862</v>
      </c>
      <c r="D149" s="38"/>
    </row>
    <row r="150" spans="2:4">
      <c r="B150" s="38">
        <v>43559</v>
      </c>
      <c r="C150" s="34" t="s">
        <v>744</v>
      </c>
      <c r="D150" s="38"/>
    </row>
    <row r="151" spans="2:4">
      <c r="B151" s="38">
        <v>43560</v>
      </c>
      <c r="C151" s="34" t="s">
        <v>863</v>
      </c>
      <c r="D151" s="38"/>
    </row>
    <row r="152" spans="2:4">
      <c r="B152" s="38">
        <v>43563</v>
      </c>
      <c r="C152" s="34" t="s">
        <v>864</v>
      </c>
      <c r="D152" s="38"/>
    </row>
    <row r="153" spans="2:4">
      <c r="B153" s="38">
        <v>43564</v>
      </c>
      <c r="C153" s="34" t="s">
        <v>865</v>
      </c>
      <c r="D153" s="38"/>
    </row>
    <row r="154" spans="2:4">
      <c r="B154" s="38">
        <v>43565</v>
      </c>
      <c r="C154" s="34" t="s">
        <v>866</v>
      </c>
      <c r="D154" s="38"/>
    </row>
    <row r="155" spans="2:4">
      <c r="B155" s="38">
        <v>43566</v>
      </c>
      <c r="C155" s="34" t="s">
        <v>867</v>
      </c>
      <c r="D155" s="38"/>
    </row>
    <row r="156" spans="2:4">
      <c r="B156" s="38">
        <v>43567</v>
      </c>
      <c r="C156" s="34" t="s">
        <v>863</v>
      </c>
      <c r="D156" s="38"/>
    </row>
    <row r="157" spans="2:4">
      <c r="B157" s="38">
        <v>43570</v>
      </c>
      <c r="C157" s="34" t="s">
        <v>868</v>
      </c>
      <c r="D157" s="38"/>
    </row>
    <row r="158" spans="2:4">
      <c r="B158" s="38">
        <v>43571</v>
      </c>
      <c r="C158" s="34" t="s">
        <v>869</v>
      </c>
      <c r="D158" s="38"/>
    </row>
    <row r="159" spans="2:4">
      <c r="B159" s="38">
        <v>43572</v>
      </c>
      <c r="C159" s="34" t="s">
        <v>870</v>
      </c>
      <c r="D159" s="38"/>
    </row>
    <row r="160" spans="2:4">
      <c r="B160" s="38">
        <v>43573</v>
      </c>
      <c r="C160" s="34" t="s">
        <v>871</v>
      </c>
      <c r="D160" s="38"/>
    </row>
    <row r="161" spans="2:4">
      <c r="B161" s="38">
        <v>43574</v>
      </c>
      <c r="C161" s="34" t="s">
        <v>871</v>
      </c>
      <c r="D161" s="38"/>
    </row>
    <row r="162" spans="2:4">
      <c r="B162" s="38">
        <v>43577</v>
      </c>
      <c r="C162" s="34" t="s">
        <v>867</v>
      </c>
      <c r="D162" s="38"/>
    </row>
    <row r="163" spans="2:4">
      <c r="B163" s="38">
        <v>43579</v>
      </c>
      <c r="C163" s="34" t="s">
        <v>872</v>
      </c>
      <c r="D163" s="38"/>
    </row>
    <row r="164" spans="2:4">
      <c r="B164" s="38">
        <v>43580</v>
      </c>
      <c r="C164" s="34" t="s">
        <v>873</v>
      </c>
      <c r="D164" s="38"/>
    </row>
    <row r="165" spans="2:4">
      <c r="B165" s="38">
        <v>43581</v>
      </c>
      <c r="C165" s="34" t="s">
        <v>874</v>
      </c>
      <c r="D165" s="38"/>
    </row>
    <row r="166" spans="2:4">
      <c r="B166" s="38">
        <v>43584</v>
      </c>
      <c r="C166" s="34" t="s">
        <v>875</v>
      </c>
      <c r="D166" s="38"/>
    </row>
    <row r="167" spans="2:4">
      <c r="B167" s="38">
        <v>43585</v>
      </c>
      <c r="C167" s="34" t="s">
        <v>876</v>
      </c>
      <c r="D167" s="38"/>
    </row>
    <row r="168" spans="2:4">
      <c r="B168" s="38">
        <v>43586</v>
      </c>
      <c r="C168" s="34" t="s">
        <v>877</v>
      </c>
      <c r="D168" s="38"/>
    </row>
    <row r="169" spans="2:4">
      <c r="B169" s="38">
        <v>43587</v>
      </c>
      <c r="C169" s="34" t="s">
        <v>878</v>
      </c>
      <c r="D169" s="38"/>
    </row>
    <row r="170" spans="2:4">
      <c r="B170" s="38">
        <v>43588</v>
      </c>
      <c r="C170" s="34" t="s">
        <v>879</v>
      </c>
      <c r="D170" s="38"/>
    </row>
    <row r="171" spans="2:4">
      <c r="B171" s="38">
        <v>43591</v>
      </c>
      <c r="C171" s="34" t="s">
        <v>880</v>
      </c>
      <c r="D171" s="38"/>
    </row>
    <row r="172" spans="2:4">
      <c r="B172" s="38">
        <v>43592</v>
      </c>
      <c r="C172" s="34" t="s">
        <v>860</v>
      </c>
      <c r="D172" s="38"/>
    </row>
    <row r="173" spans="2:4">
      <c r="B173" s="38">
        <v>43593</v>
      </c>
      <c r="C173" s="34" t="s">
        <v>881</v>
      </c>
      <c r="D173" s="38"/>
    </row>
    <row r="174" spans="2:4">
      <c r="B174" s="38">
        <v>43594</v>
      </c>
      <c r="C174" s="34" t="s">
        <v>882</v>
      </c>
      <c r="D174" s="38"/>
    </row>
    <row r="175" spans="2:4">
      <c r="B175" s="38">
        <v>43595</v>
      </c>
      <c r="C175" s="34" t="s">
        <v>883</v>
      </c>
      <c r="D175" s="38"/>
    </row>
    <row r="176" spans="2:4">
      <c r="B176" s="38">
        <v>43598</v>
      </c>
      <c r="C176" s="34" t="s">
        <v>884</v>
      </c>
      <c r="D176" s="38"/>
    </row>
    <row r="177" spans="2:4">
      <c r="B177" s="38">
        <v>43599</v>
      </c>
      <c r="C177" s="34" t="s">
        <v>885</v>
      </c>
      <c r="D177" s="38"/>
    </row>
    <row r="178" spans="2:4">
      <c r="B178" s="38">
        <v>43600</v>
      </c>
      <c r="C178" s="34" t="s">
        <v>741</v>
      </c>
      <c r="D178" s="38"/>
    </row>
    <row r="179" spans="2:4">
      <c r="B179" s="38">
        <v>43601</v>
      </c>
      <c r="C179" s="34" t="s">
        <v>853</v>
      </c>
      <c r="D179" s="38"/>
    </row>
    <row r="180" spans="2:4">
      <c r="B180" s="38">
        <v>43602</v>
      </c>
      <c r="C180" s="34" t="s">
        <v>852</v>
      </c>
      <c r="D180" s="38"/>
    </row>
    <row r="181" spans="2:4">
      <c r="B181" s="38">
        <v>43605</v>
      </c>
      <c r="C181" s="34" t="s">
        <v>886</v>
      </c>
      <c r="D181" s="38"/>
    </row>
    <row r="182" spans="2:4">
      <c r="B182" s="38">
        <v>43606</v>
      </c>
      <c r="C182" s="34" t="s">
        <v>887</v>
      </c>
      <c r="D182" s="38"/>
    </row>
    <row r="183" spans="2:4">
      <c r="B183" s="38">
        <v>43607</v>
      </c>
      <c r="C183" s="34" t="s">
        <v>750</v>
      </c>
      <c r="D183" s="38"/>
    </row>
    <row r="184" spans="2:4">
      <c r="B184" s="38">
        <v>43608</v>
      </c>
      <c r="C184" s="34" t="s">
        <v>735</v>
      </c>
      <c r="D184" s="38"/>
    </row>
    <row r="185" spans="2:4">
      <c r="B185" s="38">
        <v>43609</v>
      </c>
      <c r="C185" s="34" t="s">
        <v>887</v>
      </c>
      <c r="D185" s="38"/>
    </row>
    <row r="186" spans="2:4">
      <c r="B186" s="38">
        <v>43612</v>
      </c>
      <c r="C186" s="34" t="s">
        <v>887</v>
      </c>
      <c r="D186" s="38"/>
    </row>
    <row r="187" spans="2:4">
      <c r="B187" s="38">
        <v>43613</v>
      </c>
      <c r="C187" s="34" t="s">
        <v>850</v>
      </c>
      <c r="D187" s="38"/>
    </row>
    <row r="188" spans="2:4">
      <c r="B188" s="38">
        <v>43614</v>
      </c>
      <c r="C188" s="34" t="s">
        <v>888</v>
      </c>
      <c r="D188" s="38"/>
    </row>
    <row r="189" spans="2:4">
      <c r="B189" s="38">
        <v>43615</v>
      </c>
      <c r="C189" s="34" t="s">
        <v>889</v>
      </c>
      <c r="D189" s="38"/>
    </row>
    <row r="190" spans="2:4">
      <c r="B190" s="38">
        <v>43616</v>
      </c>
      <c r="C190" s="34" t="s">
        <v>890</v>
      </c>
      <c r="D190" s="38"/>
    </row>
    <row r="191" spans="2:4">
      <c r="B191" s="38">
        <v>43619</v>
      </c>
      <c r="C191" s="34" t="s">
        <v>891</v>
      </c>
      <c r="D191" s="38"/>
    </row>
    <row r="192" spans="2:4">
      <c r="B192" s="38">
        <v>43620</v>
      </c>
      <c r="C192" s="34" t="s">
        <v>892</v>
      </c>
      <c r="D192" s="38"/>
    </row>
    <row r="193" spans="2:4">
      <c r="B193" s="38">
        <v>43621</v>
      </c>
      <c r="C193" s="34" t="s">
        <v>893</v>
      </c>
      <c r="D193" s="38"/>
    </row>
    <row r="194" spans="2:4">
      <c r="B194" s="38">
        <v>43622</v>
      </c>
      <c r="C194" s="34" t="s">
        <v>878</v>
      </c>
      <c r="D194" s="38"/>
    </row>
    <row r="195" spans="2:4">
      <c r="B195" s="38">
        <v>43623</v>
      </c>
      <c r="C195" s="34" t="s">
        <v>894</v>
      </c>
      <c r="D195" s="38"/>
    </row>
    <row r="196" spans="2:4">
      <c r="B196" s="38">
        <v>43626</v>
      </c>
      <c r="C196" s="34" t="s">
        <v>895</v>
      </c>
      <c r="D196" s="38"/>
    </row>
    <row r="197" spans="2:4">
      <c r="B197" s="38">
        <v>43627</v>
      </c>
      <c r="C197" s="34" t="s">
        <v>896</v>
      </c>
      <c r="D197" s="38"/>
    </row>
    <row r="198" spans="2:4">
      <c r="B198" s="38">
        <v>43628</v>
      </c>
      <c r="C198" s="34" t="s">
        <v>874</v>
      </c>
      <c r="D198" s="38"/>
    </row>
    <row r="199" spans="2:4">
      <c r="B199" s="38">
        <v>43629</v>
      </c>
      <c r="C199" s="34" t="s">
        <v>897</v>
      </c>
      <c r="D199" s="38"/>
    </row>
    <row r="200" spans="2:4">
      <c r="B200" s="38">
        <v>43630</v>
      </c>
      <c r="C200" s="34" t="s">
        <v>879</v>
      </c>
      <c r="D200" s="38"/>
    </row>
    <row r="201" spans="2:4">
      <c r="B201" s="38">
        <v>43633</v>
      </c>
      <c r="C201" s="34" t="s">
        <v>898</v>
      </c>
      <c r="D201" s="38"/>
    </row>
    <row r="202" spans="2:4">
      <c r="B202" s="38">
        <v>43634</v>
      </c>
      <c r="C202" s="34" t="s">
        <v>899</v>
      </c>
      <c r="D202" s="38"/>
    </row>
    <row r="203" spans="2:4">
      <c r="B203" s="38">
        <v>43635</v>
      </c>
      <c r="C203" s="34" t="s">
        <v>900</v>
      </c>
      <c r="D203" s="38"/>
    </row>
    <row r="204" spans="2:4">
      <c r="B204" s="38">
        <v>43636</v>
      </c>
      <c r="C204" s="34" t="s">
        <v>901</v>
      </c>
      <c r="D204" s="38"/>
    </row>
    <row r="205" spans="2:4">
      <c r="B205" s="38">
        <v>43637</v>
      </c>
      <c r="C205" s="34" t="s">
        <v>902</v>
      </c>
      <c r="D205" s="38"/>
    </row>
    <row r="206" spans="2:4">
      <c r="B206" s="38">
        <v>43640</v>
      </c>
      <c r="C206" s="34" t="s">
        <v>903</v>
      </c>
      <c r="D206" s="38"/>
    </row>
    <row r="207" spans="2:4">
      <c r="B207" s="38">
        <v>43641</v>
      </c>
      <c r="C207" s="34" t="s">
        <v>904</v>
      </c>
      <c r="D207" s="38"/>
    </row>
    <row r="208" spans="2:4">
      <c r="B208" s="38">
        <v>43642</v>
      </c>
      <c r="C208" s="34" t="s">
        <v>905</v>
      </c>
      <c r="D208" s="38"/>
    </row>
    <row r="209" spans="2:4">
      <c r="B209" s="38">
        <v>43643</v>
      </c>
      <c r="C209" s="34" t="s">
        <v>906</v>
      </c>
      <c r="D209" s="38"/>
    </row>
    <row r="210" spans="2:4">
      <c r="B210" s="38">
        <v>43644</v>
      </c>
      <c r="C210" s="34" t="s">
        <v>907</v>
      </c>
      <c r="D210" s="38"/>
    </row>
    <row r="211" spans="2:4">
      <c r="B211" s="38">
        <v>43647</v>
      </c>
      <c r="C211" s="34" t="s">
        <v>908</v>
      </c>
      <c r="D211" s="38"/>
    </row>
    <row r="212" spans="2:4">
      <c r="B212" s="38">
        <v>43648</v>
      </c>
      <c r="C212" s="34" t="s">
        <v>909</v>
      </c>
      <c r="D212" s="38"/>
    </row>
    <row r="213" spans="2:4">
      <c r="B213" s="38">
        <v>43649</v>
      </c>
      <c r="C213" s="34" t="s">
        <v>910</v>
      </c>
      <c r="D213" s="38"/>
    </row>
    <row r="214" spans="2:4">
      <c r="B214" s="38">
        <v>43650</v>
      </c>
      <c r="C214" s="34" t="s">
        <v>910</v>
      </c>
      <c r="D214" s="38"/>
    </row>
    <row r="215" spans="2:4">
      <c r="B215" s="38">
        <v>43651</v>
      </c>
      <c r="C215" s="34" t="s">
        <v>911</v>
      </c>
      <c r="D215" s="38"/>
    </row>
    <row r="216" spans="2:4">
      <c r="B216" s="38">
        <v>43654</v>
      </c>
      <c r="C216" s="34" t="s">
        <v>907</v>
      </c>
      <c r="D216" s="38"/>
    </row>
    <row r="217" spans="2:4">
      <c r="B217" s="38">
        <v>43655</v>
      </c>
      <c r="C217" s="34" t="s">
        <v>912</v>
      </c>
      <c r="D217" s="38"/>
    </row>
    <row r="218" spans="2:4">
      <c r="B218" s="38">
        <v>43656</v>
      </c>
      <c r="C218" s="34" t="s">
        <v>913</v>
      </c>
      <c r="D218" s="38"/>
    </row>
    <row r="219" spans="2:4">
      <c r="B219" s="38">
        <v>43657</v>
      </c>
      <c r="C219" s="34" t="s">
        <v>914</v>
      </c>
      <c r="D219" s="38"/>
    </row>
    <row r="220" spans="2:4">
      <c r="B220" s="38">
        <v>43658</v>
      </c>
      <c r="C220" s="34" t="s">
        <v>915</v>
      </c>
      <c r="D220" s="38"/>
    </row>
    <row r="221" spans="2:4">
      <c r="B221" s="38">
        <v>43661</v>
      </c>
      <c r="C221" s="34" t="s">
        <v>916</v>
      </c>
      <c r="D221" s="38"/>
    </row>
    <row r="222" spans="2:4">
      <c r="B222" s="38">
        <v>43662</v>
      </c>
      <c r="C222" s="34" t="s">
        <v>907</v>
      </c>
      <c r="D222" s="38"/>
    </row>
    <row r="223" spans="2:4">
      <c r="B223" s="38">
        <v>43663</v>
      </c>
      <c r="C223" s="34" t="s">
        <v>917</v>
      </c>
      <c r="D223" s="38"/>
    </row>
    <row r="224" spans="2:4">
      <c r="B224" s="38">
        <v>43664</v>
      </c>
      <c r="C224" s="34" t="s">
        <v>911</v>
      </c>
      <c r="D224" s="38"/>
    </row>
    <row r="225" spans="2:4">
      <c r="B225" s="38">
        <v>43665</v>
      </c>
      <c r="C225" s="34" t="s">
        <v>912</v>
      </c>
      <c r="D225" s="38"/>
    </row>
    <row r="226" spans="2:4">
      <c r="B226" s="38">
        <v>43668</v>
      </c>
      <c r="C226" s="34" t="s">
        <v>918</v>
      </c>
      <c r="D226" s="38"/>
    </row>
    <row r="227" spans="2:4">
      <c r="B227" s="38">
        <v>43669</v>
      </c>
      <c r="C227" s="34" t="s">
        <v>919</v>
      </c>
      <c r="D227" s="38"/>
    </row>
    <row r="228" spans="2:4">
      <c r="B228" s="38">
        <v>43670</v>
      </c>
      <c r="C228" s="34" t="s">
        <v>920</v>
      </c>
      <c r="D228" s="38"/>
    </row>
    <row r="229" spans="2:4">
      <c r="B229" s="38">
        <v>43671</v>
      </c>
      <c r="C229" s="34" t="s">
        <v>921</v>
      </c>
      <c r="D229" s="38"/>
    </row>
    <row r="230" spans="2:4">
      <c r="B230" s="38">
        <v>43672</v>
      </c>
      <c r="C230" s="34" t="s">
        <v>922</v>
      </c>
      <c r="D230" s="38"/>
    </row>
    <row r="231" spans="2:4">
      <c r="B231" s="38">
        <v>43675</v>
      </c>
      <c r="C231" s="34" t="s">
        <v>923</v>
      </c>
      <c r="D231" s="38"/>
    </row>
    <row r="232" spans="2:4">
      <c r="B232" s="38">
        <v>43676</v>
      </c>
      <c r="C232" s="34" t="s">
        <v>924</v>
      </c>
      <c r="D232" s="38"/>
    </row>
    <row r="233" spans="2:4">
      <c r="B233" s="38">
        <v>43677</v>
      </c>
      <c r="C233" s="34" t="s">
        <v>902</v>
      </c>
      <c r="D233" s="38"/>
    </row>
    <row r="234" spans="2:4">
      <c r="B234" s="38">
        <v>43678</v>
      </c>
      <c r="C234" s="34" t="s">
        <v>925</v>
      </c>
      <c r="D234" s="38"/>
    </row>
    <row r="235" spans="2:4">
      <c r="B235" s="38">
        <v>43679</v>
      </c>
      <c r="C235" s="34" t="s">
        <v>926</v>
      </c>
      <c r="D235" s="38"/>
    </row>
    <row r="236" spans="2:4">
      <c r="B236" s="38">
        <v>43682</v>
      </c>
      <c r="C236" s="34" t="s">
        <v>927</v>
      </c>
      <c r="D236" s="38"/>
    </row>
    <row r="237" spans="2:4">
      <c r="B237" s="38">
        <v>43683</v>
      </c>
      <c r="C237" s="34" t="s">
        <v>928</v>
      </c>
      <c r="D237" s="38"/>
    </row>
    <row r="238" spans="2:4">
      <c r="B238" s="38">
        <v>43684</v>
      </c>
      <c r="C238" s="34" t="s">
        <v>929</v>
      </c>
      <c r="D238" s="38"/>
    </row>
    <row r="239" spans="2:4">
      <c r="B239" s="38">
        <v>43685</v>
      </c>
      <c r="C239" s="34" t="s">
        <v>912</v>
      </c>
      <c r="D239" s="38"/>
    </row>
    <row r="240" spans="2:4">
      <c r="B240" s="38">
        <v>43686</v>
      </c>
      <c r="C240" s="34" t="s">
        <v>930</v>
      </c>
      <c r="D240" s="38"/>
    </row>
    <row r="241" spans="2:4">
      <c r="B241" s="38">
        <v>43689</v>
      </c>
      <c r="C241" s="34" t="s">
        <v>931</v>
      </c>
      <c r="D241" s="38"/>
    </row>
    <row r="242" spans="2:4">
      <c r="B242" s="38">
        <v>43690</v>
      </c>
      <c r="C242" s="34" t="s">
        <v>904</v>
      </c>
      <c r="D242" s="38"/>
    </row>
    <row r="243" spans="2:4">
      <c r="B243" s="38">
        <v>43691</v>
      </c>
      <c r="C243" s="34" t="s">
        <v>932</v>
      </c>
      <c r="D243" s="38"/>
    </row>
    <row r="244" spans="2:4">
      <c r="B244" s="38">
        <v>43692</v>
      </c>
      <c r="C244" s="34" t="s">
        <v>933</v>
      </c>
      <c r="D244" s="38"/>
    </row>
    <row r="245" spans="2:4">
      <c r="B245" s="38">
        <v>43693</v>
      </c>
      <c r="C245" s="34" t="s">
        <v>934</v>
      </c>
      <c r="D245" s="38"/>
    </row>
    <row r="246" spans="2:4">
      <c r="B246" s="38">
        <v>43696</v>
      </c>
      <c r="C246" s="34" t="s">
        <v>935</v>
      </c>
      <c r="D246" s="38"/>
    </row>
    <row r="247" spans="2:4">
      <c r="B247" s="38">
        <v>43697</v>
      </c>
      <c r="C247" s="34" t="s">
        <v>936</v>
      </c>
      <c r="D247" s="38"/>
    </row>
    <row r="248" spans="2:4">
      <c r="B248" s="38">
        <v>43698</v>
      </c>
      <c r="C248" s="34" t="s">
        <v>936</v>
      </c>
      <c r="D248" s="38"/>
    </row>
    <row r="249" spans="2:4">
      <c r="B249" s="38">
        <v>43699</v>
      </c>
      <c r="C249" s="34" t="s">
        <v>906</v>
      </c>
      <c r="D249" s="38"/>
    </row>
    <row r="250" spans="2:4">
      <c r="B250" s="38">
        <v>43700</v>
      </c>
      <c r="C250" s="34" t="s">
        <v>937</v>
      </c>
      <c r="D250" s="38"/>
    </row>
    <row r="251" spans="2:4">
      <c r="B251" s="38">
        <v>43703</v>
      </c>
      <c r="C251" s="34" t="s">
        <v>938</v>
      </c>
      <c r="D251" s="38"/>
    </row>
    <row r="252" spans="2:4">
      <c r="B252" s="38">
        <v>43704</v>
      </c>
      <c r="C252" s="34" t="s">
        <v>925</v>
      </c>
      <c r="D252" s="38"/>
    </row>
    <row r="253" spans="2:4">
      <c r="B253" s="38">
        <v>43705</v>
      </c>
      <c r="C253" s="34" t="s">
        <v>939</v>
      </c>
      <c r="D253" s="38"/>
    </row>
    <row r="254" spans="2:4">
      <c r="B254" s="38">
        <v>43706</v>
      </c>
      <c r="C254" s="34" t="s">
        <v>940</v>
      </c>
      <c r="D254" s="38"/>
    </row>
    <row r="255" spans="2:4">
      <c r="B255" s="38">
        <v>43707</v>
      </c>
      <c r="C255" s="34" t="s">
        <v>922</v>
      </c>
      <c r="D255" s="38"/>
    </row>
    <row r="256" spans="2:4">
      <c r="B256" s="38">
        <v>43710</v>
      </c>
      <c r="C256" s="34" t="s">
        <v>922</v>
      </c>
      <c r="D256" s="38"/>
    </row>
    <row r="257" spans="2:4">
      <c r="B257" s="38">
        <v>43711</v>
      </c>
      <c r="C257" s="34" t="s">
        <v>911</v>
      </c>
      <c r="D257" s="38"/>
    </row>
    <row r="258" spans="2:4">
      <c r="B258" s="38">
        <v>43712</v>
      </c>
      <c r="C258" s="34" t="s">
        <v>941</v>
      </c>
      <c r="D258" s="38"/>
    </row>
    <row r="259" spans="2:4">
      <c r="B259" s="38">
        <v>43713</v>
      </c>
      <c r="C259" s="34" t="s">
        <v>942</v>
      </c>
      <c r="D259" s="38"/>
    </row>
    <row r="260" spans="2:4">
      <c r="B260" s="38">
        <v>43714</v>
      </c>
      <c r="C260" s="34" t="s">
        <v>943</v>
      </c>
      <c r="D260" s="38"/>
    </row>
    <row r="261" spans="2:4">
      <c r="B261" s="38">
        <v>43717</v>
      </c>
      <c r="C261" s="34" t="s">
        <v>944</v>
      </c>
      <c r="D261" s="38"/>
    </row>
    <row r="262" spans="2:4">
      <c r="B262" s="38">
        <v>43718</v>
      </c>
      <c r="C262" s="34" t="s">
        <v>945</v>
      </c>
      <c r="D262" s="38"/>
    </row>
    <row r="263" spans="2:4">
      <c r="B263" s="38">
        <v>43719</v>
      </c>
      <c r="C263" s="34" t="s">
        <v>946</v>
      </c>
      <c r="D263" s="38"/>
    </row>
    <row r="264" spans="2:4">
      <c r="B264" s="38">
        <v>43720</v>
      </c>
      <c r="C264" s="34" t="s">
        <v>916</v>
      </c>
      <c r="D264" s="38"/>
    </row>
    <row r="265" spans="2:4">
      <c r="B265" s="38">
        <v>43721</v>
      </c>
      <c r="C265" s="34" t="s">
        <v>902</v>
      </c>
      <c r="D265" s="38"/>
    </row>
    <row r="266" spans="2:4">
      <c r="B266" s="38">
        <v>43724</v>
      </c>
      <c r="C266" s="34" t="s">
        <v>947</v>
      </c>
      <c r="D266" s="38"/>
    </row>
    <row r="267" spans="2:4">
      <c r="B267" s="38">
        <v>43725</v>
      </c>
      <c r="C267" s="34" t="s">
        <v>921</v>
      </c>
      <c r="D267" s="38"/>
    </row>
    <row r="268" spans="2:4">
      <c r="B268" s="38">
        <v>43726</v>
      </c>
      <c r="C268" s="34" t="s">
        <v>948</v>
      </c>
      <c r="D268" s="38"/>
    </row>
    <row r="269" spans="2:4">
      <c r="B269" s="38">
        <v>43727</v>
      </c>
      <c r="C269" s="34" t="s">
        <v>945</v>
      </c>
      <c r="D269" s="38"/>
    </row>
    <row r="270" spans="2:4">
      <c r="B270" s="38">
        <v>43728</v>
      </c>
      <c r="C270" s="34" t="s">
        <v>908</v>
      </c>
      <c r="D270" s="38"/>
    </row>
    <row r="271" spans="2:4">
      <c r="B271" s="38">
        <v>43731</v>
      </c>
      <c r="C271" s="34" t="s">
        <v>940</v>
      </c>
      <c r="D271" s="38"/>
    </row>
    <row r="272" spans="2:4">
      <c r="B272" s="38">
        <v>43732</v>
      </c>
      <c r="C272" s="34" t="s">
        <v>949</v>
      </c>
      <c r="D272" s="38"/>
    </row>
    <row r="273" spans="2:4">
      <c r="B273" s="38">
        <v>43733</v>
      </c>
      <c r="C273" s="34" t="s">
        <v>918</v>
      </c>
      <c r="D273" s="38"/>
    </row>
    <row r="274" spans="2:4">
      <c r="B274" s="38">
        <v>43734</v>
      </c>
      <c r="C274" s="34" t="s">
        <v>950</v>
      </c>
      <c r="D274" s="38"/>
    </row>
    <row r="275" spans="2:4">
      <c r="B275" s="38">
        <v>43735</v>
      </c>
      <c r="C275" s="34" t="s">
        <v>912</v>
      </c>
      <c r="D275" s="38"/>
    </row>
    <row r="276" spans="2:4">
      <c r="B276" s="38">
        <v>43738</v>
      </c>
      <c r="C276" s="34" t="s">
        <v>924</v>
      </c>
      <c r="D276" s="38"/>
    </row>
    <row r="277" spans="2:4">
      <c r="B277" s="38">
        <v>43739</v>
      </c>
      <c r="C277" s="34" t="s">
        <v>951</v>
      </c>
      <c r="D277" s="38"/>
    </row>
    <row r="278" spans="2:4">
      <c r="B278" s="38">
        <v>43740</v>
      </c>
      <c r="C278" s="34" t="s">
        <v>952</v>
      </c>
      <c r="D278" s="38"/>
    </row>
    <row r="279" spans="2:4">
      <c r="B279" s="38">
        <v>43741</v>
      </c>
      <c r="C279" s="34" t="s">
        <v>948</v>
      </c>
      <c r="D279" s="38"/>
    </row>
    <row r="280" spans="2:4">
      <c r="B280" s="38">
        <v>43742</v>
      </c>
      <c r="C280" s="34" t="s">
        <v>953</v>
      </c>
      <c r="D280" s="38"/>
    </row>
    <row r="281" spans="2:4">
      <c r="B281" s="38">
        <v>43745</v>
      </c>
      <c r="C281" s="34" t="s">
        <v>908</v>
      </c>
      <c r="D281" s="38"/>
    </row>
    <row r="282" spans="2:4">
      <c r="B282" s="38">
        <v>43746</v>
      </c>
      <c r="C282" s="34" t="s">
        <v>954</v>
      </c>
      <c r="D282" s="38"/>
    </row>
    <row r="283" spans="2:4">
      <c r="B283" s="38">
        <v>43747</v>
      </c>
      <c r="C283" s="34" t="s">
        <v>936</v>
      </c>
      <c r="D283" s="38"/>
    </row>
    <row r="284" spans="2:4">
      <c r="B284" s="38">
        <v>43748</v>
      </c>
      <c r="C284" s="34" t="s">
        <v>955</v>
      </c>
      <c r="D284" s="38"/>
    </row>
    <row r="285" spans="2:4">
      <c r="B285" s="38">
        <v>43749</v>
      </c>
      <c r="C285" s="34" t="s">
        <v>948</v>
      </c>
      <c r="D285" s="38"/>
    </row>
    <row r="286" spans="2:4">
      <c r="B286" s="38">
        <v>43752</v>
      </c>
      <c r="C286" s="34" t="s">
        <v>945</v>
      </c>
      <c r="D286" s="38"/>
    </row>
    <row r="287" spans="2:4">
      <c r="B287" s="38">
        <v>43753</v>
      </c>
      <c r="C287" s="34" t="s">
        <v>940</v>
      </c>
      <c r="D287" s="38"/>
    </row>
    <row r="288" spans="2:4">
      <c r="B288" s="38">
        <v>43754</v>
      </c>
      <c r="C288" s="34" t="s">
        <v>956</v>
      </c>
      <c r="D288" s="38"/>
    </row>
    <row r="289" spans="2:4">
      <c r="B289" s="38">
        <v>43755</v>
      </c>
      <c r="C289" s="34" t="s">
        <v>957</v>
      </c>
      <c r="D289" s="38"/>
    </row>
    <row r="290" spans="2:4">
      <c r="B290" s="38">
        <v>43756</v>
      </c>
      <c r="C290" s="34" t="s">
        <v>958</v>
      </c>
      <c r="D290" s="38"/>
    </row>
    <row r="291" spans="2:4">
      <c r="B291" s="38">
        <v>43759</v>
      </c>
      <c r="C291" s="34" t="s">
        <v>920</v>
      </c>
      <c r="D291" s="38"/>
    </row>
    <row r="292" spans="2:4">
      <c r="B292" s="38">
        <v>43760</v>
      </c>
      <c r="C292" s="34" t="s">
        <v>957</v>
      </c>
      <c r="D292" s="38"/>
    </row>
    <row r="293" spans="2:4">
      <c r="B293" s="38">
        <v>43761</v>
      </c>
      <c r="C293" s="34" t="s">
        <v>959</v>
      </c>
      <c r="D293" s="38"/>
    </row>
    <row r="294" spans="2:4">
      <c r="B294" s="38">
        <v>43762</v>
      </c>
      <c r="C294" s="34" t="s">
        <v>960</v>
      </c>
      <c r="D294" s="38"/>
    </row>
    <row r="295" spans="2:4">
      <c r="B295" s="38">
        <v>43763</v>
      </c>
      <c r="C295" s="34" t="s">
        <v>961</v>
      </c>
      <c r="D295" s="38"/>
    </row>
    <row r="296" spans="2:4">
      <c r="B296" s="38">
        <v>43766</v>
      </c>
      <c r="C296" s="34" t="s">
        <v>910</v>
      </c>
      <c r="D296" s="38"/>
    </row>
    <row r="297" spans="2:4">
      <c r="B297" s="38">
        <v>43767</v>
      </c>
      <c r="C297" s="34" t="s">
        <v>962</v>
      </c>
      <c r="D297" s="38"/>
    </row>
    <row r="298" spans="2:4">
      <c r="B298" s="38">
        <v>43768</v>
      </c>
      <c r="C298" s="34" t="s">
        <v>963</v>
      </c>
      <c r="D298" s="38"/>
    </row>
    <row r="299" spans="2:4">
      <c r="B299" s="38">
        <v>43769</v>
      </c>
      <c r="C299" s="34" t="s">
        <v>964</v>
      </c>
      <c r="D299" s="38"/>
    </row>
    <row r="300" spans="2:4">
      <c r="B300" s="38">
        <v>43770</v>
      </c>
      <c r="C300" s="34" t="s">
        <v>965</v>
      </c>
      <c r="D300" s="38"/>
    </row>
    <row r="301" spans="2:4">
      <c r="B301" s="38">
        <v>43773</v>
      </c>
      <c r="C301" s="34" t="s">
        <v>966</v>
      </c>
      <c r="D301" s="38"/>
    </row>
    <row r="302" spans="2:4">
      <c r="B302" s="38">
        <v>43774</v>
      </c>
      <c r="C302" s="34" t="s">
        <v>967</v>
      </c>
      <c r="D302" s="38"/>
    </row>
    <row r="303" spans="2:4">
      <c r="B303" s="38">
        <v>43775</v>
      </c>
      <c r="C303" s="34" t="s">
        <v>968</v>
      </c>
      <c r="D303" s="38"/>
    </row>
    <row r="304" spans="2:4">
      <c r="B304" s="38">
        <v>43776</v>
      </c>
      <c r="C304" s="34" t="s">
        <v>969</v>
      </c>
      <c r="D304" s="38"/>
    </row>
    <row r="305" spans="2:4">
      <c r="B305" s="38">
        <v>43777</v>
      </c>
      <c r="C305" s="34" t="s">
        <v>970</v>
      </c>
      <c r="D305" s="38"/>
    </row>
    <row r="306" spans="2:4">
      <c r="B306" s="38">
        <v>43780</v>
      </c>
      <c r="C306" s="34" t="s">
        <v>971</v>
      </c>
      <c r="D306" s="38"/>
    </row>
    <row r="307" spans="2:4">
      <c r="B307" s="38">
        <v>43781</v>
      </c>
      <c r="C307" s="34" t="s">
        <v>972</v>
      </c>
      <c r="D307" s="38"/>
    </row>
    <row r="308" spans="2:4">
      <c r="B308" s="38">
        <v>43782</v>
      </c>
      <c r="C308" s="34" t="s">
        <v>970</v>
      </c>
      <c r="D308" s="38"/>
    </row>
    <row r="309" spans="2:4">
      <c r="B309" s="38">
        <v>43783</v>
      </c>
      <c r="C309" s="34" t="s">
        <v>973</v>
      </c>
      <c r="D309" s="38"/>
    </row>
    <row r="310" spans="2:4">
      <c r="B310" s="38">
        <v>43784</v>
      </c>
      <c r="C310" s="34" t="s">
        <v>974</v>
      </c>
      <c r="D310" s="38"/>
    </row>
    <row r="311" spans="2:4">
      <c r="B311" s="38">
        <v>43787</v>
      </c>
      <c r="C311" s="34" t="s">
        <v>975</v>
      </c>
      <c r="D311" s="38"/>
    </row>
    <row r="312" spans="2:4">
      <c r="B312" s="38">
        <v>43788</v>
      </c>
      <c r="C312" s="34" t="s">
        <v>976</v>
      </c>
      <c r="D312" s="38"/>
    </row>
    <row r="313" spans="2:4">
      <c r="B313" s="38">
        <v>43789</v>
      </c>
      <c r="C313" s="34" t="s">
        <v>977</v>
      </c>
      <c r="D313" s="38"/>
    </row>
    <row r="314" spans="2:4">
      <c r="B314" s="38">
        <v>43790</v>
      </c>
      <c r="C314" s="34" t="s">
        <v>978</v>
      </c>
      <c r="D314" s="38"/>
    </row>
    <row r="315" spans="2:4">
      <c r="B315" s="38">
        <v>43791</v>
      </c>
      <c r="C315" s="34" t="s">
        <v>979</v>
      </c>
      <c r="D315" s="38"/>
    </row>
    <row r="316" spans="2:4">
      <c r="B316" s="38">
        <v>43794</v>
      </c>
      <c r="C316" s="34" t="s">
        <v>980</v>
      </c>
      <c r="D316" s="38"/>
    </row>
    <row r="317" spans="2:4">
      <c r="B317" s="38">
        <v>43795</v>
      </c>
      <c r="C317" s="34" t="s">
        <v>981</v>
      </c>
      <c r="D317" s="38"/>
    </row>
    <row r="318" spans="2:4">
      <c r="B318" s="38">
        <v>43796</v>
      </c>
      <c r="C318" s="34" t="s">
        <v>982</v>
      </c>
      <c r="D318" s="38"/>
    </row>
    <row r="319" spans="2:4">
      <c r="B319" s="38">
        <v>43797</v>
      </c>
      <c r="C319" s="34" t="s">
        <v>982</v>
      </c>
      <c r="D319" s="38"/>
    </row>
    <row r="320" spans="2:4">
      <c r="B320" s="38">
        <v>43798</v>
      </c>
      <c r="C320" s="34" t="s">
        <v>983</v>
      </c>
      <c r="D320" s="38"/>
    </row>
    <row r="321" spans="2:4">
      <c r="B321" s="38">
        <v>43801</v>
      </c>
      <c r="C321" s="34" t="s">
        <v>984</v>
      </c>
      <c r="D321" s="38"/>
    </row>
    <row r="322" spans="2:4">
      <c r="B322" s="38">
        <v>43802</v>
      </c>
      <c r="C322" s="34" t="s">
        <v>985</v>
      </c>
      <c r="D322" s="38"/>
    </row>
    <row r="323" spans="2:4">
      <c r="B323" s="38">
        <v>43803</v>
      </c>
      <c r="C323" s="34" t="s">
        <v>986</v>
      </c>
      <c r="D323" s="38"/>
    </row>
    <row r="324" spans="2:4">
      <c r="B324" s="38">
        <v>43804</v>
      </c>
      <c r="C324" s="34" t="s">
        <v>977</v>
      </c>
      <c r="D324" s="38"/>
    </row>
    <row r="325" spans="2:4">
      <c r="B325" s="38">
        <v>43805</v>
      </c>
      <c r="C325" s="34" t="s">
        <v>987</v>
      </c>
      <c r="D325" s="38"/>
    </row>
    <row r="326" spans="2:4">
      <c r="B326" s="38">
        <v>43808</v>
      </c>
      <c r="C326" s="34" t="s">
        <v>983</v>
      </c>
      <c r="D326" s="38"/>
    </row>
    <row r="327" spans="2:4">
      <c r="B327" s="38">
        <v>43809</v>
      </c>
      <c r="C327" s="34" t="s">
        <v>988</v>
      </c>
      <c r="D327" s="38"/>
    </row>
    <row r="328" spans="2:4">
      <c r="B328" s="38">
        <v>43810</v>
      </c>
      <c r="C328" s="34" t="s">
        <v>989</v>
      </c>
      <c r="D328" s="38"/>
    </row>
    <row r="329" spans="2:4">
      <c r="B329" s="38">
        <v>43811</v>
      </c>
      <c r="C329" s="34" t="s">
        <v>990</v>
      </c>
      <c r="D329" s="38"/>
    </row>
    <row r="330" spans="2:4">
      <c r="B330" s="38">
        <v>43812</v>
      </c>
      <c r="C330" s="34" t="s">
        <v>991</v>
      </c>
      <c r="D330" s="38"/>
    </row>
    <row r="331" spans="2:4">
      <c r="B331" s="38">
        <v>43815</v>
      </c>
      <c r="C331" s="34" t="s">
        <v>992</v>
      </c>
      <c r="D331" s="38"/>
    </row>
    <row r="332" spans="2:4">
      <c r="B332" s="38">
        <v>43816</v>
      </c>
      <c r="C332" s="34" t="s">
        <v>993</v>
      </c>
      <c r="D332" s="38"/>
    </row>
    <row r="333" spans="2:4">
      <c r="B333" s="38">
        <v>43817</v>
      </c>
      <c r="C333" s="34" t="s">
        <v>994</v>
      </c>
      <c r="D333" s="38"/>
    </row>
    <row r="334" spans="2:4">
      <c r="B334" s="38">
        <v>43818</v>
      </c>
      <c r="C334" s="34" t="s">
        <v>995</v>
      </c>
      <c r="D334" s="38"/>
    </row>
    <row r="335" spans="2:4">
      <c r="B335" s="38">
        <v>43819</v>
      </c>
      <c r="C335" s="34" t="s">
        <v>996</v>
      </c>
      <c r="D335" s="38"/>
    </row>
    <row r="336" spans="2:4">
      <c r="B336" s="38">
        <v>43822</v>
      </c>
      <c r="C336" s="34" t="s">
        <v>997</v>
      </c>
      <c r="D336" s="38"/>
    </row>
    <row r="337" spans="2:4">
      <c r="B337" s="38">
        <v>43823</v>
      </c>
      <c r="C337" s="34" t="s">
        <v>998</v>
      </c>
      <c r="D337" s="38"/>
    </row>
    <row r="338" spans="2:4">
      <c r="B338" s="38">
        <v>43824</v>
      </c>
      <c r="C338" s="34" t="s">
        <v>998</v>
      </c>
      <c r="D338" s="38"/>
    </row>
    <row r="339" spans="2:4">
      <c r="B339" s="38">
        <v>43825</v>
      </c>
      <c r="C339" s="34" t="s">
        <v>999</v>
      </c>
      <c r="D339" s="38"/>
    </row>
    <row r="340" spans="2:4">
      <c r="B340" s="38">
        <v>43826</v>
      </c>
      <c r="C340" s="34" t="s">
        <v>1000</v>
      </c>
      <c r="D340" s="38"/>
    </row>
    <row r="341" spans="2:4">
      <c r="B341" s="38">
        <v>43829</v>
      </c>
      <c r="C341" s="34" t="s">
        <v>998</v>
      </c>
      <c r="D341" s="38"/>
    </row>
    <row r="342" spans="2:4">
      <c r="B342" s="38">
        <v>43830</v>
      </c>
      <c r="C342" s="34" t="s">
        <v>1001</v>
      </c>
      <c r="D342" s="38"/>
    </row>
    <row r="343" spans="2:4">
      <c r="B343" s="38">
        <v>43832</v>
      </c>
      <c r="C343" s="34" t="s">
        <v>1002</v>
      </c>
      <c r="D343" s="38"/>
    </row>
    <row r="344" spans="2:4">
      <c r="B344" s="38">
        <v>43833</v>
      </c>
      <c r="C344" s="34" t="s">
        <v>1003</v>
      </c>
      <c r="D344" s="38"/>
    </row>
    <row r="345" spans="2:4">
      <c r="B345" s="38">
        <v>43836</v>
      </c>
      <c r="C345" s="34" t="s">
        <v>1004</v>
      </c>
      <c r="D345" s="38"/>
    </row>
    <row r="346" spans="2:4">
      <c r="B346" s="38">
        <v>43837</v>
      </c>
      <c r="C346" s="34" t="s">
        <v>1005</v>
      </c>
      <c r="D346" s="38"/>
    </row>
    <row r="347" spans="2:4">
      <c r="B347" s="38">
        <v>43838</v>
      </c>
      <c r="C347" s="34" t="s">
        <v>1006</v>
      </c>
      <c r="D347" s="38"/>
    </row>
    <row r="348" spans="2:4">
      <c r="B348" s="38">
        <v>43839</v>
      </c>
      <c r="C348" s="34" t="s">
        <v>1007</v>
      </c>
      <c r="D348" s="38"/>
    </row>
    <row r="349" spans="2:4">
      <c r="B349" s="38">
        <v>43840</v>
      </c>
      <c r="C349" s="34" t="s">
        <v>1008</v>
      </c>
      <c r="D349" s="38"/>
    </row>
    <row r="350" spans="2:4">
      <c r="B350" s="38">
        <v>43843</v>
      </c>
      <c r="C350" s="34" t="s">
        <v>1009</v>
      </c>
      <c r="D350" s="38"/>
    </row>
    <row r="351" spans="2:4">
      <c r="B351" s="38">
        <v>43844</v>
      </c>
      <c r="C351" s="34" t="s">
        <v>1009</v>
      </c>
      <c r="D351" s="38"/>
    </row>
    <row r="352" spans="2:4">
      <c r="B352" s="38">
        <v>43845</v>
      </c>
      <c r="C352" s="34" t="s">
        <v>1010</v>
      </c>
      <c r="D352" s="38"/>
    </row>
    <row r="353" spans="2:4">
      <c r="B353" s="38">
        <v>43846</v>
      </c>
      <c r="C353" s="34" t="s">
        <v>1011</v>
      </c>
      <c r="D353" s="38"/>
    </row>
    <row r="354" spans="2:4">
      <c r="B354" s="38">
        <v>43847</v>
      </c>
      <c r="C354" s="34" t="s">
        <v>1012</v>
      </c>
      <c r="D354" s="38"/>
    </row>
    <row r="355" spans="2:4">
      <c r="B355" s="38">
        <v>43850</v>
      </c>
      <c r="C355" s="34" t="s">
        <v>1012</v>
      </c>
      <c r="D355" s="38"/>
    </row>
    <row r="356" spans="2:4">
      <c r="B356" s="38">
        <v>43851</v>
      </c>
      <c r="C356" s="34" t="s">
        <v>1013</v>
      </c>
      <c r="D356" s="38"/>
    </row>
    <row r="357" spans="2:4">
      <c r="B357" s="38">
        <v>43852</v>
      </c>
      <c r="C357" s="34" t="s">
        <v>1014</v>
      </c>
      <c r="D357" s="38"/>
    </row>
    <row r="358" spans="2:4">
      <c r="B358" s="38">
        <v>43853</v>
      </c>
      <c r="C358" s="34" t="s">
        <v>1011</v>
      </c>
      <c r="D358" s="38"/>
    </row>
    <row r="359" spans="2:4">
      <c r="B359" s="38">
        <v>43854</v>
      </c>
      <c r="C359" s="34" t="s">
        <v>1010</v>
      </c>
      <c r="D359" s="38"/>
    </row>
    <row r="360" spans="2:4">
      <c r="B360" s="38">
        <v>43857</v>
      </c>
      <c r="C360" s="34" t="s">
        <v>1003</v>
      </c>
      <c r="D360" s="38"/>
    </row>
    <row r="361" spans="2:4">
      <c r="B361" s="38">
        <v>43858</v>
      </c>
      <c r="C361" s="34" t="s">
        <v>1007</v>
      </c>
      <c r="D361" s="38"/>
    </row>
    <row r="362" spans="2:4">
      <c r="B362" s="38">
        <v>43859</v>
      </c>
      <c r="C362" s="34" t="s">
        <v>1015</v>
      </c>
      <c r="D362" s="38"/>
    </row>
    <row r="363" spans="2:4">
      <c r="B363" s="38">
        <v>43860</v>
      </c>
      <c r="C363" s="34" t="s">
        <v>1016</v>
      </c>
      <c r="D363" s="38"/>
    </row>
    <row r="364" spans="2:4">
      <c r="B364" s="38">
        <v>43861</v>
      </c>
      <c r="C364" s="34" t="s">
        <v>1017</v>
      </c>
      <c r="D364" s="38"/>
    </row>
    <row r="365" spans="2:4">
      <c r="B365" s="38">
        <v>43864</v>
      </c>
      <c r="C365" s="34" t="s">
        <v>1018</v>
      </c>
      <c r="D365" s="38"/>
    </row>
    <row r="366" spans="2:4">
      <c r="B366" s="38">
        <v>43865</v>
      </c>
      <c r="C366" s="34" t="s">
        <v>1019</v>
      </c>
      <c r="D366" s="38"/>
    </row>
    <row r="367" spans="2:4">
      <c r="B367" s="38">
        <v>43866</v>
      </c>
      <c r="C367" s="34" t="s">
        <v>1020</v>
      </c>
      <c r="D367" s="38"/>
    </row>
    <row r="368" spans="2:4">
      <c r="B368" s="38">
        <v>43867</v>
      </c>
      <c r="C368" s="34" t="s">
        <v>1021</v>
      </c>
      <c r="D368" s="38"/>
    </row>
    <row r="369" spans="2:4">
      <c r="B369" s="38">
        <v>43868</v>
      </c>
      <c r="C369" s="34" t="s">
        <v>1022</v>
      </c>
      <c r="D369" s="38"/>
    </row>
    <row r="370" spans="2:4">
      <c r="B370" s="38">
        <v>43871</v>
      </c>
      <c r="C370" s="34" t="s">
        <v>1023</v>
      </c>
      <c r="D370" s="38"/>
    </row>
    <row r="371" spans="2:4">
      <c r="B371" s="38">
        <v>43872</v>
      </c>
      <c r="C371" s="34" t="s">
        <v>1024</v>
      </c>
      <c r="D371" s="38"/>
    </row>
    <row r="372" spans="2:4">
      <c r="B372" s="38">
        <v>43873</v>
      </c>
      <c r="C372" s="34" t="s">
        <v>1025</v>
      </c>
      <c r="D372" s="38"/>
    </row>
    <row r="373" spans="2:4">
      <c r="B373" s="38">
        <v>43874</v>
      </c>
      <c r="C373" s="34" t="s">
        <v>1026</v>
      </c>
      <c r="D373" s="38"/>
    </row>
    <row r="374" spans="2:4">
      <c r="B374" s="38">
        <v>43875</v>
      </c>
      <c r="C374" s="34" t="s">
        <v>1027</v>
      </c>
      <c r="D374" s="38"/>
    </row>
    <row r="375" spans="2:4">
      <c r="B375" s="38">
        <v>43878</v>
      </c>
      <c r="C375" s="34" t="s">
        <v>1027</v>
      </c>
      <c r="D375" s="38"/>
    </row>
    <row r="376" spans="2:4">
      <c r="B376" s="38">
        <v>43879</v>
      </c>
      <c r="C376" s="34" t="s">
        <v>1028</v>
      </c>
      <c r="D376" s="38"/>
    </row>
    <row r="377" spans="2:4">
      <c r="B377" s="38">
        <v>43880</v>
      </c>
      <c r="C377" s="34" t="s">
        <v>1029</v>
      </c>
      <c r="D377" s="38"/>
    </row>
    <row r="378" spans="2:4">
      <c r="B378" s="38">
        <v>43881</v>
      </c>
      <c r="C378" s="34" t="s">
        <v>1030</v>
      </c>
      <c r="D378" s="38"/>
    </row>
    <row r="379" spans="2:4">
      <c r="B379" s="38">
        <v>43882</v>
      </c>
      <c r="C379" s="34" t="s">
        <v>1031</v>
      </c>
      <c r="D379" s="38"/>
    </row>
    <row r="380" spans="2:4">
      <c r="B380" s="38">
        <v>43885</v>
      </c>
      <c r="C380" s="34" t="s">
        <v>1032</v>
      </c>
      <c r="D380" s="38"/>
    </row>
    <row r="381" spans="2:4">
      <c r="B381" s="38">
        <v>43886</v>
      </c>
      <c r="C381" s="34" t="s">
        <v>1033</v>
      </c>
      <c r="D381" s="38"/>
    </row>
    <row r="382" spans="2:4">
      <c r="B382" s="38">
        <v>43887</v>
      </c>
      <c r="C382" s="34" t="s">
        <v>993</v>
      </c>
      <c r="D382" s="38"/>
    </row>
    <row r="383" spans="2:4">
      <c r="B383" s="38">
        <v>43888</v>
      </c>
      <c r="C383" s="34" t="s">
        <v>1034</v>
      </c>
      <c r="D383" s="38"/>
    </row>
    <row r="384" spans="2:4">
      <c r="B384" s="38">
        <v>43889</v>
      </c>
      <c r="C384" s="34" t="s">
        <v>1035</v>
      </c>
      <c r="D384" s="38"/>
    </row>
    <row r="385" spans="2:4">
      <c r="B385" s="38">
        <v>43892</v>
      </c>
      <c r="C385" s="34" t="s">
        <v>1036</v>
      </c>
      <c r="D385" s="38"/>
    </row>
    <row r="386" spans="2:4">
      <c r="B386" s="38">
        <v>43893</v>
      </c>
      <c r="C386" s="34" t="s">
        <v>1037</v>
      </c>
      <c r="D386" s="38"/>
    </row>
    <row r="387" spans="2:4">
      <c r="B387" s="38">
        <v>43894</v>
      </c>
      <c r="C387" s="34" t="s">
        <v>1038</v>
      </c>
      <c r="D387" s="38"/>
    </row>
    <row r="388" spans="2:4">
      <c r="B388" s="38">
        <v>43895</v>
      </c>
      <c r="C388" s="34" t="s">
        <v>1039</v>
      </c>
      <c r="D388" s="38"/>
    </row>
    <row r="389" spans="2:4">
      <c r="B389" s="38">
        <v>43896</v>
      </c>
      <c r="C389" s="34" t="s">
        <v>1040</v>
      </c>
      <c r="D389" s="38"/>
    </row>
    <row r="390" spans="2:4">
      <c r="B390" s="38">
        <v>43899</v>
      </c>
      <c r="C390" s="34" t="s">
        <v>1041</v>
      </c>
      <c r="D390" s="38"/>
    </row>
    <row r="391" spans="2:4">
      <c r="B391" s="38">
        <v>43900</v>
      </c>
      <c r="C391" s="34" t="s">
        <v>1042</v>
      </c>
      <c r="D391" s="38"/>
    </row>
    <row r="392" spans="2:4">
      <c r="B392" s="38">
        <v>43901</v>
      </c>
      <c r="C392" s="34" t="s">
        <v>1043</v>
      </c>
      <c r="D392" s="38"/>
    </row>
    <row r="393" spans="2:4">
      <c r="B393" s="38">
        <v>43902</v>
      </c>
      <c r="C393" s="34" t="s">
        <v>910</v>
      </c>
      <c r="D393" s="38"/>
    </row>
    <row r="394" spans="2:4">
      <c r="B394" s="38">
        <v>43903</v>
      </c>
      <c r="C394" s="34" t="s">
        <v>1044</v>
      </c>
      <c r="D394" s="38"/>
    </row>
    <row r="395" spans="2:4">
      <c r="B395" s="38">
        <v>43906</v>
      </c>
      <c r="C395" s="34" t="s">
        <v>1045</v>
      </c>
      <c r="D395" s="38"/>
    </row>
    <row r="396" spans="2:4">
      <c r="B396" s="38">
        <v>43907</v>
      </c>
      <c r="C396" s="34" t="s">
        <v>962</v>
      </c>
      <c r="D396" s="38"/>
    </row>
    <row r="397" spans="2:4">
      <c r="B397" s="38">
        <v>43908</v>
      </c>
      <c r="C397" s="34" t="s">
        <v>1046</v>
      </c>
      <c r="D397" s="38"/>
    </row>
    <row r="398" spans="2:4">
      <c r="B398" s="38">
        <v>43909</v>
      </c>
      <c r="C398" s="34" t="s">
        <v>912</v>
      </c>
      <c r="D398" s="38"/>
    </row>
    <row r="399" spans="2:4">
      <c r="B399" s="38">
        <v>43910</v>
      </c>
      <c r="C399" s="34" t="s">
        <v>1047</v>
      </c>
      <c r="D399" s="38"/>
    </row>
    <row r="400" spans="2:4">
      <c r="B400" s="38">
        <v>43913</v>
      </c>
      <c r="C400" s="34" t="s">
        <v>1048</v>
      </c>
      <c r="D400" s="38"/>
    </row>
    <row r="401" spans="2:4">
      <c r="B401" s="38">
        <v>43914</v>
      </c>
      <c r="C401" s="34" t="s">
        <v>1049</v>
      </c>
      <c r="D401" s="38"/>
    </row>
    <row r="402" spans="2:4">
      <c r="B402" s="38">
        <v>43915</v>
      </c>
      <c r="C402" s="34" t="s">
        <v>1050</v>
      </c>
      <c r="D402" s="38"/>
    </row>
    <row r="403" spans="2:4">
      <c r="B403" s="38">
        <v>43916</v>
      </c>
      <c r="C403" s="34" t="s">
        <v>1051</v>
      </c>
      <c r="D403" s="38"/>
    </row>
    <row r="404" spans="2:4">
      <c r="B404" s="38">
        <v>43917</v>
      </c>
      <c r="C404" s="34" t="s">
        <v>988</v>
      </c>
      <c r="D404" s="38"/>
    </row>
    <row r="405" spans="2:4">
      <c r="B405" s="38">
        <v>43920</v>
      </c>
      <c r="C405" s="34" t="s">
        <v>980</v>
      </c>
      <c r="D405" s="38"/>
    </row>
    <row r="406" spans="2:4">
      <c r="B406" s="38">
        <v>43921</v>
      </c>
      <c r="C406" s="34" t="s">
        <v>1034</v>
      </c>
      <c r="D406" s="38"/>
    </row>
    <row r="407" spans="2:4">
      <c r="B407" s="38">
        <v>43922</v>
      </c>
      <c r="C407" s="34" t="s">
        <v>1052</v>
      </c>
      <c r="D407" s="38"/>
    </row>
    <row r="408" spans="2:4">
      <c r="B408" s="38">
        <v>43923</v>
      </c>
      <c r="C408" s="34" t="s">
        <v>1053</v>
      </c>
      <c r="D408" s="38"/>
    </row>
    <row r="409" spans="2:4">
      <c r="B409" s="38">
        <v>43924</v>
      </c>
      <c r="C409" s="34" t="s">
        <v>1054</v>
      </c>
      <c r="D409" s="38"/>
    </row>
    <row r="410" spans="2:4">
      <c r="B410" s="38">
        <v>43927</v>
      </c>
      <c r="C410" s="34" t="s">
        <v>1055</v>
      </c>
      <c r="D410" s="38"/>
    </row>
    <row r="411" spans="2:4">
      <c r="B411" s="38">
        <v>43928</v>
      </c>
      <c r="C411" s="34" t="s">
        <v>1054</v>
      </c>
      <c r="D411" s="38"/>
    </row>
    <row r="412" spans="2:4">
      <c r="B412" s="38">
        <v>43929</v>
      </c>
      <c r="C412" s="34" t="s">
        <v>1056</v>
      </c>
      <c r="D412" s="38"/>
    </row>
    <row r="413" spans="2:4">
      <c r="B413" s="38">
        <v>43930</v>
      </c>
      <c r="C413" s="34" t="s">
        <v>1057</v>
      </c>
      <c r="D413" s="38"/>
    </row>
    <row r="414" spans="2:4">
      <c r="B414" s="38">
        <v>43931</v>
      </c>
      <c r="C414" s="34" t="s">
        <v>1057</v>
      </c>
      <c r="D414" s="38"/>
    </row>
    <row r="415" spans="2:4">
      <c r="B415" s="38">
        <v>43934</v>
      </c>
      <c r="C415" s="34" t="s">
        <v>1058</v>
      </c>
      <c r="D415" s="38"/>
    </row>
    <row r="416" spans="2:4">
      <c r="B416" s="38">
        <v>43935</v>
      </c>
      <c r="C416" s="34" t="s">
        <v>1059</v>
      </c>
      <c r="D416" s="38"/>
    </row>
    <row r="417" spans="2:4">
      <c r="B417" s="38">
        <v>43936</v>
      </c>
      <c r="C417" s="34" t="s">
        <v>1060</v>
      </c>
      <c r="D417" s="38"/>
    </row>
    <row r="418" spans="2:4">
      <c r="B418" s="38">
        <v>43937</v>
      </c>
      <c r="C418" s="34" t="s">
        <v>1061</v>
      </c>
      <c r="D418" s="38"/>
    </row>
    <row r="419" spans="2:4">
      <c r="B419" s="38">
        <v>43938</v>
      </c>
      <c r="C419" s="34" t="s">
        <v>1062</v>
      </c>
      <c r="D419" s="38"/>
    </row>
    <row r="420" spans="2:4">
      <c r="B420" s="38">
        <v>43941</v>
      </c>
      <c r="C420" s="34" t="s">
        <v>1062</v>
      </c>
      <c r="D420" s="38"/>
    </row>
    <row r="421" spans="2:4">
      <c r="B421" s="38">
        <v>43942</v>
      </c>
      <c r="C421" s="34" t="s">
        <v>1061</v>
      </c>
      <c r="D421" s="38"/>
    </row>
    <row r="422" spans="2:4">
      <c r="B422" s="38">
        <v>43943</v>
      </c>
      <c r="C422" s="34" t="s">
        <v>1063</v>
      </c>
      <c r="D422" s="38"/>
    </row>
    <row r="423" spans="2:4">
      <c r="B423" s="38">
        <v>43944</v>
      </c>
      <c r="C423" s="34" t="s">
        <v>1061</v>
      </c>
      <c r="D423" s="38"/>
    </row>
    <row r="424" spans="2:4">
      <c r="B424" s="38">
        <v>43945</v>
      </c>
      <c r="C424" s="34" t="s">
        <v>1064</v>
      </c>
      <c r="D424" s="38"/>
    </row>
    <row r="425" spans="2:4">
      <c r="B425" s="38">
        <v>43948</v>
      </c>
      <c r="C425" s="34" t="s">
        <v>1065</v>
      </c>
      <c r="D425" s="38"/>
    </row>
    <row r="426" spans="2:4">
      <c r="B426" s="38">
        <v>43949</v>
      </c>
      <c r="C426" s="34" t="s">
        <v>1066</v>
      </c>
      <c r="D426" s="38"/>
    </row>
    <row r="427" spans="2:4">
      <c r="B427" s="38">
        <v>43950</v>
      </c>
      <c r="C427" s="34" t="s">
        <v>1067</v>
      </c>
      <c r="D427" s="38"/>
    </row>
    <row r="428" spans="2:4">
      <c r="B428" s="38">
        <v>43951</v>
      </c>
      <c r="C428" s="34" t="s">
        <v>1068</v>
      </c>
      <c r="D428" s="38"/>
    </row>
    <row r="429" spans="2:4">
      <c r="B429" s="38">
        <v>43952</v>
      </c>
      <c r="C429" s="34" t="s">
        <v>1069</v>
      </c>
      <c r="D429" s="38"/>
    </row>
    <row r="430" spans="2:4">
      <c r="B430" s="38">
        <v>43955</v>
      </c>
      <c r="C430" s="34" t="s">
        <v>1070</v>
      </c>
      <c r="D430" s="38"/>
    </row>
    <row r="431" spans="2:4">
      <c r="B431" s="38">
        <v>43956</v>
      </c>
      <c r="C431" s="34" t="s">
        <v>1062</v>
      </c>
      <c r="D431" s="38"/>
    </row>
    <row r="432" spans="2:4">
      <c r="B432" s="38">
        <v>43957</v>
      </c>
      <c r="C432" s="34" t="s">
        <v>1071</v>
      </c>
      <c r="D432" s="38"/>
    </row>
    <row r="433" spans="2:4">
      <c r="B433" s="38">
        <v>43958</v>
      </c>
      <c r="C433" s="34" t="s">
        <v>1072</v>
      </c>
      <c r="D433" s="38"/>
    </row>
    <row r="434" spans="2:4">
      <c r="B434" s="38">
        <v>43959</v>
      </c>
      <c r="C434" s="34" t="s">
        <v>1073</v>
      </c>
      <c r="D434" s="38"/>
    </row>
    <row r="435" spans="2:4">
      <c r="B435" s="38">
        <v>43962</v>
      </c>
      <c r="C435" s="34" t="s">
        <v>1070</v>
      </c>
      <c r="D435" s="38"/>
    </row>
    <row r="436" spans="2:4">
      <c r="B436" s="38">
        <v>43963</v>
      </c>
      <c r="C436" s="34" t="s">
        <v>1074</v>
      </c>
      <c r="D436" s="38"/>
    </row>
    <row r="437" spans="2:4">
      <c r="B437" s="38">
        <v>43964</v>
      </c>
      <c r="C437" s="34" t="s">
        <v>1070</v>
      </c>
      <c r="D437" s="38"/>
    </row>
    <row r="438" spans="2:4">
      <c r="B438" s="38">
        <v>43965</v>
      </c>
      <c r="C438" s="34" t="s">
        <v>1068</v>
      </c>
      <c r="D438" s="38"/>
    </row>
    <row r="439" spans="2:4">
      <c r="B439" s="38">
        <v>43966</v>
      </c>
      <c r="C439" s="34" t="s">
        <v>1068</v>
      </c>
      <c r="D439" s="38"/>
    </row>
    <row r="440" spans="2:4">
      <c r="B440" s="38">
        <v>43969</v>
      </c>
      <c r="C440" s="34" t="s">
        <v>1075</v>
      </c>
      <c r="D440" s="38"/>
    </row>
    <row r="441" spans="2:4">
      <c r="B441" s="38">
        <v>43970</v>
      </c>
      <c r="C441" s="34" t="s">
        <v>1066</v>
      </c>
      <c r="D441" s="38"/>
    </row>
    <row r="442" spans="2:4">
      <c r="B442" s="38">
        <v>43971</v>
      </c>
      <c r="C442" s="34" t="s">
        <v>1076</v>
      </c>
      <c r="D442" s="38"/>
    </row>
    <row r="443" spans="2:4">
      <c r="B443" s="38">
        <v>43972</v>
      </c>
      <c r="C443" s="34" t="s">
        <v>1067</v>
      </c>
      <c r="D443" s="38"/>
    </row>
    <row r="444" spans="2:4">
      <c r="B444" s="38">
        <v>43973</v>
      </c>
      <c r="C444" s="34" t="s">
        <v>1077</v>
      </c>
      <c r="D444" s="38"/>
    </row>
    <row r="445" spans="2:4">
      <c r="B445" s="38">
        <v>43976</v>
      </c>
      <c r="C445" s="34" t="s">
        <v>1077</v>
      </c>
      <c r="D445" s="38"/>
    </row>
    <row r="446" spans="2:4">
      <c r="B446" s="38">
        <v>43977</v>
      </c>
      <c r="C446" s="34" t="s">
        <v>1078</v>
      </c>
      <c r="D446" s="38"/>
    </row>
    <row r="447" spans="2:4">
      <c r="B447" s="38">
        <v>43978</v>
      </c>
      <c r="C447" s="34" t="s">
        <v>994</v>
      </c>
      <c r="D447" s="38"/>
    </row>
    <row r="448" spans="2:4">
      <c r="B448" s="38">
        <v>43979</v>
      </c>
      <c r="C448" s="34" t="s">
        <v>1079</v>
      </c>
      <c r="D448" s="38"/>
    </row>
    <row r="449" spans="2:4">
      <c r="B449" s="38">
        <v>43980</v>
      </c>
      <c r="C449" s="34" t="s">
        <v>1080</v>
      </c>
      <c r="D449" s="38"/>
    </row>
    <row r="450" spans="2:4">
      <c r="B450" s="38">
        <v>43983</v>
      </c>
      <c r="C450" s="34" t="s">
        <v>1081</v>
      </c>
      <c r="D450" s="38"/>
    </row>
    <row r="451" spans="2:4">
      <c r="B451" s="38">
        <v>43984</v>
      </c>
      <c r="C451" s="34" t="s">
        <v>1082</v>
      </c>
      <c r="D451" s="38"/>
    </row>
    <row r="452" spans="2:4">
      <c r="B452" s="38">
        <v>43985</v>
      </c>
      <c r="C452" s="34" t="s">
        <v>1083</v>
      </c>
      <c r="D452" s="38"/>
    </row>
    <row r="453" spans="2:4">
      <c r="B453" s="38">
        <v>43986</v>
      </c>
      <c r="C453" s="34" t="s">
        <v>1084</v>
      </c>
      <c r="D453" s="38"/>
    </row>
    <row r="454" spans="2:4">
      <c r="B454" s="38">
        <v>43987</v>
      </c>
      <c r="C454" s="34" t="s">
        <v>1085</v>
      </c>
      <c r="D454" s="38"/>
    </row>
    <row r="455" spans="2:4">
      <c r="B455" s="38">
        <v>43990</v>
      </c>
      <c r="C455" s="34" t="s">
        <v>1086</v>
      </c>
      <c r="D455" s="38"/>
    </row>
    <row r="456" spans="2:4">
      <c r="B456" s="38">
        <v>43991</v>
      </c>
      <c r="C456" s="34" t="s">
        <v>1087</v>
      </c>
      <c r="D456" s="38"/>
    </row>
    <row r="457" spans="2:4">
      <c r="B457" s="38">
        <v>43992</v>
      </c>
      <c r="C457" s="34" t="s">
        <v>1088</v>
      </c>
      <c r="D457" s="38"/>
    </row>
    <row r="458" spans="2:4">
      <c r="B458" s="38">
        <v>43993</v>
      </c>
      <c r="C458" s="34" t="s">
        <v>1089</v>
      </c>
      <c r="D458" s="38"/>
    </row>
    <row r="459" spans="2:4">
      <c r="B459" s="38">
        <v>43994</v>
      </c>
      <c r="C459" s="34" t="s">
        <v>1090</v>
      </c>
      <c r="D459" s="38"/>
    </row>
    <row r="460" spans="2:4">
      <c r="B460" s="38">
        <v>43997</v>
      </c>
      <c r="C460" s="34" t="s">
        <v>1091</v>
      </c>
      <c r="D460" s="38"/>
    </row>
    <row r="461" spans="2:4">
      <c r="B461" s="38">
        <v>43998</v>
      </c>
      <c r="C461" s="34" t="s">
        <v>1081</v>
      </c>
      <c r="D461" s="38"/>
    </row>
    <row r="462" spans="2:4">
      <c r="B462" s="38">
        <v>43999</v>
      </c>
      <c r="C462" s="34" t="s">
        <v>1092</v>
      </c>
      <c r="D462" s="38"/>
    </row>
    <row r="463" spans="2:4">
      <c r="B463" s="38">
        <v>44000</v>
      </c>
      <c r="C463" s="34" t="s">
        <v>996</v>
      </c>
      <c r="D463" s="38"/>
    </row>
    <row r="464" spans="2:4">
      <c r="B464" s="38">
        <v>44001</v>
      </c>
      <c r="C464" s="34" t="s">
        <v>1093</v>
      </c>
      <c r="D464" s="38"/>
    </row>
    <row r="465" spans="2:4">
      <c r="B465" s="38">
        <v>44004</v>
      </c>
      <c r="C465" s="34" t="s">
        <v>1094</v>
      </c>
      <c r="D465" s="38"/>
    </row>
    <row r="466" spans="2:4">
      <c r="B466" s="38">
        <v>44005</v>
      </c>
      <c r="C466" s="34" t="s">
        <v>1095</v>
      </c>
      <c r="D466" s="38"/>
    </row>
    <row r="467" spans="2:4">
      <c r="B467" s="38">
        <v>44006</v>
      </c>
      <c r="C467" s="34" t="s">
        <v>1096</v>
      </c>
      <c r="D467" s="38"/>
    </row>
    <row r="468" spans="2:4">
      <c r="B468" s="38">
        <v>44007</v>
      </c>
      <c r="C468" s="34" t="s">
        <v>1097</v>
      </c>
      <c r="D468" s="38"/>
    </row>
    <row r="469" spans="2:4">
      <c r="B469" s="38">
        <v>44008</v>
      </c>
      <c r="C469" s="34" t="s">
        <v>1033</v>
      </c>
      <c r="D469" s="38"/>
    </row>
    <row r="470" spans="2:4">
      <c r="B470" s="38">
        <v>44011</v>
      </c>
      <c r="C470" s="34" t="s">
        <v>1098</v>
      </c>
      <c r="D470" s="38"/>
    </row>
    <row r="471" spans="2:4">
      <c r="B471" s="38">
        <v>44012</v>
      </c>
      <c r="C471" s="34" t="s">
        <v>1001</v>
      </c>
      <c r="D471" s="38"/>
    </row>
    <row r="472" spans="2:4">
      <c r="B472" s="38">
        <v>44013</v>
      </c>
      <c r="C472" s="34" t="s">
        <v>1095</v>
      </c>
      <c r="D472" s="38"/>
    </row>
    <row r="473" spans="2:4">
      <c r="B473" s="38">
        <v>44014</v>
      </c>
      <c r="C473" s="34" t="s">
        <v>1017</v>
      </c>
      <c r="D473" s="38"/>
    </row>
    <row r="474" spans="2:4">
      <c r="B474" s="38">
        <v>44015</v>
      </c>
      <c r="C474" s="34" t="s">
        <v>1017</v>
      </c>
      <c r="D474" s="38"/>
    </row>
    <row r="475" spans="2:4">
      <c r="B475" s="38">
        <v>44018</v>
      </c>
      <c r="C475" s="34" t="s">
        <v>1004</v>
      </c>
      <c r="D475" s="38"/>
    </row>
    <row r="476" spans="2:4">
      <c r="B476" s="38">
        <v>44019</v>
      </c>
      <c r="C476" s="34" t="s">
        <v>1099</v>
      </c>
      <c r="D476" s="38"/>
    </row>
    <row r="477" spans="2:4">
      <c r="B477" s="38">
        <v>44020</v>
      </c>
      <c r="C477" s="34" t="s">
        <v>1100</v>
      </c>
      <c r="D477" s="38"/>
    </row>
    <row r="478" spans="2:4">
      <c r="B478" s="38">
        <v>44021</v>
      </c>
      <c r="C478" s="34" t="s">
        <v>1101</v>
      </c>
      <c r="D478" s="38"/>
    </row>
    <row r="479" spans="2:4">
      <c r="B479" s="38">
        <v>44022</v>
      </c>
      <c r="C479" s="34" t="s">
        <v>1102</v>
      </c>
      <c r="D479" s="38"/>
    </row>
    <row r="480" spans="2:4">
      <c r="B480" s="38">
        <v>44025</v>
      </c>
      <c r="C480" s="34" t="s">
        <v>1103</v>
      </c>
      <c r="D480" s="38"/>
    </row>
    <row r="481" spans="2:4">
      <c r="B481" s="38">
        <v>44026</v>
      </c>
      <c r="C481" s="34" t="s">
        <v>1104</v>
      </c>
      <c r="D481" s="38"/>
    </row>
    <row r="482" spans="2:4">
      <c r="B482" s="38">
        <v>44027</v>
      </c>
      <c r="C482" s="34" t="s">
        <v>1105</v>
      </c>
      <c r="D482" s="38"/>
    </row>
    <row r="483" spans="2:4">
      <c r="B483" s="38">
        <v>44028</v>
      </c>
      <c r="C483" s="34" t="s">
        <v>1106</v>
      </c>
      <c r="D483" s="38"/>
    </row>
    <row r="484" spans="2:4">
      <c r="B484" s="38">
        <v>44029</v>
      </c>
      <c r="C484" s="34" t="s">
        <v>1105</v>
      </c>
      <c r="D484" s="38"/>
    </row>
    <row r="485" spans="2:4">
      <c r="B485" s="38">
        <v>44032</v>
      </c>
      <c r="C485" s="34" t="s">
        <v>1107</v>
      </c>
      <c r="D485" s="38"/>
    </row>
    <row r="486" spans="2:4">
      <c r="B486" s="38">
        <v>44033</v>
      </c>
      <c r="C486" s="34" t="s">
        <v>1108</v>
      </c>
      <c r="D486" s="38"/>
    </row>
    <row r="487" spans="2:4">
      <c r="B487" s="38">
        <v>44034</v>
      </c>
      <c r="C487" s="34" t="s">
        <v>1109</v>
      </c>
      <c r="D487" s="38"/>
    </row>
    <row r="488" spans="2:4">
      <c r="B488" s="38">
        <v>44035</v>
      </c>
      <c r="C488" s="34" t="s">
        <v>1110</v>
      </c>
      <c r="D488" s="38"/>
    </row>
    <row r="489" spans="2:4">
      <c r="B489" s="38">
        <v>44036</v>
      </c>
      <c r="C489" s="34" t="s">
        <v>1111</v>
      </c>
      <c r="D489" s="38"/>
    </row>
    <row r="490" spans="2:4">
      <c r="B490" s="38">
        <v>44039</v>
      </c>
      <c r="C490" s="34" t="s">
        <v>1112</v>
      </c>
      <c r="D490" s="38"/>
    </row>
    <row r="491" spans="2:4">
      <c r="B491" s="38">
        <v>44040</v>
      </c>
      <c r="C491" s="34" t="s">
        <v>1113</v>
      </c>
      <c r="D491" s="38"/>
    </row>
    <row r="492" spans="2:4">
      <c r="B492" s="38">
        <v>44041</v>
      </c>
      <c r="C492" s="34" t="s">
        <v>1013</v>
      </c>
      <c r="D492" s="38"/>
    </row>
    <row r="493" spans="2:4">
      <c r="B493" s="38">
        <v>44042</v>
      </c>
      <c r="C493" s="34" t="s">
        <v>1114</v>
      </c>
      <c r="D493" s="38"/>
    </row>
    <row r="494" spans="2:4">
      <c r="B494" s="38">
        <v>44043</v>
      </c>
      <c r="C494" s="34" t="s">
        <v>1115</v>
      </c>
      <c r="D494" s="38"/>
    </row>
    <row r="495" spans="2:4">
      <c r="B495" s="38">
        <v>44046</v>
      </c>
      <c r="C495" s="34" t="s">
        <v>1116</v>
      </c>
      <c r="D495" s="38"/>
    </row>
    <row r="496" spans="2:4">
      <c r="B496" s="38">
        <v>44047</v>
      </c>
      <c r="C496" s="34" t="s">
        <v>1117</v>
      </c>
      <c r="D496" s="38"/>
    </row>
    <row r="497" spans="2:4">
      <c r="B497" s="38">
        <v>44048</v>
      </c>
      <c r="C497" s="34" t="s">
        <v>1117</v>
      </c>
      <c r="D497" s="38"/>
    </row>
    <row r="498" spans="2:4">
      <c r="B498" s="38">
        <v>44049</v>
      </c>
      <c r="C498" s="34" t="s">
        <v>1118</v>
      </c>
      <c r="D498" s="38"/>
    </row>
    <row r="499" spans="2:4">
      <c r="B499" s="38">
        <v>44050</v>
      </c>
      <c r="C499" s="34" t="s">
        <v>1119</v>
      </c>
      <c r="D499" s="38"/>
    </row>
    <row r="500" spans="2:4">
      <c r="B500" s="38">
        <v>44053</v>
      </c>
      <c r="C500" s="34" t="s">
        <v>1120</v>
      </c>
      <c r="D500" s="38"/>
    </row>
    <row r="501" spans="2:4">
      <c r="B501" s="38">
        <v>44054</v>
      </c>
      <c r="C501" s="34" t="s">
        <v>1121</v>
      </c>
      <c r="D501" s="38"/>
    </row>
    <row r="502" spans="2:4">
      <c r="B502" s="38">
        <v>44055</v>
      </c>
      <c r="C502" s="34" t="s">
        <v>1122</v>
      </c>
      <c r="D502" s="38"/>
    </row>
    <row r="503" spans="2:4">
      <c r="B503" s="38">
        <v>44056</v>
      </c>
      <c r="C503" s="34" t="s">
        <v>1123</v>
      </c>
      <c r="D503" s="38"/>
    </row>
    <row r="504" spans="2:4">
      <c r="B504" s="38">
        <v>44057</v>
      </c>
      <c r="C504" s="34" t="s">
        <v>1124</v>
      </c>
      <c r="D504" s="38"/>
    </row>
    <row r="505" spans="2:4">
      <c r="B505" s="38">
        <v>44060</v>
      </c>
      <c r="C505" s="34" t="s">
        <v>1125</v>
      </c>
      <c r="D505" s="38"/>
    </row>
    <row r="506" spans="2:4">
      <c r="B506" s="38">
        <v>44061</v>
      </c>
      <c r="C506" s="34" t="s">
        <v>1126</v>
      </c>
      <c r="D506" s="38"/>
    </row>
    <row r="507" spans="2:4">
      <c r="B507" s="38">
        <v>44062</v>
      </c>
      <c r="C507" s="34" t="s">
        <v>1127</v>
      </c>
      <c r="D507" s="38"/>
    </row>
    <row r="508" spans="2:4">
      <c r="B508" s="38">
        <v>44063</v>
      </c>
      <c r="C508" s="34" t="s">
        <v>1128</v>
      </c>
      <c r="D508" s="38"/>
    </row>
    <row r="509" spans="2:4">
      <c r="B509" s="38">
        <v>44064</v>
      </c>
      <c r="C509" s="34" t="s">
        <v>1129</v>
      </c>
      <c r="D509" s="38"/>
    </row>
    <row r="510" spans="2:4">
      <c r="B510" s="38">
        <v>44067</v>
      </c>
      <c r="C510" s="34" t="s">
        <v>1130</v>
      </c>
      <c r="D510" s="38"/>
    </row>
    <row r="511" spans="2:4">
      <c r="B511" s="38">
        <v>44068</v>
      </c>
      <c r="C511" s="34" t="s">
        <v>1131</v>
      </c>
      <c r="D511" s="38"/>
    </row>
    <row r="512" spans="2:4">
      <c r="B512" s="38">
        <v>44069</v>
      </c>
      <c r="C512" s="34" t="s">
        <v>1132</v>
      </c>
      <c r="D512" s="38"/>
    </row>
    <row r="513" spans="2:4">
      <c r="B513" s="38">
        <v>44070</v>
      </c>
      <c r="C513" s="34" t="s">
        <v>1133</v>
      </c>
      <c r="D513" s="38"/>
    </row>
    <row r="514" spans="2:4">
      <c r="B514" s="38">
        <v>44071</v>
      </c>
      <c r="C514" s="34" t="s">
        <v>1134</v>
      </c>
      <c r="D514" s="38"/>
    </row>
    <row r="515" spans="2:4">
      <c r="B515" s="38">
        <v>44074</v>
      </c>
      <c r="C515" s="34" t="s">
        <v>1135</v>
      </c>
      <c r="D515" s="38"/>
    </row>
    <row r="516" spans="2:4">
      <c r="B516" s="38">
        <v>44075</v>
      </c>
      <c r="C516" s="34" t="s">
        <v>1136</v>
      </c>
      <c r="D516" s="38"/>
    </row>
    <row r="517" spans="2:4">
      <c r="B517" s="38">
        <v>44076</v>
      </c>
      <c r="C517" s="34" t="s">
        <v>1137</v>
      </c>
      <c r="D517" s="38"/>
    </row>
    <row r="518" spans="2:4">
      <c r="B518" s="38">
        <v>44077</v>
      </c>
      <c r="C518" s="34" t="s">
        <v>1138</v>
      </c>
      <c r="D518" s="38"/>
    </row>
    <row r="519" spans="2:4">
      <c r="B519" s="38">
        <v>44078</v>
      </c>
      <c r="C519" s="34" t="s">
        <v>1139</v>
      </c>
      <c r="D519" s="38"/>
    </row>
    <row r="520" spans="2:4">
      <c r="B520" s="38">
        <v>44081</v>
      </c>
      <c r="C520" s="34" t="s">
        <v>1139</v>
      </c>
      <c r="D520" s="38"/>
    </row>
    <row r="521" spans="2:4">
      <c r="B521" s="38">
        <v>44082</v>
      </c>
      <c r="C521" s="34" t="s">
        <v>1140</v>
      </c>
      <c r="D521" s="38"/>
    </row>
    <row r="522" spans="2:4">
      <c r="B522" s="38">
        <v>44083</v>
      </c>
      <c r="C522" s="34" t="s">
        <v>1141</v>
      </c>
      <c r="D522" s="38"/>
    </row>
    <row r="523" spans="2:4">
      <c r="B523" s="38">
        <v>44084</v>
      </c>
      <c r="C523" s="34" t="s">
        <v>1142</v>
      </c>
      <c r="D523" s="38"/>
    </row>
    <row r="524" spans="2:4">
      <c r="B524" s="38">
        <v>44085</v>
      </c>
      <c r="C524" s="34" t="s">
        <v>1116</v>
      </c>
      <c r="D524" s="38"/>
    </row>
    <row r="525" spans="2:4">
      <c r="B525" s="38">
        <v>44088</v>
      </c>
      <c r="C525" s="34" t="s">
        <v>1030</v>
      </c>
      <c r="D525" s="38"/>
    </row>
    <row r="526" spans="2:4">
      <c r="B526" s="38">
        <v>44089</v>
      </c>
      <c r="C526" s="34" t="s">
        <v>1143</v>
      </c>
      <c r="D526" s="38"/>
    </row>
    <row r="527" spans="2:4">
      <c r="B527" s="38">
        <v>44090</v>
      </c>
      <c r="C527" s="34" t="s">
        <v>1144</v>
      </c>
      <c r="D527" s="38"/>
    </row>
    <row r="528" spans="2:4">
      <c r="B528" s="38">
        <v>44091</v>
      </c>
      <c r="C528" s="34" t="s">
        <v>1145</v>
      </c>
      <c r="D528" s="38"/>
    </row>
    <row r="529" spans="2:4">
      <c r="B529" s="38">
        <v>44092</v>
      </c>
      <c r="C529" s="34" t="s">
        <v>1146</v>
      </c>
      <c r="D529" s="38"/>
    </row>
    <row r="530" spans="2:4">
      <c r="B530" s="38">
        <v>44095</v>
      </c>
      <c r="C530" s="34" t="s">
        <v>1147</v>
      </c>
      <c r="D530" s="38"/>
    </row>
    <row r="531" spans="2:4">
      <c r="B531" s="38">
        <v>44096</v>
      </c>
      <c r="C531" s="34" t="s">
        <v>1148</v>
      </c>
      <c r="D531" s="38"/>
    </row>
    <row r="532" spans="2:4">
      <c r="B532" s="38">
        <v>44097</v>
      </c>
      <c r="C532" s="34" t="s">
        <v>1149</v>
      </c>
      <c r="D532" s="38"/>
    </row>
    <row r="533" spans="2:4">
      <c r="B533" s="38">
        <v>44098</v>
      </c>
      <c r="C533" s="34" t="s">
        <v>1150</v>
      </c>
      <c r="D533" s="38"/>
    </row>
    <row r="534" spans="2:4">
      <c r="B534" s="38">
        <v>44099</v>
      </c>
      <c r="C534" s="34" t="s">
        <v>1151</v>
      </c>
      <c r="D534" s="38"/>
    </row>
    <row r="535" spans="2:4">
      <c r="B535" s="38">
        <v>44102</v>
      </c>
      <c r="C535" s="34" t="s">
        <v>1116</v>
      </c>
      <c r="D535" s="38"/>
    </row>
    <row r="536" spans="2:4">
      <c r="B536" s="38">
        <v>44103</v>
      </c>
      <c r="C536" s="34" t="s">
        <v>1011</v>
      </c>
      <c r="D536" s="38"/>
    </row>
    <row r="537" spans="2:4">
      <c r="B537" s="38">
        <v>44104</v>
      </c>
      <c r="C537" s="34" t="s">
        <v>1146</v>
      </c>
      <c r="D537" s="38"/>
    </row>
    <row r="538" spans="2:4">
      <c r="B538" s="38">
        <v>44105</v>
      </c>
      <c r="C538" s="34" t="s">
        <v>1152</v>
      </c>
      <c r="D538" s="38"/>
    </row>
    <row r="539" spans="2:4">
      <c r="B539" s="38">
        <v>44106</v>
      </c>
      <c r="C539" s="34" t="s">
        <v>1153</v>
      </c>
      <c r="D539" s="38"/>
    </row>
    <row r="540" spans="2:4">
      <c r="B540" s="38">
        <v>44109</v>
      </c>
      <c r="C540" s="34" t="s">
        <v>1154</v>
      </c>
      <c r="D540" s="38"/>
    </row>
    <row r="541" spans="2:4">
      <c r="B541" s="38">
        <v>44110</v>
      </c>
      <c r="C541" s="34" t="s">
        <v>1115</v>
      </c>
      <c r="D541" s="38"/>
    </row>
    <row r="542" spans="2:4">
      <c r="B542" s="38">
        <v>44111</v>
      </c>
      <c r="C542" s="34" t="s">
        <v>1155</v>
      </c>
      <c r="D542" s="38"/>
    </row>
    <row r="543" spans="2:4">
      <c r="B543" s="38">
        <v>44112</v>
      </c>
      <c r="C543" s="34" t="s">
        <v>1144</v>
      </c>
      <c r="D543" s="38"/>
    </row>
    <row r="544" spans="2:4">
      <c r="B544" s="38">
        <v>44113</v>
      </c>
      <c r="C544" s="34" t="s">
        <v>1156</v>
      </c>
      <c r="D544" s="38"/>
    </row>
    <row r="545" spans="2:4">
      <c r="B545" s="38">
        <v>44116</v>
      </c>
      <c r="C545" s="34" t="s">
        <v>1157</v>
      </c>
      <c r="D545" s="38"/>
    </row>
    <row r="546" spans="2:4">
      <c r="B546" s="38">
        <v>44117</v>
      </c>
      <c r="C546" s="34" t="s">
        <v>1158</v>
      </c>
      <c r="D546" s="38"/>
    </row>
    <row r="547" spans="2:4">
      <c r="B547" s="38">
        <v>44118</v>
      </c>
      <c r="C547" s="34" t="s">
        <v>1159</v>
      </c>
      <c r="D547" s="38"/>
    </row>
    <row r="548" spans="2:4">
      <c r="B548" s="38">
        <v>44119</v>
      </c>
      <c r="C548" s="34" t="s">
        <v>1160</v>
      </c>
      <c r="D548" s="38"/>
    </row>
    <row r="549" spans="2:4">
      <c r="B549" s="38">
        <v>44120</v>
      </c>
      <c r="C549" s="34" t="s">
        <v>1161</v>
      </c>
      <c r="D549" s="38"/>
    </row>
    <row r="550" spans="2:4">
      <c r="B550" s="38">
        <v>44123</v>
      </c>
      <c r="C550" s="34" t="s">
        <v>1124</v>
      </c>
      <c r="D550" s="38"/>
    </row>
    <row r="551" spans="2:4">
      <c r="B551" s="38">
        <v>44124</v>
      </c>
      <c r="C551" s="34" t="s">
        <v>1028</v>
      </c>
      <c r="D551" s="38"/>
    </row>
    <row r="552" spans="2:4">
      <c r="B552" s="38">
        <v>44125</v>
      </c>
      <c r="C552" s="34" t="s">
        <v>1162</v>
      </c>
      <c r="D552" s="38"/>
    </row>
    <row r="553" spans="2:4">
      <c r="B553" s="38">
        <v>44126</v>
      </c>
      <c r="C553" s="34" t="s">
        <v>1163</v>
      </c>
      <c r="D553" s="38"/>
    </row>
    <row r="554" spans="2:4">
      <c r="B554" s="38">
        <v>44127</v>
      </c>
      <c r="C554" s="34" t="s">
        <v>1028</v>
      </c>
      <c r="D554" s="38"/>
    </row>
    <row r="555" spans="2:4">
      <c r="B555" s="38">
        <v>44130</v>
      </c>
      <c r="C555" s="34" t="s">
        <v>1164</v>
      </c>
      <c r="D555" s="38"/>
    </row>
    <row r="556" spans="2:4">
      <c r="B556" s="38">
        <v>44131</v>
      </c>
      <c r="C556" s="34" t="s">
        <v>1021</v>
      </c>
      <c r="D556" s="38"/>
    </row>
    <row r="557" spans="2:4">
      <c r="B557" s="38">
        <v>44132</v>
      </c>
      <c r="C557" s="34" t="s">
        <v>1165</v>
      </c>
      <c r="D557" s="38"/>
    </row>
    <row r="558" spans="2:4">
      <c r="B558" s="38">
        <v>44133</v>
      </c>
      <c r="C558" s="34" t="s">
        <v>1166</v>
      </c>
      <c r="D558" s="38"/>
    </row>
    <row r="559" spans="2:4">
      <c r="B559" s="38">
        <v>44134</v>
      </c>
      <c r="C559" s="34" t="s">
        <v>1000</v>
      </c>
      <c r="D559" s="38"/>
    </row>
    <row r="560" spans="2:4">
      <c r="B560" s="38">
        <v>44137</v>
      </c>
      <c r="C560" s="34" t="s">
        <v>1167</v>
      </c>
      <c r="D560" s="38"/>
    </row>
    <row r="561" spans="2:4">
      <c r="B561" s="38">
        <v>44138</v>
      </c>
      <c r="C561" s="34" t="s">
        <v>1168</v>
      </c>
      <c r="D561" s="38"/>
    </row>
    <row r="562" spans="2:4">
      <c r="B562" s="38">
        <v>44139</v>
      </c>
      <c r="C562" s="34" t="s">
        <v>1169</v>
      </c>
      <c r="D562" s="38"/>
    </row>
    <row r="563" spans="2:4">
      <c r="B563" s="38">
        <v>44140</v>
      </c>
      <c r="C563" s="34" t="s">
        <v>1158</v>
      </c>
      <c r="D563" s="38"/>
    </row>
    <row r="564" spans="2:4">
      <c r="B564" s="38">
        <v>44141</v>
      </c>
      <c r="C564" s="34" t="s">
        <v>1170</v>
      </c>
      <c r="D564" s="38"/>
    </row>
    <row r="565" spans="2:4">
      <c r="B565" s="38">
        <v>44144</v>
      </c>
      <c r="C565" s="34" t="s">
        <v>1171</v>
      </c>
      <c r="D565" s="38"/>
    </row>
    <row r="566" spans="2:4">
      <c r="B566" s="38">
        <v>44145</v>
      </c>
      <c r="C566" s="34" t="s">
        <v>1172</v>
      </c>
      <c r="D566" s="38"/>
    </row>
    <row r="567" spans="2:4">
      <c r="B567" s="38">
        <v>44146</v>
      </c>
      <c r="C567" s="34" t="s">
        <v>1173</v>
      </c>
      <c r="D567" s="38"/>
    </row>
    <row r="568" spans="2:4">
      <c r="B568" s="38">
        <v>44147</v>
      </c>
      <c r="C568" s="34" t="s">
        <v>1130</v>
      </c>
      <c r="D568" s="38"/>
    </row>
    <row r="569" spans="2:4">
      <c r="B569" s="38">
        <v>44148</v>
      </c>
      <c r="C569" s="34" t="s">
        <v>1174</v>
      </c>
      <c r="D569" s="38"/>
    </row>
    <row r="570" spans="2:4">
      <c r="B570" s="38">
        <v>44151</v>
      </c>
      <c r="C570" s="34" t="s">
        <v>1175</v>
      </c>
      <c r="D570" s="38"/>
    </row>
    <row r="571" spans="2:4">
      <c r="B571" s="38">
        <v>44152</v>
      </c>
      <c r="C571" s="34" t="s">
        <v>1176</v>
      </c>
      <c r="D571" s="38"/>
    </row>
    <row r="572" spans="2:4">
      <c r="B572" s="38">
        <v>44153</v>
      </c>
      <c r="C572" s="34" t="s">
        <v>1177</v>
      </c>
      <c r="D572" s="38"/>
    </row>
    <row r="573" spans="2:4">
      <c r="B573" s="38">
        <v>44154</v>
      </c>
      <c r="C573" s="34" t="s">
        <v>1178</v>
      </c>
      <c r="D573" s="38"/>
    </row>
    <row r="574" spans="2:4">
      <c r="B574" s="38">
        <v>44155</v>
      </c>
      <c r="C574" s="34" t="s">
        <v>1179</v>
      </c>
      <c r="D574" s="38"/>
    </row>
    <row r="575" spans="2:4">
      <c r="B575" s="38">
        <v>44158</v>
      </c>
      <c r="C575" s="34" t="s">
        <v>1180</v>
      </c>
      <c r="D575" s="38"/>
    </row>
    <row r="576" spans="2:4">
      <c r="B576" s="38">
        <v>44159</v>
      </c>
      <c r="C576" s="34" t="s">
        <v>1181</v>
      </c>
      <c r="D576" s="38"/>
    </row>
    <row r="577" spans="2:4">
      <c r="B577" s="38">
        <v>44160</v>
      </c>
      <c r="C577" s="34" t="s">
        <v>1182</v>
      </c>
      <c r="D577" s="38"/>
    </row>
    <row r="578" spans="2:4">
      <c r="B578" s="38">
        <v>44161</v>
      </c>
      <c r="C578" s="34" t="s">
        <v>1182</v>
      </c>
      <c r="D578" s="38"/>
    </row>
    <row r="579" spans="2:4">
      <c r="B579" s="38">
        <v>44162</v>
      </c>
      <c r="C579" s="34" t="s">
        <v>1183</v>
      </c>
      <c r="D579" s="38"/>
    </row>
    <row r="580" spans="2:4">
      <c r="B580" s="38">
        <v>44165</v>
      </c>
      <c r="C580" s="34" t="s">
        <v>1184</v>
      </c>
      <c r="D580" s="38"/>
    </row>
    <row r="581" spans="2:4">
      <c r="B581" s="38">
        <v>44166</v>
      </c>
      <c r="C581" s="34" t="s">
        <v>1181</v>
      </c>
      <c r="D581" s="38"/>
    </row>
    <row r="582" spans="2:4">
      <c r="B582" s="38">
        <v>44167</v>
      </c>
      <c r="C582" s="34" t="s">
        <v>1185</v>
      </c>
      <c r="D582" s="38"/>
    </row>
    <row r="583" spans="2:4">
      <c r="B583" s="38">
        <v>44168</v>
      </c>
      <c r="C583" s="34" t="s">
        <v>1186</v>
      </c>
      <c r="D583" s="38"/>
    </row>
    <row r="584" spans="2:4">
      <c r="B584" s="38">
        <v>44169</v>
      </c>
      <c r="C584" s="34" t="s">
        <v>1187</v>
      </c>
      <c r="D584" s="38"/>
    </row>
    <row r="585" spans="2:4">
      <c r="B585" s="38">
        <v>44172</v>
      </c>
      <c r="C585" s="34" t="s">
        <v>1188</v>
      </c>
      <c r="D585" s="38"/>
    </row>
    <row r="586" spans="2:4">
      <c r="B586" s="38">
        <v>44173</v>
      </c>
      <c r="C586" s="34" t="s">
        <v>1189</v>
      </c>
      <c r="D586" s="38"/>
    </row>
    <row r="587" spans="2:4">
      <c r="B587" s="38">
        <v>44174</v>
      </c>
      <c r="C587" s="34" t="s">
        <v>1190</v>
      </c>
      <c r="D587" s="38"/>
    </row>
    <row r="588" spans="2:4">
      <c r="B588" s="38">
        <v>44175</v>
      </c>
      <c r="C588" s="34" t="s">
        <v>1191</v>
      </c>
      <c r="D588" s="38"/>
    </row>
    <row r="589" spans="2:4">
      <c r="B589" s="38">
        <v>44176</v>
      </c>
      <c r="C589" s="34" t="s">
        <v>1192</v>
      </c>
      <c r="D589" s="38"/>
    </row>
    <row r="590" spans="2:4">
      <c r="B590" s="38">
        <v>44179</v>
      </c>
      <c r="C590" s="34" t="s">
        <v>1193</v>
      </c>
      <c r="D590" s="38"/>
    </row>
    <row r="591" spans="2:4">
      <c r="B591" s="38">
        <v>44180</v>
      </c>
      <c r="C591" s="34" t="s">
        <v>1194</v>
      </c>
      <c r="D591" s="38"/>
    </row>
    <row r="592" spans="2:4">
      <c r="B592" s="38">
        <v>44181</v>
      </c>
      <c r="C592" s="34" t="s">
        <v>1194</v>
      </c>
      <c r="D592" s="38"/>
    </row>
    <row r="593" spans="2:4">
      <c r="B593" s="38">
        <v>44182</v>
      </c>
      <c r="C593" s="34" t="s">
        <v>1195</v>
      </c>
      <c r="D593" s="38"/>
    </row>
    <row r="594" spans="2:4">
      <c r="B594" s="38">
        <v>44183</v>
      </c>
      <c r="C594" s="34" t="s">
        <v>1196</v>
      </c>
      <c r="D594" s="38"/>
    </row>
    <row r="595" spans="2:4">
      <c r="B595" s="38">
        <v>44186</v>
      </c>
      <c r="C595" s="34" t="s">
        <v>1197</v>
      </c>
      <c r="D595" s="38"/>
    </row>
    <row r="596" spans="2:4">
      <c r="B596" s="38">
        <v>44187</v>
      </c>
      <c r="C596" s="34" t="s">
        <v>1198</v>
      </c>
      <c r="D596" s="38"/>
    </row>
    <row r="597" spans="2:4">
      <c r="B597" s="38">
        <v>44188</v>
      </c>
      <c r="C597" s="34" t="s">
        <v>1199</v>
      </c>
      <c r="D597" s="38"/>
    </row>
    <row r="598" spans="2:4">
      <c r="B598" s="38">
        <v>44189</v>
      </c>
      <c r="C598" s="34" t="s">
        <v>1200</v>
      </c>
      <c r="D598" s="38"/>
    </row>
    <row r="599" spans="2:4">
      <c r="B599" s="38">
        <v>44190</v>
      </c>
      <c r="C599" s="34" t="s">
        <v>1200</v>
      </c>
      <c r="D599" s="38"/>
    </row>
    <row r="600" spans="2:4">
      <c r="B600" s="38">
        <v>44193</v>
      </c>
      <c r="C600" s="34" t="s">
        <v>1201</v>
      </c>
      <c r="D600" s="38"/>
    </row>
    <row r="601" spans="2:4">
      <c r="B601" s="38">
        <v>44194</v>
      </c>
      <c r="C601" s="34" t="s">
        <v>1202</v>
      </c>
      <c r="D601" s="38"/>
    </row>
    <row r="602" spans="2:4">
      <c r="B602" s="38">
        <v>44195</v>
      </c>
      <c r="C602" s="34" t="s">
        <v>1203</v>
      </c>
      <c r="D602" s="38"/>
    </row>
    <row r="603" spans="2:4">
      <c r="B603" s="38">
        <v>44196</v>
      </c>
      <c r="C603" s="34" t="s">
        <v>1204</v>
      </c>
      <c r="D603" s="38"/>
    </row>
    <row r="604" spans="2:4">
      <c r="B604" s="38">
        <v>44200</v>
      </c>
      <c r="C604" s="34" t="s">
        <v>1205</v>
      </c>
      <c r="D604" s="38"/>
    </row>
    <row r="605" spans="2:4">
      <c r="B605" s="38">
        <v>44201</v>
      </c>
      <c r="C605" s="34" t="s">
        <v>1206</v>
      </c>
      <c r="D605" s="38"/>
    </row>
    <row r="606" spans="2:4">
      <c r="B606" s="38">
        <v>44202</v>
      </c>
      <c r="C606" s="34" t="s">
        <v>1207</v>
      </c>
      <c r="D606" s="38"/>
    </row>
    <row r="607" spans="2:4">
      <c r="B607" s="38">
        <v>44203</v>
      </c>
      <c r="C607" s="34" t="s">
        <v>1208</v>
      </c>
      <c r="D607" s="38"/>
    </row>
    <row r="608" spans="2:4">
      <c r="B608" s="38">
        <v>44204</v>
      </c>
      <c r="C608" s="34" t="s">
        <v>1209</v>
      </c>
      <c r="D608" s="38"/>
    </row>
    <row r="609" spans="2:4">
      <c r="B609" s="38">
        <v>44207</v>
      </c>
      <c r="C609" s="34" t="s">
        <v>1210</v>
      </c>
      <c r="D609" s="38"/>
    </row>
    <row r="610" spans="2:4">
      <c r="B610" s="38">
        <v>44208</v>
      </c>
      <c r="C610" s="34" t="s">
        <v>1211</v>
      </c>
      <c r="D610" s="38"/>
    </row>
    <row r="611" spans="2:4">
      <c r="B611" s="38">
        <v>44209</v>
      </c>
      <c r="C611" s="34" t="s">
        <v>1212</v>
      </c>
      <c r="D611" s="38"/>
    </row>
    <row r="612" spans="2:4">
      <c r="B612" s="38">
        <v>44210</v>
      </c>
      <c r="C612" s="34" t="s">
        <v>1213</v>
      </c>
      <c r="D612" s="38"/>
    </row>
    <row r="613" spans="2:4">
      <c r="B613" s="38">
        <v>44211</v>
      </c>
      <c r="C613" s="34" t="s">
        <v>1214</v>
      </c>
      <c r="D613" s="38"/>
    </row>
    <row r="614" spans="2:4">
      <c r="B614" s="38">
        <v>44214</v>
      </c>
      <c r="C614" s="34" t="s">
        <v>1214</v>
      </c>
      <c r="D614" s="38"/>
    </row>
    <row r="615" spans="2:4">
      <c r="B615" s="38">
        <v>44215</v>
      </c>
      <c r="C615" s="34" t="s">
        <v>1209</v>
      </c>
      <c r="D615" s="38"/>
    </row>
    <row r="616" spans="2:4">
      <c r="B616" s="38">
        <v>44216</v>
      </c>
      <c r="C616" s="34" t="s">
        <v>1215</v>
      </c>
      <c r="D616" s="38"/>
    </row>
    <row r="617" spans="2:4">
      <c r="B617" s="38" t="e">
        <v>#VALUE!</v>
      </c>
      <c r="D617" s="38"/>
    </row>
    <row r="618" spans="2:4">
      <c r="B618" s="38" t="e">
        <v>#VALUE!</v>
      </c>
      <c r="D618" s="38"/>
    </row>
    <row r="619" spans="2:4">
      <c r="B619" s="38" t="e">
        <v>#VALUE!</v>
      </c>
      <c r="D619" s="38"/>
    </row>
    <row r="620" spans="2:4">
      <c r="B620" s="38" t="e">
        <v>#VALUE!</v>
      </c>
      <c r="D620" s="38"/>
    </row>
    <row r="621" spans="2:4">
      <c r="B621" s="38" t="e">
        <v>#VALUE!</v>
      </c>
      <c r="D621" s="38"/>
    </row>
    <row r="622" spans="2:4">
      <c r="B622" s="38" t="e">
        <v>#VALUE!</v>
      </c>
      <c r="D622" s="38"/>
    </row>
    <row r="623" spans="2:4">
      <c r="B623" s="38" t="e">
        <v>#VALUE!</v>
      </c>
      <c r="D623" s="38"/>
    </row>
    <row r="624" spans="2:4">
      <c r="B624" s="38" t="e">
        <v>#VALUE!</v>
      </c>
      <c r="D624" s="38"/>
    </row>
    <row r="625" spans="2:4">
      <c r="B625" s="38" t="e">
        <v>#VALUE!</v>
      </c>
      <c r="D625" s="38"/>
    </row>
    <row r="626" spans="2:4">
      <c r="B626" s="38" t="e">
        <v>#VALUE!</v>
      </c>
      <c r="D626" s="38"/>
    </row>
    <row r="627" spans="2:4">
      <c r="B627" s="38" t="e">
        <v>#VALUE!</v>
      </c>
      <c r="D627" s="38"/>
    </row>
    <row r="628" spans="2:4">
      <c r="B628" s="38" t="e">
        <v>#VALUE!</v>
      </c>
      <c r="D628" s="38"/>
    </row>
    <row r="629" spans="2:4">
      <c r="B629" s="38" t="e">
        <v>#VALUE!</v>
      </c>
      <c r="D629" s="38"/>
    </row>
    <row r="630" spans="2:4">
      <c r="B630" s="38" t="e">
        <v>#VALUE!</v>
      </c>
      <c r="D630" s="38"/>
    </row>
    <row r="631" spans="2:4">
      <c r="B631" s="38" t="e">
        <v>#VALUE!</v>
      </c>
      <c r="D631" s="38"/>
    </row>
    <row r="632" spans="2:4">
      <c r="B632" s="38" t="e">
        <v>#VALUE!</v>
      </c>
      <c r="D632" s="38"/>
    </row>
    <row r="633" spans="2:4">
      <c r="B633" s="38" t="e">
        <v>#VALUE!</v>
      </c>
      <c r="D633" s="38"/>
    </row>
    <row r="634" spans="2:4">
      <c r="B634" s="38" t="e">
        <v>#VALUE!</v>
      </c>
      <c r="D634" s="38"/>
    </row>
    <row r="635" spans="2:4">
      <c r="B635" s="38" t="e">
        <v>#VALUE!</v>
      </c>
      <c r="D635" s="38"/>
    </row>
    <row r="636" spans="2:4">
      <c r="B636" s="38" t="e">
        <v>#VALUE!</v>
      </c>
      <c r="D636" s="38"/>
    </row>
    <row r="637" spans="2:4">
      <c r="B637" s="38" t="e">
        <v>#VALUE!</v>
      </c>
      <c r="D637" s="38"/>
    </row>
    <row r="638" spans="2:4">
      <c r="B638" s="38" t="e">
        <v>#VALUE!</v>
      </c>
      <c r="D638" s="38"/>
    </row>
    <row r="639" spans="2:4">
      <c r="B639" s="38" t="e">
        <v>#VALUE!</v>
      </c>
      <c r="D639" s="38"/>
    </row>
    <row r="640" spans="2:4">
      <c r="B640" s="38" t="e">
        <v>#VALUE!</v>
      </c>
      <c r="D640" s="38"/>
    </row>
    <row r="641" spans="2:4">
      <c r="B641" s="38" t="e">
        <v>#VALUE!</v>
      </c>
      <c r="D641" s="38"/>
    </row>
    <row r="642" spans="2:4">
      <c r="B642" s="38" t="e">
        <v>#VALUE!</v>
      </c>
      <c r="D642" s="38"/>
    </row>
    <row r="643" spans="2:4">
      <c r="B643" s="38" t="e">
        <v>#VALUE!</v>
      </c>
      <c r="D643" s="38"/>
    </row>
    <row r="644" spans="2:4">
      <c r="B644" s="38" t="e">
        <v>#VALUE!</v>
      </c>
      <c r="D644" s="38"/>
    </row>
    <row r="645" spans="2:4">
      <c r="B645" s="38" t="e">
        <v>#VALUE!</v>
      </c>
      <c r="D645" s="38"/>
    </row>
    <row r="646" spans="2:4">
      <c r="B646" s="38" t="e">
        <v>#VALUE!</v>
      </c>
      <c r="D646" s="38"/>
    </row>
    <row r="647" spans="2:4">
      <c r="B647" s="38" t="e">
        <v>#VALUE!</v>
      </c>
      <c r="D647" s="38"/>
    </row>
    <row r="648" spans="2:4">
      <c r="B648" s="38" t="e">
        <v>#VALUE!</v>
      </c>
      <c r="D648" s="38"/>
    </row>
    <row r="649" spans="2:4">
      <c r="B649" s="38" t="e">
        <v>#VALUE!</v>
      </c>
      <c r="D649" s="38"/>
    </row>
    <row r="650" spans="2:4">
      <c r="B650" s="38" t="e">
        <v>#VALUE!</v>
      </c>
      <c r="D650" s="38"/>
    </row>
    <row r="651" spans="2:4">
      <c r="B651" s="38" t="e">
        <v>#VALUE!</v>
      </c>
      <c r="D651" s="38"/>
    </row>
    <row r="652" spans="2:4">
      <c r="B652" s="38" t="e">
        <v>#VALUE!</v>
      </c>
      <c r="D652" s="38"/>
    </row>
    <row r="653" spans="2:4">
      <c r="B653" s="38" t="e">
        <v>#VALUE!</v>
      </c>
      <c r="D653" s="38"/>
    </row>
    <row r="654" spans="2:4">
      <c r="B654" s="38" t="e">
        <v>#VALUE!</v>
      </c>
      <c r="D654" s="38"/>
    </row>
    <row r="655" spans="2:4">
      <c r="B655" s="38" t="e">
        <v>#VALUE!</v>
      </c>
      <c r="D655" s="38"/>
    </row>
    <row r="656" spans="2:4">
      <c r="B656" s="38" t="e">
        <v>#VALUE!</v>
      </c>
      <c r="D656" s="38"/>
    </row>
    <row r="657" spans="2:4">
      <c r="B657" s="38" t="e">
        <v>#VALUE!</v>
      </c>
      <c r="D657" s="38"/>
    </row>
    <row r="658" spans="2:4">
      <c r="B658" s="38" t="e">
        <v>#VALUE!</v>
      </c>
      <c r="D658" s="38"/>
    </row>
    <row r="659" spans="2:4">
      <c r="B659" s="38" t="e">
        <v>#VALUE!</v>
      </c>
      <c r="D659" s="38"/>
    </row>
    <row r="660" spans="2:4">
      <c r="B660" s="38" t="e">
        <v>#VALUE!</v>
      </c>
      <c r="D660" s="38"/>
    </row>
    <row r="661" spans="2:4">
      <c r="B661" s="38" t="e">
        <v>#VALUE!</v>
      </c>
      <c r="D661" s="38"/>
    </row>
    <row r="662" spans="2:4">
      <c r="B662" s="38" t="e">
        <v>#VALUE!</v>
      </c>
      <c r="D662" s="38"/>
    </row>
    <row r="663" spans="2:4">
      <c r="B663" s="38" t="e">
        <v>#VALUE!</v>
      </c>
      <c r="D663" s="38"/>
    </row>
    <row r="664" spans="2:4">
      <c r="B664" s="38" t="e">
        <v>#VALUE!</v>
      </c>
      <c r="D664" s="38"/>
    </row>
    <row r="665" spans="2:4">
      <c r="B665" s="38" t="e">
        <v>#VALUE!</v>
      </c>
      <c r="D665" s="38"/>
    </row>
    <row r="666" spans="2:4">
      <c r="B666" s="38" t="e">
        <v>#VALUE!</v>
      </c>
      <c r="D666" s="38"/>
    </row>
    <row r="667" spans="2:4">
      <c r="B667" s="38" t="e">
        <v>#VALUE!</v>
      </c>
      <c r="D667" s="38"/>
    </row>
    <row r="668" spans="2:4">
      <c r="B668" s="38" t="e">
        <v>#VALUE!</v>
      </c>
      <c r="D668" s="38"/>
    </row>
    <row r="669" spans="2:4">
      <c r="B669" s="38" t="e">
        <v>#VALUE!</v>
      </c>
      <c r="D669" s="38"/>
    </row>
    <row r="670" spans="2:4">
      <c r="B670" s="38" t="e">
        <v>#VALUE!</v>
      </c>
      <c r="D670" s="38"/>
    </row>
    <row r="671" spans="2:4">
      <c r="B671" s="38" t="e">
        <v>#VALUE!</v>
      </c>
      <c r="D671" s="38"/>
    </row>
    <row r="672" spans="2:4">
      <c r="B672" s="38" t="e">
        <v>#VALUE!</v>
      </c>
      <c r="D672" s="38"/>
    </row>
    <row r="673" spans="2:4">
      <c r="B673" s="38" t="e">
        <v>#VALUE!</v>
      </c>
      <c r="D673" s="38"/>
    </row>
    <row r="674" spans="2:4">
      <c r="B674" s="38" t="e">
        <v>#VALUE!</v>
      </c>
      <c r="D674" s="38"/>
    </row>
    <row r="675" spans="2:4">
      <c r="B675" s="38" t="e">
        <v>#VALUE!</v>
      </c>
      <c r="D675" s="38"/>
    </row>
    <row r="676" spans="2:4">
      <c r="B676" s="38" t="e">
        <v>#VALUE!</v>
      </c>
      <c r="D676" s="38"/>
    </row>
    <row r="677" spans="2:4">
      <c r="B677" s="38" t="e">
        <v>#VALUE!</v>
      </c>
      <c r="D677" s="38"/>
    </row>
    <row r="678" spans="2:4">
      <c r="B678" s="38" t="e">
        <v>#VALUE!</v>
      </c>
      <c r="D678" s="38"/>
    </row>
    <row r="679" spans="2:4">
      <c r="B679" s="38" t="e">
        <v>#VALUE!</v>
      </c>
      <c r="D679" s="38"/>
    </row>
    <row r="680" spans="2:4">
      <c r="B680" s="38" t="e">
        <v>#VALUE!</v>
      </c>
      <c r="D680" s="38"/>
    </row>
    <row r="681" spans="2:4">
      <c r="B681" s="38" t="e">
        <v>#VALUE!</v>
      </c>
      <c r="D681" s="38"/>
    </row>
    <row r="682" spans="2:4">
      <c r="B682" s="38" t="e">
        <v>#VALUE!</v>
      </c>
      <c r="D682" s="38"/>
    </row>
    <row r="683" spans="2:4">
      <c r="B683" s="38" t="e">
        <v>#VALUE!</v>
      </c>
      <c r="D683" s="38"/>
    </row>
    <row r="684" spans="2:4">
      <c r="B684" s="38" t="e">
        <v>#VALUE!</v>
      </c>
      <c r="D684" s="38"/>
    </row>
    <row r="685" spans="2:4">
      <c r="B685" s="38" t="e">
        <v>#VALUE!</v>
      </c>
      <c r="D685" s="38"/>
    </row>
    <row r="686" spans="2:4">
      <c r="B686" s="38" t="e">
        <v>#VALUE!</v>
      </c>
      <c r="D686" s="38"/>
    </row>
    <row r="687" spans="2:4">
      <c r="B687" s="38" t="e">
        <v>#VALUE!</v>
      </c>
      <c r="D687" s="38"/>
    </row>
    <row r="688" spans="2:4">
      <c r="B688" s="38" t="e">
        <v>#VALUE!</v>
      </c>
      <c r="D688" s="38"/>
    </row>
    <row r="689" spans="2:4">
      <c r="B689" s="38" t="e">
        <v>#VALUE!</v>
      </c>
      <c r="D689" s="38"/>
    </row>
    <row r="690" spans="2:4">
      <c r="B690" s="38" t="e">
        <v>#VALUE!</v>
      </c>
      <c r="D690" s="38"/>
    </row>
    <row r="691" spans="2:4">
      <c r="B691" s="38" t="e">
        <v>#VALUE!</v>
      </c>
      <c r="D691" s="38"/>
    </row>
    <row r="692" spans="2:4">
      <c r="B692" s="38" t="e">
        <v>#VALUE!</v>
      </c>
      <c r="D692" s="38"/>
    </row>
    <row r="693" spans="2:4">
      <c r="B693" s="38" t="e">
        <v>#VALUE!</v>
      </c>
      <c r="D693" s="38"/>
    </row>
    <row r="694" spans="2:4">
      <c r="B694" s="38" t="e">
        <v>#VALUE!</v>
      </c>
      <c r="D694" s="38"/>
    </row>
    <row r="695" spans="2:4">
      <c r="B695" s="38" t="e">
        <v>#VALUE!</v>
      </c>
      <c r="D695" s="38"/>
    </row>
    <row r="696" spans="2:4">
      <c r="B696" s="38" t="e">
        <v>#VALUE!</v>
      </c>
      <c r="D696" s="38"/>
    </row>
    <row r="697" spans="2:4">
      <c r="B697" s="38" t="e">
        <v>#VALUE!</v>
      </c>
      <c r="D697" s="38"/>
    </row>
    <row r="698" spans="2:4">
      <c r="B698" s="38" t="e">
        <v>#VALUE!</v>
      </c>
      <c r="D698" s="38"/>
    </row>
    <row r="699" spans="2:4">
      <c r="B699" s="38" t="e">
        <v>#VALUE!</v>
      </c>
      <c r="D699" s="38"/>
    </row>
    <row r="700" spans="2:4">
      <c r="B700" s="38" t="e">
        <v>#VALUE!</v>
      </c>
      <c r="D700" s="38"/>
    </row>
    <row r="701" spans="2:4">
      <c r="B701" s="38" t="e">
        <v>#VALUE!</v>
      </c>
      <c r="D701" s="38"/>
    </row>
    <row r="702" spans="2:4">
      <c r="B702" s="38" t="e">
        <v>#VALUE!</v>
      </c>
      <c r="D702" s="38"/>
    </row>
    <row r="703" spans="2:4">
      <c r="B703" s="38" t="e">
        <v>#VALUE!</v>
      </c>
      <c r="D703" s="38"/>
    </row>
    <row r="704" spans="2:4">
      <c r="B704" s="38" t="e">
        <v>#VALUE!</v>
      </c>
      <c r="D704" s="38"/>
    </row>
    <row r="705" spans="2:4">
      <c r="B705" s="38" t="e">
        <v>#VALUE!</v>
      </c>
      <c r="D705" s="38"/>
    </row>
    <row r="706" spans="2:4">
      <c r="B706" s="38" t="e">
        <v>#VALUE!</v>
      </c>
      <c r="D706" s="38"/>
    </row>
    <row r="707" spans="2:4">
      <c r="B707" s="38" t="e">
        <v>#VALUE!</v>
      </c>
      <c r="D707" s="38"/>
    </row>
    <row r="708" spans="2:4">
      <c r="B708" s="38" t="e">
        <v>#VALUE!</v>
      </c>
      <c r="D708" s="38"/>
    </row>
    <row r="709" spans="2:4">
      <c r="B709" s="38" t="e">
        <v>#VALUE!</v>
      </c>
      <c r="D709" s="38"/>
    </row>
    <row r="710" spans="2:4">
      <c r="B710" s="38" t="e">
        <v>#VALUE!</v>
      </c>
      <c r="D710" s="38"/>
    </row>
    <row r="711" spans="2:4">
      <c r="B711" s="38" t="e">
        <v>#VALUE!</v>
      </c>
      <c r="D711" s="38"/>
    </row>
    <row r="712" spans="2:4">
      <c r="B712" s="38" t="e">
        <v>#VALUE!</v>
      </c>
      <c r="D712" s="38"/>
    </row>
    <row r="713" spans="2:4">
      <c r="B713" s="38" t="e">
        <v>#VALUE!</v>
      </c>
      <c r="D713" s="38"/>
    </row>
    <row r="714" spans="2:4">
      <c r="B714" s="38" t="e">
        <v>#VALUE!</v>
      </c>
      <c r="D714" s="38"/>
    </row>
    <row r="715" spans="2:4">
      <c r="B715" s="38" t="e">
        <v>#VALUE!</v>
      </c>
      <c r="D715" s="38"/>
    </row>
    <row r="716" spans="2:4">
      <c r="B716" s="38" t="e">
        <v>#VALUE!</v>
      </c>
      <c r="D716" s="38"/>
    </row>
    <row r="717" spans="2:4">
      <c r="B717" s="38" t="e">
        <v>#VALUE!</v>
      </c>
      <c r="D717" s="38"/>
    </row>
    <row r="718" spans="2:4">
      <c r="B718" s="38" t="e">
        <v>#VALUE!</v>
      </c>
      <c r="D718" s="38"/>
    </row>
    <row r="719" spans="2:4">
      <c r="B719" s="38" t="e">
        <v>#VALUE!</v>
      </c>
      <c r="D719" s="38"/>
    </row>
    <row r="720" spans="2:4">
      <c r="B720" s="38" t="e">
        <v>#VALUE!</v>
      </c>
      <c r="D720" s="38"/>
    </row>
    <row r="721" spans="2:4">
      <c r="B721" s="38" t="e">
        <v>#VALUE!</v>
      </c>
      <c r="D721" s="38"/>
    </row>
    <row r="722" spans="2:4">
      <c r="B722" s="38" t="e">
        <v>#VALUE!</v>
      </c>
      <c r="D722" s="38"/>
    </row>
    <row r="723" spans="2:4">
      <c r="B723" s="38" t="e">
        <v>#VALUE!</v>
      </c>
      <c r="D723" s="38"/>
    </row>
    <row r="724" spans="2:4">
      <c r="B724" s="38" t="e">
        <v>#VALUE!</v>
      </c>
      <c r="D724" s="38"/>
    </row>
    <row r="725" spans="2:4">
      <c r="B725" s="38" t="e">
        <v>#VALUE!</v>
      </c>
      <c r="D725" s="38"/>
    </row>
    <row r="726" spans="2:4">
      <c r="B726" s="38" t="e">
        <v>#VALUE!</v>
      </c>
      <c r="D726" s="38"/>
    </row>
    <row r="727" spans="2:4">
      <c r="B727" s="38" t="e">
        <v>#VALUE!</v>
      </c>
      <c r="D727" s="38"/>
    </row>
    <row r="728" spans="2:4">
      <c r="B728" s="38" t="e">
        <v>#VALUE!</v>
      </c>
      <c r="D728" s="38"/>
    </row>
    <row r="729" spans="2:4">
      <c r="B729" s="38" t="e">
        <v>#VALUE!</v>
      </c>
      <c r="D729" s="38"/>
    </row>
    <row r="730" spans="2:4">
      <c r="B730" s="38" t="e">
        <v>#VALUE!</v>
      </c>
      <c r="D730" s="38"/>
    </row>
    <row r="731" spans="2:4">
      <c r="B731" s="38" t="e">
        <v>#VALUE!</v>
      </c>
      <c r="D731" s="38"/>
    </row>
    <row r="732" spans="2:4">
      <c r="B732" s="38" t="e">
        <v>#VALUE!</v>
      </c>
      <c r="D732" s="38"/>
    </row>
    <row r="733" spans="2:4">
      <c r="B733" s="38" t="e">
        <v>#VALUE!</v>
      </c>
      <c r="D733" s="38"/>
    </row>
    <row r="734" spans="2:4">
      <c r="B734" s="38" t="e">
        <v>#VALUE!</v>
      </c>
      <c r="D734" s="38"/>
    </row>
    <row r="735" spans="2:4">
      <c r="B735" s="38" t="e">
        <v>#VALUE!</v>
      </c>
      <c r="D735" s="38"/>
    </row>
    <row r="736" spans="2:4">
      <c r="B736" s="38" t="e">
        <v>#VALUE!</v>
      </c>
      <c r="D736" s="38"/>
    </row>
    <row r="737" spans="2:4">
      <c r="B737" s="38" t="e">
        <v>#VALUE!</v>
      </c>
      <c r="D737" s="38"/>
    </row>
    <row r="738" spans="2:4">
      <c r="B738" s="38" t="e">
        <v>#VALUE!</v>
      </c>
      <c r="D738" s="38"/>
    </row>
    <row r="739" spans="2:4">
      <c r="B739" s="38" t="e">
        <v>#VALUE!</v>
      </c>
      <c r="D739" s="38"/>
    </row>
    <row r="740" spans="2:4">
      <c r="B740" s="38" t="e">
        <v>#VALUE!</v>
      </c>
      <c r="D740" s="38"/>
    </row>
    <row r="741" spans="2:4">
      <c r="B741" s="38" t="e">
        <v>#VALUE!</v>
      </c>
      <c r="D741" s="38"/>
    </row>
    <row r="742" spans="2:4">
      <c r="B742" s="38" t="e">
        <v>#VALUE!</v>
      </c>
      <c r="D742" s="38"/>
    </row>
    <row r="743" spans="2:4">
      <c r="B743" s="38" t="e">
        <v>#VALUE!</v>
      </c>
      <c r="D743" s="38"/>
    </row>
    <row r="744" spans="2:4">
      <c r="B744" s="38" t="e">
        <v>#VALUE!</v>
      </c>
      <c r="D744" s="38"/>
    </row>
    <row r="745" spans="2:4">
      <c r="B745" s="38" t="e">
        <v>#VALUE!</v>
      </c>
      <c r="D745" s="38"/>
    </row>
    <row r="746" spans="2:4">
      <c r="B746" s="38" t="e">
        <v>#VALUE!</v>
      </c>
      <c r="D746" s="38"/>
    </row>
    <row r="747" spans="2:4">
      <c r="B747" s="38" t="e">
        <v>#VALUE!</v>
      </c>
      <c r="D747" s="38"/>
    </row>
    <row r="748" spans="2:4">
      <c r="B748" s="38" t="e">
        <v>#VALUE!</v>
      </c>
      <c r="D748" s="38"/>
    </row>
    <row r="749" spans="2:4">
      <c r="B749" s="38" t="e">
        <v>#VALUE!</v>
      </c>
      <c r="D749" s="38"/>
    </row>
    <row r="750" spans="2:4">
      <c r="B750" s="38" t="e">
        <v>#VALUE!</v>
      </c>
      <c r="D750" s="38"/>
    </row>
    <row r="751" spans="2:4">
      <c r="B751" s="38" t="e">
        <v>#VALUE!</v>
      </c>
      <c r="D751" s="38"/>
    </row>
    <row r="752" spans="2:4">
      <c r="B752" s="38" t="e">
        <v>#VALUE!</v>
      </c>
      <c r="D752" s="38"/>
    </row>
    <row r="753" spans="2:4">
      <c r="B753" s="38" t="e">
        <v>#VALUE!</v>
      </c>
      <c r="D753" s="38"/>
    </row>
    <row r="754" spans="2:4">
      <c r="B754" s="38" t="e">
        <v>#VALUE!</v>
      </c>
      <c r="D754" s="38"/>
    </row>
    <row r="755" spans="2:4">
      <c r="B755" s="38" t="e">
        <v>#VALUE!</v>
      </c>
      <c r="D755" s="38"/>
    </row>
    <row r="756" spans="2:4">
      <c r="B756" s="38" t="e">
        <v>#VALUE!</v>
      </c>
      <c r="D756" s="38"/>
    </row>
    <row r="757" spans="2:4">
      <c r="B757" s="38" t="e">
        <v>#VALUE!</v>
      </c>
      <c r="D757" s="38"/>
    </row>
    <row r="758" spans="2:4">
      <c r="B758" s="38" t="e">
        <v>#VALUE!</v>
      </c>
      <c r="D758" s="38"/>
    </row>
    <row r="759" spans="2:4">
      <c r="B759" s="38" t="e">
        <v>#VALUE!</v>
      </c>
      <c r="D759" s="38"/>
    </row>
    <row r="760" spans="2:4">
      <c r="B760" s="38" t="e">
        <v>#VALUE!</v>
      </c>
      <c r="D760" s="38"/>
    </row>
    <row r="761" spans="2:4">
      <c r="B761" s="38" t="e">
        <v>#VALUE!</v>
      </c>
      <c r="D761" s="38"/>
    </row>
    <row r="762" spans="2:4">
      <c r="B762" s="38" t="e">
        <v>#VALUE!</v>
      </c>
      <c r="D762" s="38"/>
    </row>
    <row r="763" spans="2:4">
      <c r="B763" s="38" t="e">
        <v>#VALUE!</v>
      </c>
      <c r="D763" s="38"/>
    </row>
    <row r="764" spans="2:4">
      <c r="B764" s="38" t="e">
        <v>#VALUE!</v>
      </c>
      <c r="D764" s="38"/>
    </row>
    <row r="765" spans="2:4">
      <c r="B765" s="38" t="e">
        <v>#VALUE!</v>
      </c>
      <c r="D765" s="38"/>
    </row>
    <row r="766" spans="2:4">
      <c r="B766" s="38" t="e">
        <v>#VALUE!</v>
      </c>
      <c r="D766" s="38"/>
    </row>
    <row r="767" spans="2:4">
      <c r="B767" s="38" t="e">
        <v>#VALUE!</v>
      </c>
      <c r="D767" s="38"/>
    </row>
    <row r="768" spans="2:4">
      <c r="B768" s="38" t="e">
        <v>#VALUE!</v>
      </c>
      <c r="D768" s="38"/>
    </row>
    <row r="769" spans="2:4">
      <c r="B769" s="38" t="e">
        <v>#VALUE!</v>
      </c>
      <c r="D769" s="38"/>
    </row>
    <row r="770" spans="2:4">
      <c r="B770" s="38" t="e">
        <v>#VALUE!</v>
      </c>
      <c r="D770" s="38"/>
    </row>
    <row r="771" spans="2:4">
      <c r="B771" s="38" t="e">
        <v>#VALUE!</v>
      </c>
      <c r="D771" s="38"/>
    </row>
    <row r="772" spans="2:4">
      <c r="B772" s="38" t="e">
        <v>#VALUE!</v>
      </c>
      <c r="D772" s="38"/>
    </row>
    <row r="773" spans="2:4">
      <c r="B773" s="38" t="e">
        <v>#VALUE!</v>
      </c>
      <c r="D773" s="38"/>
    </row>
    <row r="774" spans="2:4">
      <c r="B774" s="38" t="e">
        <v>#VALUE!</v>
      </c>
      <c r="D774" s="38"/>
    </row>
    <row r="775" spans="2:4">
      <c r="B775" s="38" t="e">
        <v>#VALUE!</v>
      </c>
      <c r="D775" s="38"/>
    </row>
    <row r="776" spans="2:4">
      <c r="B776" s="38" t="e">
        <v>#VALUE!</v>
      </c>
      <c r="D776" s="38"/>
    </row>
    <row r="777" spans="2:4">
      <c r="B777" s="38" t="e">
        <v>#VALUE!</v>
      </c>
      <c r="D777" s="38"/>
    </row>
    <row r="778" spans="2:4">
      <c r="B778" s="38" t="e">
        <v>#VALUE!</v>
      </c>
      <c r="D778" s="38"/>
    </row>
    <row r="779" spans="2:4">
      <c r="B779" s="38" t="e">
        <v>#VALUE!</v>
      </c>
      <c r="D779" s="38"/>
    </row>
    <row r="780" spans="2:4">
      <c r="B780" s="38" t="e">
        <v>#VALUE!</v>
      </c>
      <c r="D780" s="38"/>
    </row>
    <row r="781" spans="2:4">
      <c r="B781" s="38" t="e">
        <v>#VALUE!</v>
      </c>
      <c r="D781" s="38"/>
    </row>
    <row r="782" spans="2:4">
      <c r="B782" s="38" t="e">
        <v>#VALUE!</v>
      </c>
      <c r="D782" s="38"/>
    </row>
    <row r="783" spans="2:4">
      <c r="B783" s="38" t="e">
        <v>#VALUE!</v>
      </c>
      <c r="D783" s="38"/>
    </row>
  </sheetData>
  <sortState xmlns:xlrd2="http://schemas.microsoft.com/office/spreadsheetml/2017/richdata2" ref="B2:C783">
    <sortCondition ref="B2:B783"/>
  </sortState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B659B-B209-414A-BF8C-49A92BBD8F19}">
  <sheetPr codeName="Sheet15"/>
  <dimension ref="B1:P502"/>
  <sheetViews>
    <sheetView workbookViewId="0">
      <selection activeCell="N1" sqref="N1:P1048576"/>
    </sheetView>
  </sheetViews>
  <sheetFormatPr defaultColWidth="8.69140625" defaultRowHeight="14.6"/>
  <cols>
    <col min="2" max="2" width="14.3046875" style="33" bestFit="1" customWidth="1"/>
    <col min="3" max="3" width="9.69140625" bestFit="1" customWidth="1"/>
    <col min="5" max="5" width="12" bestFit="1" customWidth="1"/>
    <col min="6" max="6" width="6.69140625" bestFit="1" customWidth="1"/>
    <col min="7" max="7" width="10.69140625" bestFit="1" customWidth="1"/>
    <col min="8" max="8" width="8" customWidth="1"/>
    <col min="9" max="9" width="12.3046875" bestFit="1" customWidth="1"/>
    <col min="10" max="10" width="10.3046875" bestFit="1" customWidth="1"/>
    <col min="11" max="11" width="9.3046875" style="33"/>
    <col min="12" max="12" width="7.69140625" style="33" bestFit="1" customWidth="1"/>
  </cols>
  <sheetData>
    <row r="1" spans="2:16" ht="15" thickBot="1">
      <c r="B1" s="33" t="s">
        <v>1216</v>
      </c>
      <c r="C1" s="35" t="s">
        <v>109</v>
      </c>
      <c r="E1" t="s">
        <v>105</v>
      </c>
      <c r="F1" t="s">
        <v>102</v>
      </c>
      <c r="G1" t="s">
        <v>103</v>
      </c>
      <c r="H1" t="s">
        <v>104</v>
      </c>
      <c r="I1" s="33"/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2:16">
      <c r="B2" s="42">
        <v>43467</v>
      </c>
      <c r="C2" s="36">
        <v>217.68</v>
      </c>
      <c r="E2">
        <v>2</v>
      </c>
      <c r="F2" s="43"/>
      <c r="G2" s="30">
        <f>B2</f>
        <v>43467</v>
      </c>
      <c r="H2">
        <f>VLOOKUP(G2,$B:$C,2,TRUE)</f>
        <v>217.68</v>
      </c>
      <c r="I2" s="30"/>
      <c r="J2">
        <v>1</v>
      </c>
      <c r="K2" s="33">
        <f>H2</f>
        <v>217.68</v>
      </c>
      <c r="L2" s="58">
        <f>(K3-K2)/K2</f>
        <v>0.12325431826534354</v>
      </c>
      <c r="N2">
        <v>1</v>
      </c>
      <c r="O2">
        <f>K2</f>
        <v>217.68</v>
      </c>
      <c r="P2">
        <f>0</f>
        <v>0</v>
      </c>
    </row>
    <row r="3" spans="2:16">
      <c r="B3" s="42">
        <v>43468</v>
      </c>
      <c r="C3" s="36">
        <v>218.07</v>
      </c>
      <c r="E3">
        <v>1</v>
      </c>
      <c r="F3" s="43"/>
      <c r="G3" s="30">
        <f>DATE(YEAR(G2)+1,MONTH(G2),DAY(G2))</f>
        <v>43832</v>
      </c>
      <c r="H3">
        <f>VLOOKUP(G3,$B:$C,2,TRUE)</f>
        <v>244.51</v>
      </c>
      <c r="I3" s="30"/>
      <c r="J3">
        <v>2</v>
      </c>
      <c r="K3" s="33">
        <f>H3</f>
        <v>244.51</v>
      </c>
      <c r="L3" s="58">
        <f t="shared" ref="L3:L66" si="0">(K4-K3)/K3</f>
        <v>4.0611835916731454E-2</v>
      </c>
      <c r="N3">
        <v>2</v>
      </c>
      <c r="O3">
        <f t="shared" ref="O3:O66" si="1">K3</f>
        <v>244.51</v>
      </c>
      <c r="P3">
        <f>(O4-O2)/O2</f>
        <v>0.16887173833149571</v>
      </c>
    </row>
    <row r="4" spans="2:16">
      <c r="B4" s="42">
        <v>43469</v>
      </c>
      <c r="C4" s="36">
        <v>218.41</v>
      </c>
      <c r="E4">
        <v>0</v>
      </c>
      <c r="F4" s="43"/>
      <c r="G4" s="30">
        <f>DATE(YEAR(G3)+1,MONTH(G3),DAY(G3))</f>
        <v>44198</v>
      </c>
      <c r="H4">
        <f>VLOOKUP(G4,$B:$C,2,TRUE)</f>
        <v>254.44</v>
      </c>
      <c r="I4" s="30"/>
      <c r="J4">
        <v>3</v>
      </c>
      <c r="K4" s="33">
        <f>H4</f>
        <v>254.44</v>
      </c>
      <c r="L4" s="58">
        <f t="shared" si="0"/>
        <v>-0.1444741392862757</v>
      </c>
      <c r="N4">
        <v>3</v>
      </c>
      <c r="O4">
        <f t="shared" si="1"/>
        <v>254.44</v>
      </c>
      <c r="P4">
        <f>0</f>
        <v>0</v>
      </c>
    </row>
    <row r="5" spans="2:16">
      <c r="B5" s="42">
        <v>43472</v>
      </c>
      <c r="C5" s="36">
        <v>218.46</v>
      </c>
      <c r="F5" s="43"/>
      <c r="G5" s="30"/>
      <c r="I5" s="30"/>
      <c r="J5">
        <v>4</v>
      </c>
      <c r="K5" s="33">
        <f>K2</f>
        <v>217.68</v>
      </c>
      <c r="L5" s="58">
        <f t="shared" si="0"/>
        <v>0.12325431826534354</v>
      </c>
      <c r="N5">
        <v>4</v>
      </c>
      <c r="O5">
        <f t="shared" si="1"/>
        <v>217.68</v>
      </c>
      <c r="P5">
        <f>(O6-O4)/O4</f>
        <v>-3.9026882565634365E-2</v>
      </c>
    </row>
    <row r="6" spans="2:16">
      <c r="B6" s="42">
        <v>43473</v>
      </c>
      <c r="C6" s="36">
        <v>218.5</v>
      </c>
      <c r="F6" s="43"/>
      <c r="G6" s="30"/>
      <c r="I6" s="30"/>
      <c r="J6">
        <v>5</v>
      </c>
      <c r="K6" s="33">
        <f t="shared" ref="K6:K69" si="2">K3</f>
        <v>244.51</v>
      </c>
      <c r="L6" s="58">
        <f t="shared" si="0"/>
        <v>4.0611835916731454E-2</v>
      </c>
      <c r="N6">
        <v>5</v>
      </c>
      <c r="O6">
        <f t="shared" si="1"/>
        <v>244.51</v>
      </c>
      <c r="P6">
        <f>0</f>
        <v>0</v>
      </c>
    </row>
    <row r="7" spans="2:16">
      <c r="B7" s="42">
        <v>43474</v>
      </c>
      <c r="C7" s="36">
        <v>218.69</v>
      </c>
      <c r="F7" s="43"/>
      <c r="G7" s="30"/>
      <c r="J7">
        <v>6</v>
      </c>
      <c r="K7" s="33">
        <f t="shared" si="2"/>
        <v>254.44</v>
      </c>
      <c r="L7" s="58">
        <f t="shared" si="0"/>
        <v>-0.1444741392862757</v>
      </c>
      <c r="N7">
        <v>6</v>
      </c>
      <c r="O7">
        <f t="shared" si="1"/>
        <v>254.44</v>
      </c>
      <c r="P7">
        <f t="shared" ref="P7" si="3">(O8-O6)/O6</f>
        <v>-0.10972966340844949</v>
      </c>
    </row>
    <row r="8" spans="2:16">
      <c r="B8" s="42">
        <v>43475</v>
      </c>
      <c r="C8" s="36">
        <v>218.93</v>
      </c>
      <c r="F8" s="43"/>
      <c r="G8" s="30"/>
      <c r="J8">
        <v>7</v>
      </c>
      <c r="K8" s="33">
        <f t="shared" si="2"/>
        <v>217.68</v>
      </c>
      <c r="L8" s="58">
        <f t="shared" si="0"/>
        <v>0.12325431826534354</v>
      </c>
      <c r="N8">
        <v>7</v>
      </c>
      <c r="O8">
        <f t="shared" si="1"/>
        <v>217.68</v>
      </c>
      <c r="P8">
        <f>0</f>
        <v>0</v>
      </c>
    </row>
    <row r="9" spans="2:16">
      <c r="B9" s="42">
        <v>43476</v>
      </c>
      <c r="C9" s="36">
        <v>219.24</v>
      </c>
      <c r="F9" s="43"/>
      <c r="G9" s="30"/>
      <c r="J9">
        <v>8</v>
      </c>
      <c r="K9" s="33">
        <f t="shared" si="2"/>
        <v>244.51</v>
      </c>
      <c r="L9" s="58">
        <f t="shared" si="0"/>
        <v>4.0611835916731454E-2</v>
      </c>
      <c r="N9">
        <v>8</v>
      </c>
      <c r="O9">
        <f t="shared" si="1"/>
        <v>244.51</v>
      </c>
      <c r="P9">
        <f t="shared" ref="P9" si="4">(O10-O8)/O8</f>
        <v>0.16887173833149571</v>
      </c>
    </row>
    <row r="10" spans="2:16">
      <c r="B10" s="42">
        <v>43479</v>
      </c>
      <c r="C10" s="36">
        <v>219.03</v>
      </c>
      <c r="F10" s="43"/>
      <c r="G10" s="30"/>
      <c r="J10">
        <v>9</v>
      </c>
      <c r="K10" s="33">
        <f t="shared" si="2"/>
        <v>254.44</v>
      </c>
      <c r="L10" s="58">
        <f t="shared" si="0"/>
        <v>-0.1444741392862757</v>
      </c>
      <c r="N10">
        <v>9</v>
      </c>
      <c r="O10">
        <f t="shared" si="1"/>
        <v>254.44</v>
      </c>
      <c r="P10">
        <f>0</f>
        <v>0</v>
      </c>
    </row>
    <row r="11" spans="2:16">
      <c r="B11" s="42">
        <v>43480</v>
      </c>
      <c r="C11" s="36">
        <v>219.5</v>
      </c>
      <c r="F11" s="43"/>
      <c r="G11" s="30"/>
      <c r="J11">
        <v>10</v>
      </c>
      <c r="K11" s="33">
        <f t="shared" si="2"/>
        <v>217.68</v>
      </c>
      <c r="L11" s="58">
        <f t="shared" si="0"/>
        <v>0.12325431826534354</v>
      </c>
      <c r="N11">
        <v>10</v>
      </c>
      <c r="O11">
        <f t="shared" si="1"/>
        <v>217.68</v>
      </c>
      <c r="P11">
        <f t="shared" ref="P11" si="5">(O12-O10)/O10</f>
        <v>-3.9026882565634365E-2</v>
      </c>
    </row>
    <row r="12" spans="2:16">
      <c r="B12" s="42">
        <v>43481</v>
      </c>
      <c r="C12" s="36">
        <v>219.43</v>
      </c>
      <c r="F12" s="43"/>
      <c r="G12" s="30"/>
      <c r="J12">
        <v>11</v>
      </c>
      <c r="K12" s="33">
        <f t="shared" si="2"/>
        <v>244.51</v>
      </c>
      <c r="L12" s="58">
        <f t="shared" si="0"/>
        <v>4.0611835916731454E-2</v>
      </c>
      <c r="N12">
        <v>11</v>
      </c>
      <c r="O12">
        <f t="shared" si="1"/>
        <v>244.51</v>
      </c>
      <c r="P12">
        <f>0</f>
        <v>0</v>
      </c>
    </row>
    <row r="13" spans="2:16">
      <c r="B13" s="42">
        <v>43482</v>
      </c>
      <c r="C13" s="36">
        <v>219.48</v>
      </c>
      <c r="J13">
        <v>12</v>
      </c>
      <c r="K13" s="33">
        <f t="shared" si="2"/>
        <v>254.44</v>
      </c>
      <c r="L13" s="58">
        <f t="shared" si="0"/>
        <v>-0.1444741392862757</v>
      </c>
      <c r="N13">
        <v>12</v>
      </c>
      <c r="O13">
        <f t="shared" si="1"/>
        <v>254.44</v>
      </c>
      <c r="P13">
        <f t="shared" ref="P13" si="6">(O14-O12)/O12</f>
        <v>-0.10972966340844949</v>
      </c>
    </row>
    <row r="14" spans="2:16">
      <c r="B14" s="42">
        <v>43483</v>
      </c>
      <c r="C14" s="36">
        <v>219.65</v>
      </c>
      <c r="J14">
        <v>13</v>
      </c>
      <c r="K14" s="33">
        <f t="shared" si="2"/>
        <v>217.68</v>
      </c>
      <c r="L14" s="58">
        <f t="shared" si="0"/>
        <v>0.12325431826534354</v>
      </c>
      <c r="N14">
        <v>13</v>
      </c>
      <c r="O14">
        <f t="shared" si="1"/>
        <v>217.68</v>
      </c>
      <c r="P14">
        <f>0</f>
        <v>0</v>
      </c>
    </row>
    <row r="15" spans="2:16">
      <c r="B15" s="42">
        <v>43487</v>
      </c>
      <c r="C15" s="36">
        <v>219.52</v>
      </c>
      <c r="J15">
        <v>14</v>
      </c>
      <c r="K15" s="33">
        <f t="shared" si="2"/>
        <v>244.51</v>
      </c>
      <c r="L15" s="58">
        <f t="shared" si="0"/>
        <v>4.0611835916731454E-2</v>
      </c>
      <c r="N15">
        <v>14</v>
      </c>
      <c r="O15">
        <f t="shared" si="1"/>
        <v>244.51</v>
      </c>
      <c r="P15">
        <f t="shared" ref="P15" si="7">(O16-O14)/O14</f>
        <v>0.16887173833149571</v>
      </c>
    </row>
    <row r="16" spans="2:16">
      <c r="B16" s="42">
        <v>43488</v>
      </c>
      <c r="C16" s="36">
        <v>219.44</v>
      </c>
      <c r="J16">
        <v>15</v>
      </c>
      <c r="K16" s="33">
        <f t="shared" si="2"/>
        <v>254.44</v>
      </c>
      <c r="L16" s="58">
        <f t="shared" si="0"/>
        <v>-0.1444741392862757</v>
      </c>
      <c r="N16">
        <v>15</v>
      </c>
      <c r="O16">
        <f t="shared" si="1"/>
        <v>254.44</v>
      </c>
      <c r="P16">
        <f>0</f>
        <v>0</v>
      </c>
    </row>
    <row r="17" spans="2:16">
      <c r="B17" s="42">
        <v>43489</v>
      </c>
      <c r="C17" s="36">
        <v>220.01</v>
      </c>
      <c r="J17">
        <v>16</v>
      </c>
      <c r="K17" s="33">
        <f t="shared" si="2"/>
        <v>217.68</v>
      </c>
      <c r="L17" s="58">
        <f t="shared" si="0"/>
        <v>0.12325431826534354</v>
      </c>
      <c r="N17">
        <v>16</v>
      </c>
      <c r="O17">
        <f t="shared" si="1"/>
        <v>217.68</v>
      </c>
      <c r="P17">
        <f t="shared" ref="P17" si="8">(O18-O16)/O16</f>
        <v>-3.9026882565634365E-2</v>
      </c>
    </row>
    <row r="18" spans="2:16">
      <c r="B18" s="42">
        <v>43490</v>
      </c>
      <c r="C18" s="36">
        <v>220.05</v>
      </c>
      <c r="J18">
        <v>17</v>
      </c>
      <c r="K18" s="33">
        <f t="shared" si="2"/>
        <v>244.51</v>
      </c>
      <c r="L18" s="58">
        <f t="shared" si="0"/>
        <v>4.0611835916731454E-2</v>
      </c>
      <c r="N18">
        <v>17</v>
      </c>
      <c r="O18">
        <f t="shared" si="1"/>
        <v>244.51</v>
      </c>
      <c r="P18">
        <f>0</f>
        <v>0</v>
      </c>
    </row>
    <row r="19" spans="2:16">
      <c r="B19" s="42">
        <v>43493</v>
      </c>
      <c r="C19" s="36">
        <v>219.76</v>
      </c>
      <c r="J19">
        <v>18</v>
      </c>
      <c r="K19" s="33">
        <f t="shared" si="2"/>
        <v>254.44</v>
      </c>
      <c r="L19" s="58">
        <f t="shared" si="0"/>
        <v>-0.1444741392862757</v>
      </c>
      <c r="N19">
        <v>18</v>
      </c>
      <c r="O19">
        <f t="shared" si="1"/>
        <v>254.44</v>
      </c>
      <c r="P19">
        <f t="shared" ref="P19" si="9">(O20-O18)/O18</f>
        <v>-0.10972966340844949</v>
      </c>
    </row>
    <row r="20" spans="2:16">
      <c r="B20" s="42">
        <v>43494</v>
      </c>
      <c r="C20" s="36">
        <v>220.05</v>
      </c>
      <c r="J20">
        <v>19</v>
      </c>
      <c r="K20" s="33">
        <f t="shared" si="2"/>
        <v>217.68</v>
      </c>
      <c r="L20" s="58">
        <f t="shared" si="0"/>
        <v>0.12325431826534354</v>
      </c>
      <c r="N20">
        <v>19</v>
      </c>
      <c r="O20">
        <f t="shared" si="1"/>
        <v>217.68</v>
      </c>
      <c r="P20">
        <f>0</f>
        <v>0</v>
      </c>
    </row>
    <row r="21" spans="2:16">
      <c r="B21" s="42">
        <v>43495</v>
      </c>
      <c r="C21" s="36">
        <v>221.48</v>
      </c>
      <c r="J21">
        <v>20</v>
      </c>
      <c r="K21" s="33">
        <f t="shared" si="2"/>
        <v>244.51</v>
      </c>
      <c r="L21" s="58">
        <f t="shared" si="0"/>
        <v>4.0611835916731454E-2</v>
      </c>
      <c r="N21">
        <v>20</v>
      </c>
      <c r="O21">
        <f t="shared" si="1"/>
        <v>244.51</v>
      </c>
      <c r="P21">
        <f t="shared" ref="P21" si="10">(O22-O20)/O20</f>
        <v>0.16887173833149571</v>
      </c>
    </row>
    <row r="22" spans="2:16">
      <c r="B22" s="42">
        <v>43496</v>
      </c>
      <c r="C22" s="36">
        <v>222.69</v>
      </c>
      <c r="J22">
        <v>21</v>
      </c>
      <c r="K22" s="33">
        <f t="shared" si="2"/>
        <v>254.44</v>
      </c>
      <c r="L22" s="58">
        <f t="shared" si="0"/>
        <v>-0.1444741392862757</v>
      </c>
      <c r="N22">
        <v>21</v>
      </c>
      <c r="O22">
        <f t="shared" si="1"/>
        <v>254.44</v>
      </c>
      <c r="P22">
        <f>0</f>
        <v>0</v>
      </c>
    </row>
    <row r="23" spans="2:16">
      <c r="B23" s="42">
        <v>43497</v>
      </c>
      <c r="C23" s="36">
        <v>222.15</v>
      </c>
      <c r="J23">
        <v>22</v>
      </c>
      <c r="K23" s="33">
        <f t="shared" si="2"/>
        <v>217.68</v>
      </c>
      <c r="L23" s="58">
        <f t="shared" si="0"/>
        <v>0.12325431826534354</v>
      </c>
      <c r="N23">
        <v>22</v>
      </c>
      <c r="O23">
        <f t="shared" si="1"/>
        <v>217.68</v>
      </c>
      <c r="P23">
        <f t="shared" ref="P23" si="11">(O24-O22)/O22</f>
        <v>-3.9026882565634365E-2</v>
      </c>
    </row>
    <row r="24" spans="2:16">
      <c r="B24" s="42">
        <v>43500</v>
      </c>
      <c r="C24" s="36">
        <v>222.49</v>
      </c>
      <c r="J24">
        <v>23</v>
      </c>
      <c r="K24" s="33">
        <f t="shared" si="2"/>
        <v>244.51</v>
      </c>
      <c r="L24" s="58">
        <f t="shared" si="0"/>
        <v>4.0611835916731454E-2</v>
      </c>
      <c r="N24">
        <v>23</v>
      </c>
      <c r="O24">
        <f t="shared" si="1"/>
        <v>244.51</v>
      </c>
      <c r="P24">
        <f>0</f>
        <v>0</v>
      </c>
    </row>
    <row r="25" spans="2:16">
      <c r="B25" s="42">
        <v>43501</v>
      </c>
      <c r="C25" s="36">
        <v>223.06</v>
      </c>
      <c r="J25">
        <v>24</v>
      </c>
      <c r="K25" s="33">
        <f t="shared" si="2"/>
        <v>254.44</v>
      </c>
      <c r="L25" s="58">
        <f t="shared" si="0"/>
        <v>-0.1444741392862757</v>
      </c>
      <c r="N25">
        <v>24</v>
      </c>
      <c r="O25">
        <f t="shared" si="1"/>
        <v>254.44</v>
      </c>
      <c r="P25">
        <f t="shared" ref="P25" si="12">(O26-O24)/O24</f>
        <v>-0.10972966340844949</v>
      </c>
    </row>
    <row r="26" spans="2:16">
      <c r="B26" s="42">
        <v>43502</v>
      </c>
      <c r="C26" s="36">
        <v>222.89</v>
      </c>
      <c r="J26">
        <v>25</v>
      </c>
      <c r="K26" s="33">
        <f t="shared" si="2"/>
        <v>217.68</v>
      </c>
      <c r="L26" s="58">
        <f t="shared" si="0"/>
        <v>0.12325431826534354</v>
      </c>
      <c r="N26">
        <v>25</v>
      </c>
      <c r="O26">
        <f t="shared" si="1"/>
        <v>217.68</v>
      </c>
      <c r="P26">
        <f>0</f>
        <v>0</v>
      </c>
    </row>
    <row r="27" spans="2:16">
      <c r="B27" s="42">
        <v>43503</v>
      </c>
      <c r="C27" s="36">
        <v>222.43</v>
      </c>
      <c r="J27">
        <v>26</v>
      </c>
      <c r="K27" s="33">
        <f t="shared" si="2"/>
        <v>244.51</v>
      </c>
      <c r="L27" s="58">
        <f t="shared" si="0"/>
        <v>4.0611835916731454E-2</v>
      </c>
      <c r="N27">
        <v>26</v>
      </c>
      <c r="O27">
        <f t="shared" si="1"/>
        <v>244.51</v>
      </c>
      <c r="P27">
        <f t="shared" ref="P27" si="13">(O28-O26)/O26</f>
        <v>0.16887173833149571</v>
      </c>
    </row>
    <row r="28" spans="2:16">
      <c r="B28" s="42">
        <v>43504</v>
      </c>
      <c r="C28" s="36">
        <v>222.61</v>
      </c>
      <c r="J28">
        <v>27</v>
      </c>
      <c r="K28" s="33">
        <f t="shared" si="2"/>
        <v>254.44</v>
      </c>
      <c r="L28" s="58">
        <f t="shared" si="0"/>
        <v>-0.1444741392862757</v>
      </c>
      <c r="N28">
        <v>27</v>
      </c>
      <c r="O28">
        <f t="shared" si="1"/>
        <v>254.44</v>
      </c>
      <c r="P28">
        <f>0</f>
        <v>0</v>
      </c>
    </row>
    <row r="29" spans="2:16">
      <c r="B29" s="42">
        <v>43507</v>
      </c>
      <c r="C29" s="36">
        <v>222.46</v>
      </c>
      <c r="J29">
        <v>28</v>
      </c>
      <c r="K29" s="33">
        <f t="shared" si="2"/>
        <v>217.68</v>
      </c>
      <c r="L29" s="58">
        <f t="shared" si="0"/>
        <v>0.12325431826534354</v>
      </c>
      <c r="N29">
        <v>28</v>
      </c>
      <c r="O29">
        <f t="shared" si="1"/>
        <v>217.68</v>
      </c>
      <c r="P29">
        <f t="shared" ref="P29" si="14">(O30-O28)/O28</f>
        <v>-3.9026882565634365E-2</v>
      </c>
    </row>
    <row r="30" spans="2:16">
      <c r="B30" s="42">
        <v>43508</v>
      </c>
      <c r="C30" s="36">
        <v>223.48</v>
      </c>
      <c r="J30">
        <v>29</v>
      </c>
      <c r="K30" s="33">
        <f t="shared" si="2"/>
        <v>244.51</v>
      </c>
      <c r="L30" s="58">
        <f t="shared" si="0"/>
        <v>4.0611835916731454E-2</v>
      </c>
      <c r="N30">
        <v>29</v>
      </c>
      <c r="O30">
        <f t="shared" si="1"/>
        <v>244.51</v>
      </c>
      <c r="P30">
        <f>0</f>
        <v>0</v>
      </c>
    </row>
    <row r="31" spans="2:16">
      <c r="B31" s="42">
        <v>43509</v>
      </c>
      <c r="C31" s="36">
        <v>223.54</v>
      </c>
      <c r="J31">
        <v>30</v>
      </c>
      <c r="K31" s="33">
        <f t="shared" si="2"/>
        <v>254.44</v>
      </c>
      <c r="L31" s="58">
        <f t="shared" si="0"/>
        <v>-0.1444741392862757</v>
      </c>
      <c r="N31">
        <v>30</v>
      </c>
      <c r="O31">
        <f t="shared" si="1"/>
        <v>254.44</v>
      </c>
      <c r="P31">
        <f t="shared" ref="P31" si="15">(O32-O30)/O30</f>
        <v>-0.10972966340844949</v>
      </c>
    </row>
    <row r="32" spans="2:16">
      <c r="B32" s="42">
        <v>43510</v>
      </c>
      <c r="C32" s="36">
        <v>223.74</v>
      </c>
      <c r="J32">
        <v>31</v>
      </c>
      <c r="K32" s="33">
        <f t="shared" si="2"/>
        <v>217.68</v>
      </c>
      <c r="L32" s="58">
        <f t="shared" si="0"/>
        <v>0.12325431826534354</v>
      </c>
      <c r="N32">
        <v>31</v>
      </c>
      <c r="O32">
        <f t="shared" si="1"/>
        <v>217.68</v>
      </c>
      <c r="P32">
        <f>0</f>
        <v>0</v>
      </c>
    </row>
    <row r="33" spans="2:16">
      <c r="B33" s="42">
        <v>43511</v>
      </c>
      <c r="C33" s="36">
        <v>224.58</v>
      </c>
      <c r="J33">
        <v>32</v>
      </c>
      <c r="K33" s="33">
        <f t="shared" si="2"/>
        <v>244.51</v>
      </c>
      <c r="L33" s="58">
        <f t="shared" si="0"/>
        <v>4.0611835916731454E-2</v>
      </c>
      <c r="N33">
        <v>32</v>
      </c>
      <c r="O33">
        <f t="shared" si="1"/>
        <v>244.51</v>
      </c>
      <c r="P33">
        <f t="shared" ref="P33" si="16">(O34-O32)/O32</f>
        <v>0.16887173833149571</v>
      </c>
    </row>
    <row r="34" spans="2:16">
      <c r="B34" s="42">
        <v>43515</v>
      </c>
      <c r="C34" s="36">
        <v>225.02</v>
      </c>
      <c r="J34">
        <v>33</v>
      </c>
      <c r="K34" s="33">
        <f t="shared" si="2"/>
        <v>254.44</v>
      </c>
      <c r="L34" s="58">
        <f t="shared" si="0"/>
        <v>-0.1444741392862757</v>
      </c>
      <c r="N34">
        <v>33</v>
      </c>
      <c r="O34">
        <f t="shared" si="1"/>
        <v>254.44</v>
      </c>
      <c r="P34">
        <f>0</f>
        <v>0</v>
      </c>
    </row>
    <row r="35" spans="2:16">
      <c r="B35" s="42">
        <v>43516</v>
      </c>
      <c r="C35" s="36">
        <v>225.1</v>
      </c>
      <c r="J35">
        <v>34</v>
      </c>
      <c r="K35" s="33">
        <f t="shared" si="2"/>
        <v>217.68</v>
      </c>
      <c r="L35" s="58">
        <f t="shared" si="0"/>
        <v>0.12325431826534354</v>
      </c>
      <c r="N35">
        <v>34</v>
      </c>
      <c r="O35">
        <f t="shared" si="1"/>
        <v>217.68</v>
      </c>
      <c r="P35">
        <f t="shared" ref="P35" si="17">(O36-O34)/O34</f>
        <v>-3.9026882565634365E-2</v>
      </c>
    </row>
    <row r="36" spans="2:16">
      <c r="B36" s="42">
        <v>43517</v>
      </c>
      <c r="C36" s="36">
        <v>224.52</v>
      </c>
      <c r="J36">
        <v>35</v>
      </c>
      <c r="K36" s="33">
        <f t="shared" si="2"/>
        <v>244.51</v>
      </c>
      <c r="L36" s="58">
        <f t="shared" si="0"/>
        <v>4.0611835916731454E-2</v>
      </c>
      <c r="N36">
        <v>35</v>
      </c>
      <c r="O36">
        <f t="shared" si="1"/>
        <v>244.51</v>
      </c>
      <c r="P36">
        <f>0</f>
        <v>0</v>
      </c>
    </row>
    <row r="37" spans="2:16">
      <c r="B37" s="42">
        <v>43518</v>
      </c>
      <c r="C37" s="36">
        <v>225.32</v>
      </c>
      <c r="J37">
        <v>36</v>
      </c>
      <c r="K37" s="33">
        <f t="shared" si="2"/>
        <v>254.44</v>
      </c>
      <c r="L37" s="58">
        <f t="shared" si="0"/>
        <v>-0.1444741392862757</v>
      </c>
      <c r="N37">
        <v>36</v>
      </c>
      <c r="O37">
        <f t="shared" si="1"/>
        <v>254.44</v>
      </c>
      <c r="P37">
        <f t="shared" ref="P37" si="18">(O38-O36)/O36</f>
        <v>-0.10972966340844949</v>
      </c>
    </row>
    <row r="38" spans="2:16">
      <c r="B38" s="42">
        <v>43521</v>
      </c>
      <c r="C38" s="36">
        <v>225.44</v>
      </c>
      <c r="J38">
        <v>37</v>
      </c>
      <c r="K38" s="33">
        <f t="shared" si="2"/>
        <v>217.68</v>
      </c>
      <c r="L38" s="58">
        <f t="shared" si="0"/>
        <v>0.12325431826534354</v>
      </c>
      <c r="N38">
        <v>37</v>
      </c>
      <c r="O38">
        <f t="shared" si="1"/>
        <v>217.68</v>
      </c>
      <c r="P38">
        <f>0</f>
        <v>0</v>
      </c>
    </row>
    <row r="39" spans="2:16">
      <c r="B39" s="42">
        <v>43522</v>
      </c>
      <c r="C39" s="36">
        <v>225.64</v>
      </c>
      <c r="J39">
        <v>38</v>
      </c>
      <c r="K39" s="33">
        <f t="shared" si="2"/>
        <v>244.51</v>
      </c>
      <c r="L39" s="58">
        <f t="shared" si="0"/>
        <v>4.0611835916731454E-2</v>
      </c>
      <c r="N39">
        <v>38</v>
      </c>
      <c r="O39">
        <f t="shared" si="1"/>
        <v>244.51</v>
      </c>
      <c r="P39">
        <f t="shared" ref="P39" si="19">(O40-O38)/O38</f>
        <v>0.16887173833149571</v>
      </c>
    </row>
    <row r="40" spans="2:16">
      <c r="B40" s="42">
        <v>43523</v>
      </c>
      <c r="C40" s="36">
        <v>225.2</v>
      </c>
      <c r="J40">
        <v>39</v>
      </c>
      <c r="K40" s="33">
        <f t="shared" si="2"/>
        <v>254.44</v>
      </c>
      <c r="L40" s="58">
        <f t="shared" si="0"/>
        <v>-0.1444741392862757</v>
      </c>
      <c r="N40">
        <v>39</v>
      </c>
      <c r="O40">
        <f t="shared" si="1"/>
        <v>254.44</v>
      </c>
      <c r="P40">
        <f>0</f>
        <v>0</v>
      </c>
    </row>
    <row r="41" spans="2:16">
      <c r="B41" s="42">
        <v>43524</v>
      </c>
      <c r="C41" s="36">
        <v>224.75</v>
      </c>
      <c r="J41">
        <v>40</v>
      </c>
      <c r="K41" s="33">
        <f t="shared" si="2"/>
        <v>217.68</v>
      </c>
      <c r="L41" s="58">
        <f t="shared" si="0"/>
        <v>0.12325431826534354</v>
      </c>
      <c r="N41">
        <v>40</v>
      </c>
      <c r="O41">
        <f t="shared" si="1"/>
        <v>217.68</v>
      </c>
      <c r="P41">
        <f t="shared" ref="P41" si="20">(O42-O40)/O40</f>
        <v>-3.9026882565634365E-2</v>
      </c>
    </row>
    <row r="42" spans="2:16">
      <c r="B42" s="42">
        <v>43525</v>
      </c>
      <c r="C42" s="36">
        <v>225.04</v>
      </c>
      <c r="J42">
        <v>41</v>
      </c>
      <c r="K42" s="33">
        <f t="shared" si="2"/>
        <v>244.51</v>
      </c>
      <c r="L42" s="58">
        <f t="shared" si="0"/>
        <v>4.0611835916731454E-2</v>
      </c>
      <c r="N42">
        <v>41</v>
      </c>
      <c r="O42">
        <f t="shared" si="1"/>
        <v>244.51</v>
      </c>
      <c r="P42">
        <f>0</f>
        <v>0</v>
      </c>
    </row>
    <row r="43" spans="2:16">
      <c r="B43" s="42">
        <v>43528</v>
      </c>
      <c r="C43" s="36">
        <v>224.94</v>
      </c>
      <c r="J43">
        <v>42</v>
      </c>
      <c r="K43" s="33">
        <f t="shared" si="2"/>
        <v>254.44</v>
      </c>
      <c r="L43" s="58">
        <f t="shared" si="0"/>
        <v>-0.1444741392862757</v>
      </c>
      <c r="N43">
        <v>42</v>
      </c>
      <c r="O43">
        <f t="shared" si="1"/>
        <v>254.44</v>
      </c>
      <c r="P43">
        <f t="shared" ref="P43" si="21">(O44-O42)/O42</f>
        <v>-0.10972966340844949</v>
      </c>
    </row>
    <row r="44" spans="2:16">
      <c r="B44" s="42">
        <v>43529</v>
      </c>
      <c r="C44" s="36">
        <v>224.83</v>
      </c>
      <c r="J44">
        <v>43</v>
      </c>
      <c r="K44" s="33">
        <f t="shared" si="2"/>
        <v>217.68</v>
      </c>
      <c r="L44" s="58">
        <f t="shared" si="0"/>
        <v>0.12325431826534354</v>
      </c>
      <c r="N44">
        <v>43</v>
      </c>
      <c r="O44">
        <f t="shared" si="1"/>
        <v>217.68</v>
      </c>
      <c r="P44">
        <f>0</f>
        <v>0</v>
      </c>
    </row>
    <row r="45" spans="2:16">
      <c r="B45" s="42">
        <v>43530</v>
      </c>
      <c r="C45" s="36">
        <v>224.39</v>
      </c>
      <c r="J45">
        <v>44</v>
      </c>
      <c r="K45" s="33">
        <f t="shared" si="2"/>
        <v>244.51</v>
      </c>
      <c r="L45" s="58">
        <f t="shared" si="0"/>
        <v>4.0611835916731454E-2</v>
      </c>
      <c r="N45">
        <v>44</v>
      </c>
      <c r="O45">
        <f t="shared" si="1"/>
        <v>244.51</v>
      </c>
      <c r="P45">
        <f t="shared" ref="P45" si="22">(O46-O44)/O44</f>
        <v>0.16887173833149571</v>
      </c>
    </row>
    <row r="46" spans="2:16">
      <c r="B46" s="42">
        <v>43531</v>
      </c>
      <c r="C46" s="36">
        <v>223.86</v>
      </c>
      <c r="J46">
        <v>45</v>
      </c>
      <c r="K46" s="33">
        <f t="shared" si="2"/>
        <v>254.44</v>
      </c>
      <c r="L46" s="58">
        <f t="shared" si="0"/>
        <v>-0.1444741392862757</v>
      </c>
      <c r="N46">
        <v>45</v>
      </c>
      <c r="O46">
        <f t="shared" si="1"/>
        <v>254.44</v>
      </c>
      <c r="P46">
        <f>0</f>
        <v>0</v>
      </c>
    </row>
    <row r="47" spans="2:16">
      <c r="B47" s="42">
        <v>43532</v>
      </c>
      <c r="C47" s="36">
        <v>223.7</v>
      </c>
      <c r="J47">
        <v>46</v>
      </c>
      <c r="K47" s="33">
        <f t="shared" si="2"/>
        <v>217.68</v>
      </c>
      <c r="L47" s="58">
        <f t="shared" si="0"/>
        <v>0.12325431826534354</v>
      </c>
      <c r="N47">
        <v>46</v>
      </c>
      <c r="O47">
        <f t="shared" si="1"/>
        <v>217.68</v>
      </c>
      <c r="P47">
        <f t="shared" ref="P47" si="23">(O48-O46)/O46</f>
        <v>-3.9026882565634365E-2</v>
      </c>
    </row>
    <row r="48" spans="2:16">
      <c r="B48" s="42">
        <v>43535</v>
      </c>
      <c r="C48" s="36">
        <v>225.46</v>
      </c>
      <c r="J48">
        <v>47</v>
      </c>
      <c r="K48" s="33">
        <f t="shared" si="2"/>
        <v>244.51</v>
      </c>
      <c r="L48" s="58">
        <f t="shared" si="0"/>
        <v>4.0611835916731454E-2</v>
      </c>
      <c r="N48">
        <v>47</v>
      </c>
      <c r="O48">
        <f t="shared" si="1"/>
        <v>244.51</v>
      </c>
      <c r="P48">
        <f>0</f>
        <v>0</v>
      </c>
    </row>
    <row r="49" spans="2:16">
      <c r="B49" s="42">
        <v>43536</v>
      </c>
      <c r="C49" s="36">
        <v>225.99</v>
      </c>
      <c r="J49">
        <v>48</v>
      </c>
      <c r="K49" s="33">
        <f t="shared" si="2"/>
        <v>254.44</v>
      </c>
      <c r="L49" s="58">
        <f t="shared" si="0"/>
        <v>-0.1444741392862757</v>
      </c>
      <c r="N49">
        <v>48</v>
      </c>
      <c r="O49">
        <f t="shared" si="1"/>
        <v>254.44</v>
      </c>
      <c r="P49">
        <f t="shared" ref="P49" si="24">(O50-O48)/O48</f>
        <v>-0.10972966340844949</v>
      </c>
    </row>
    <row r="50" spans="2:16">
      <c r="B50" s="42">
        <v>43537</v>
      </c>
      <c r="C50" s="36">
        <v>226.81</v>
      </c>
      <c r="J50">
        <v>49</v>
      </c>
      <c r="K50" s="33">
        <f t="shared" si="2"/>
        <v>217.68</v>
      </c>
      <c r="L50" s="58">
        <f t="shared" si="0"/>
        <v>0.12325431826534354</v>
      </c>
      <c r="N50">
        <v>49</v>
      </c>
      <c r="O50">
        <f t="shared" si="1"/>
        <v>217.68</v>
      </c>
      <c r="P50">
        <f>0</f>
        <v>0</v>
      </c>
    </row>
    <row r="51" spans="2:16">
      <c r="B51" s="42">
        <v>43538</v>
      </c>
      <c r="C51" s="36">
        <v>226.6</v>
      </c>
      <c r="J51">
        <v>50</v>
      </c>
      <c r="K51" s="33">
        <f t="shared" si="2"/>
        <v>244.51</v>
      </c>
      <c r="L51" s="58">
        <f t="shared" si="0"/>
        <v>4.0611835916731454E-2</v>
      </c>
      <c r="N51">
        <v>50</v>
      </c>
      <c r="O51">
        <f t="shared" si="1"/>
        <v>244.51</v>
      </c>
      <c r="P51">
        <f t="shared" ref="P51" si="25">(O52-O50)/O50</f>
        <v>0.16887173833149571</v>
      </c>
    </row>
    <row r="52" spans="2:16">
      <c r="B52" s="42">
        <v>43539</v>
      </c>
      <c r="C52" s="36">
        <v>227.39</v>
      </c>
      <c r="J52">
        <v>51</v>
      </c>
      <c r="K52" s="33">
        <f t="shared" si="2"/>
        <v>254.44</v>
      </c>
      <c r="L52" s="58">
        <f t="shared" si="0"/>
        <v>-0.1444741392862757</v>
      </c>
      <c r="N52">
        <v>51</v>
      </c>
      <c r="O52">
        <f t="shared" si="1"/>
        <v>254.44</v>
      </c>
      <c r="P52">
        <f>0</f>
        <v>0</v>
      </c>
    </row>
    <row r="53" spans="2:16">
      <c r="B53" s="42">
        <v>43542</v>
      </c>
      <c r="C53" s="36">
        <v>227.76</v>
      </c>
      <c r="J53">
        <v>52</v>
      </c>
      <c r="K53" s="33">
        <f t="shared" si="2"/>
        <v>217.68</v>
      </c>
      <c r="L53" s="58">
        <f t="shared" si="0"/>
        <v>0.12325431826534354</v>
      </c>
      <c r="N53">
        <v>52</v>
      </c>
      <c r="O53">
        <f t="shared" si="1"/>
        <v>217.68</v>
      </c>
      <c r="P53">
        <f t="shared" ref="P53" si="26">(O54-O52)/O52</f>
        <v>-3.9026882565634365E-2</v>
      </c>
    </row>
    <row r="54" spans="2:16">
      <c r="B54" s="42">
        <v>43543</v>
      </c>
      <c r="C54" s="36">
        <v>227.71</v>
      </c>
      <c r="J54">
        <v>53</v>
      </c>
      <c r="K54" s="33">
        <f t="shared" si="2"/>
        <v>244.51</v>
      </c>
      <c r="L54" s="58">
        <f t="shared" si="0"/>
        <v>4.0611835916731454E-2</v>
      </c>
      <c r="N54">
        <v>53</v>
      </c>
      <c r="O54">
        <f t="shared" si="1"/>
        <v>244.51</v>
      </c>
      <c r="P54">
        <f>0</f>
        <v>0</v>
      </c>
    </row>
    <row r="55" spans="2:16">
      <c r="B55" s="42">
        <v>43544</v>
      </c>
      <c r="C55" s="36">
        <v>227.92</v>
      </c>
      <c r="J55">
        <v>54</v>
      </c>
      <c r="K55" s="33">
        <f t="shared" si="2"/>
        <v>254.44</v>
      </c>
      <c r="L55" s="58">
        <f t="shared" si="0"/>
        <v>-0.1444741392862757</v>
      </c>
      <c r="N55">
        <v>54</v>
      </c>
      <c r="O55">
        <f t="shared" si="1"/>
        <v>254.44</v>
      </c>
      <c r="P55">
        <f t="shared" ref="P55" si="27">(O56-O54)/O54</f>
        <v>-0.10972966340844949</v>
      </c>
    </row>
    <row r="56" spans="2:16">
      <c r="B56" s="42">
        <v>43545</v>
      </c>
      <c r="C56" s="36">
        <v>229.16</v>
      </c>
      <c r="J56">
        <v>55</v>
      </c>
      <c r="K56" s="33">
        <f t="shared" si="2"/>
        <v>217.68</v>
      </c>
      <c r="L56" s="58">
        <f t="shared" si="0"/>
        <v>0.12325431826534354</v>
      </c>
      <c r="N56">
        <v>55</v>
      </c>
      <c r="O56">
        <f t="shared" si="1"/>
        <v>217.68</v>
      </c>
      <c r="P56">
        <f>0</f>
        <v>0</v>
      </c>
    </row>
    <row r="57" spans="2:16">
      <c r="B57" s="42">
        <v>43546</v>
      </c>
      <c r="C57" s="36">
        <v>227.21</v>
      </c>
      <c r="J57">
        <v>56</v>
      </c>
      <c r="K57" s="33">
        <f t="shared" si="2"/>
        <v>244.51</v>
      </c>
      <c r="L57" s="58">
        <f t="shared" si="0"/>
        <v>4.0611835916731454E-2</v>
      </c>
      <c r="N57">
        <v>56</v>
      </c>
      <c r="O57">
        <f t="shared" si="1"/>
        <v>244.51</v>
      </c>
      <c r="P57">
        <f t="shared" ref="P57" si="28">(O58-O56)/O56</f>
        <v>0.16887173833149571</v>
      </c>
    </row>
    <row r="58" spans="2:16">
      <c r="B58" s="42">
        <v>43549</v>
      </c>
      <c r="C58" s="36">
        <v>227.33</v>
      </c>
      <c r="J58">
        <v>57</v>
      </c>
      <c r="K58" s="33">
        <f t="shared" si="2"/>
        <v>254.44</v>
      </c>
      <c r="L58" s="58">
        <f t="shared" si="0"/>
        <v>-0.1444741392862757</v>
      </c>
      <c r="N58">
        <v>57</v>
      </c>
      <c r="O58">
        <f t="shared" si="1"/>
        <v>254.44</v>
      </c>
      <c r="P58">
        <f>0</f>
        <v>0</v>
      </c>
    </row>
    <row r="59" spans="2:16">
      <c r="B59" s="42">
        <v>43550</v>
      </c>
      <c r="C59" s="36">
        <v>228.24</v>
      </c>
      <c r="J59">
        <v>58</v>
      </c>
      <c r="K59" s="33">
        <f t="shared" si="2"/>
        <v>217.68</v>
      </c>
      <c r="L59" s="58">
        <f t="shared" si="0"/>
        <v>0.12325431826534354</v>
      </c>
      <c r="N59">
        <v>58</v>
      </c>
      <c r="O59">
        <f t="shared" si="1"/>
        <v>217.68</v>
      </c>
      <c r="P59">
        <f t="shared" ref="P59" si="29">(O60-O58)/O58</f>
        <v>-3.9026882565634365E-2</v>
      </c>
    </row>
    <row r="60" spans="2:16">
      <c r="B60" s="42">
        <v>43551</v>
      </c>
      <c r="C60" s="36">
        <v>227.98</v>
      </c>
      <c r="J60">
        <v>59</v>
      </c>
      <c r="K60" s="33">
        <f t="shared" si="2"/>
        <v>244.51</v>
      </c>
      <c r="L60" s="58">
        <f t="shared" si="0"/>
        <v>4.0611835916731454E-2</v>
      </c>
      <c r="N60">
        <v>59</v>
      </c>
      <c r="O60">
        <f t="shared" si="1"/>
        <v>244.51</v>
      </c>
      <c r="P60">
        <f>0</f>
        <v>0</v>
      </c>
    </row>
    <row r="61" spans="2:16">
      <c r="B61" s="42">
        <v>43552</v>
      </c>
      <c r="C61" s="36">
        <v>228.24</v>
      </c>
      <c r="J61">
        <v>60</v>
      </c>
      <c r="K61" s="33">
        <f t="shared" si="2"/>
        <v>254.44</v>
      </c>
      <c r="L61" s="58">
        <f t="shared" si="0"/>
        <v>-0.1444741392862757</v>
      </c>
      <c r="N61">
        <v>60</v>
      </c>
      <c r="O61">
        <f t="shared" si="1"/>
        <v>254.44</v>
      </c>
      <c r="P61">
        <f t="shared" ref="P61" si="30">(O62-O60)/O60</f>
        <v>-0.10972966340844949</v>
      </c>
    </row>
    <row r="62" spans="2:16">
      <c r="B62" s="42">
        <v>43553</v>
      </c>
      <c r="C62" s="36">
        <v>228.79</v>
      </c>
      <c r="J62">
        <v>61</v>
      </c>
      <c r="K62" s="33">
        <f t="shared" si="2"/>
        <v>217.68</v>
      </c>
      <c r="L62" s="58">
        <f t="shared" si="0"/>
        <v>0.12325431826534354</v>
      </c>
      <c r="N62">
        <v>61</v>
      </c>
      <c r="O62">
        <f t="shared" si="1"/>
        <v>217.68</v>
      </c>
      <c r="P62">
        <f>0</f>
        <v>0</v>
      </c>
    </row>
    <row r="63" spans="2:16">
      <c r="B63" s="42">
        <v>43556</v>
      </c>
      <c r="C63" s="36">
        <v>229.54</v>
      </c>
      <c r="J63">
        <v>62</v>
      </c>
      <c r="K63" s="33">
        <f t="shared" si="2"/>
        <v>244.51</v>
      </c>
      <c r="L63" s="58">
        <f t="shared" si="0"/>
        <v>4.0611835916731454E-2</v>
      </c>
      <c r="N63">
        <v>62</v>
      </c>
      <c r="O63">
        <f t="shared" si="1"/>
        <v>244.51</v>
      </c>
      <c r="P63">
        <f t="shared" ref="P63" si="31">(O64-O62)/O62</f>
        <v>0.16887173833149571</v>
      </c>
    </row>
    <row r="64" spans="2:16">
      <c r="B64" s="42">
        <v>43557</v>
      </c>
      <c r="C64" s="36">
        <v>229.69</v>
      </c>
      <c r="J64">
        <v>63</v>
      </c>
      <c r="K64" s="33">
        <f t="shared" si="2"/>
        <v>254.44</v>
      </c>
      <c r="L64" s="58">
        <f t="shared" si="0"/>
        <v>-0.1444741392862757</v>
      </c>
      <c r="N64">
        <v>63</v>
      </c>
      <c r="O64">
        <f t="shared" si="1"/>
        <v>254.44</v>
      </c>
      <c r="P64">
        <f>0</f>
        <v>0</v>
      </c>
    </row>
    <row r="65" spans="2:16">
      <c r="B65" s="42">
        <v>43558</v>
      </c>
      <c r="C65" s="36">
        <v>229.69</v>
      </c>
      <c r="J65">
        <v>64</v>
      </c>
      <c r="K65" s="33">
        <f t="shared" si="2"/>
        <v>217.68</v>
      </c>
      <c r="L65" s="58">
        <f t="shared" si="0"/>
        <v>0.12325431826534354</v>
      </c>
      <c r="N65">
        <v>64</v>
      </c>
      <c r="O65">
        <f t="shared" si="1"/>
        <v>217.68</v>
      </c>
      <c r="P65">
        <f t="shared" ref="P65" si="32">(O66-O64)/O64</f>
        <v>-3.9026882565634365E-2</v>
      </c>
    </row>
    <row r="66" spans="2:16">
      <c r="B66" s="42">
        <v>43559</v>
      </c>
      <c r="C66" s="36">
        <v>229.98</v>
      </c>
      <c r="J66">
        <v>65</v>
      </c>
      <c r="K66" s="33">
        <f t="shared" si="2"/>
        <v>244.51</v>
      </c>
      <c r="L66" s="58">
        <f t="shared" si="0"/>
        <v>4.0611835916731454E-2</v>
      </c>
      <c r="N66">
        <v>65</v>
      </c>
      <c r="O66">
        <f t="shared" si="1"/>
        <v>244.51</v>
      </c>
      <c r="P66">
        <f>0</f>
        <v>0</v>
      </c>
    </row>
    <row r="67" spans="2:16">
      <c r="B67" s="42">
        <v>43560</v>
      </c>
      <c r="C67" s="36">
        <v>230.54</v>
      </c>
      <c r="J67">
        <v>66</v>
      </c>
      <c r="K67" s="33">
        <f t="shared" si="2"/>
        <v>254.44</v>
      </c>
      <c r="L67" s="58">
        <f t="shared" ref="L67:L104" si="33">(K68-K67)/K67</f>
        <v>-0.1444741392862757</v>
      </c>
      <c r="N67">
        <v>66</v>
      </c>
      <c r="O67">
        <f t="shared" ref="O67:O104" si="34">K67</f>
        <v>254.44</v>
      </c>
      <c r="P67">
        <f t="shared" ref="P67" si="35">(O68-O66)/O66</f>
        <v>-0.10972966340844949</v>
      </c>
    </row>
    <row r="68" spans="2:16">
      <c r="B68" s="42">
        <v>43563</v>
      </c>
      <c r="C68" s="36">
        <v>230.58</v>
      </c>
      <c r="J68">
        <v>67</v>
      </c>
      <c r="K68" s="33">
        <f t="shared" si="2"/>
        <v>217.68</v>
      </c>
      <c r="L68" s="58">
        <f t="shared" si="33"/>
        <v>0.12325431826534354</v>
      </c>
      <c r="N68">
        <v>67</v>
      </c>
      <c r="O68">
        <f t="shared" si="34"/>
        <v>217.68</v>
      </c>
      <c r="P68">
        <f>0</f>
        <v>0</v>
      </c>
    </row>
    <row r="69" spans="2:16">
      <c r="B69" s="42">
        <v>43564</v>
      </c>
      <c r="C69" s="36">
        <v>230.04</v>
      </c>
      <c r="J69">
        <v>68</v>
      </c>
      <c r="K69" s="33">
        <f t="shared" si="2"/>
        <v>244.51</v>
      </c>
      <c r="L69" s="58">
        <f t="shared" si="33"/>
        <v>4.0611835916731454E-2</v>
      </c>
      <c r="N69">
        <v>68</v>
      </c>
      <c r="O69">
        <f t="shared" si="34"/>
        <v>244.51</v>
      </c>
      <c r="P69">
        <f t="shared" ref="P69" si="36">(O70-O68)/O68</f>
        <v>0.16887173833149571</v>
      </c>
    </row>
    <row r="70" spans="2:16">
      <c r="B70" s="42">
        <v>43565</v>
      </c>
      <c r="C70" s="36">
        <v>230.61</v>
      </c>
      <c r="J70">
        <v>69</v>
      </c>
      <c r="K70" s="33">
        <f t="shared" ref="K70:K104" si="37">K67</f>
        <v>254.44</v>
      </c>
      <c r="L70" s="58">
        <f t="shared" si="33"/>
        <v>-0.1444741392862757</v>
      </c>
      <c r="N70">
        <v>69</v>
      </c>
      <c r="O70">
        <f t="shared" si="34"/>
        <v>254.44</v>
      </c>
      <c r="P70">
        <f>0</f>
        <v>0</v>
      </c>
    </row>
    <row r="71" spans="2:16">
      <c r="B71" s="42">
        <v>43566</v>
      </c>
      <c r="C71" s="36">
        <v>230.45</v>
      </c>
      <c r="J71">
        <v>70</v>
      </c>
      <c r="K71" s="33">
        <f t="shared" si="37"/>
        <v>217.68</v>
      </c>
      <c r="L71" s="58">
        <f t="shared" si="33"/>
        <v>0.12325431826534354</v>
      </c>
      <c r="N71">
        <v>70</v>
      </c>
      <c r="O71">
        <f t="shared" si="34"/>
        <v>217.68</v>
      </c>
      <c r="P71">
        <f t="shared" ref="P71" si="38">(O72-O70)/O70</f>
        <v>-3.9026882565634365E-2</v>
      </c>
    </row>
    <row r="72" spans="2:16">
      <c r="B72" s="42">
        <v>43567</v>
      </c>
      <c r="C72" s="36">
        <v>230.94</v>
      </c>
      <c r="J72">
        <v>71</v>
      </c>
      <c r="K72" s="33">
        <f t="shared" si="37"/>
        <v>244.51</v>
      </c>
      <c r="L72" s="58">
        <f t="shared" si="33"/>
        <v>4.0611835916731454E-2</v>
      </c>
      <c r="N72">
        <v>71</v>
      </c>
      <c r="O72">
        <f t="shared" si="34"/>
        <v>244.51</v>
      </c>
      <c r="P72">
        <f>0</f>
        <v>0</v>
      </c>
    </row>
    <row r="73" spans="2:16">
      <c r="B73" s="42">
        <v>43570</v>
      </c>
      <c r="C73" s="36">
        <v>230.93</v>
      </c>
      <c r="J73">
        <v>72</v>
      </c>
      <c r="K73" s="33">
        <f t="shared" si="37"/>
        <v>254.44</v>
      </c>
      <c r="L73" s="58">
        <f t="shared" si="33"/>
        <v>-0.1444741392862757</v>
      </c>
      <c r="N73">
        <v>72</v>
      </c>
      <c r="O73">
        <f t="shared" si="34"/>
        <v>254.44</v>
      </c>
      <c r="P73">
        <f t="shared" ref="P73" si="39">(O74-O72)/O72</f>
        <v>-0.10972966340844949</v>
      </c>
    </row>
    <row r="74" spans="2:16">
      <c r="B74" s="42">
        <v>43571</v>
      </c>
      <c r="C74" s="36">
        <v>230.74</v>
      </c>
      <c r="J74">
        <v>73</v>
      </c>
      <c r="K74" s="33">
        <f t="shared" si="37"/>
        <v>217.68</v>
      </c>
      <c r="L74" s="58">
        <f t="shared" si="33"/>
        <v>0.12325431826534354</v>
      </c>
      <c r="N74">
        <v>73</v>
      </c>
      <c r="O74">
        <f t="shared" si="34"/>
        <v>217.68</v>
      </c>
      <c r="P74">
        <f>0</f>
        <v>0</v>
      </c>
    </row>
    <row r="75" spans="2:16">
      <c r="B75" s="42">
        <v>43572</v>
      </c>
      <c r="C75" s="36">
        <v>230.5</v>
      </c>
      <c r="J75">
        <v>74</v>
      </c>
      <c r="K75" s="33">
        <f t="shared" si="37"/>
        <v>244.51</v>
      </c>
      <c r="L75" s="58">
        <f t="shared" si="33"/>
        <v>4.0611835916731454E-2</v>
      </c>
      <c r="N75">
        <v>74</v>
      </c>
      <c r="O75">
        <f t="shared" si="34"/>
        <v>244.51</v>
      </c>
      <c r="P75">
        <f t="shared" ref="P75" si="40">(O76-O74)/O74</f>
        <v>0.16887173833149571</v>
      </c>
    </row>
    <row r="76" spans="2:16">
      <c r="B76" s="42">
        <v>43573</v>
      </c>
      <c r="C76" s="36">
        <v>230.91</v>
      </c>
      <c r="J76">
        <v>75</v>
      </c>
      <c r="K76" s="33">
        <f t="shared" si="37"/>
        <v>254.44</v>
      </c>
      <c r="L76" s="58">
        <f t="shared" si="33"/>
        <v>-0.1444741392862757</v>
      </c>
      <c r="N76">
        <v>75</v>
      </c>
      <c r="O76">
        <f t="shared" si="34"/>
        <v>254.44</v>
      </c>
      <c r="P76">
        <f>0</f>
        <v>0</v>
      </c>
    </row>
    <row r="77" spans="2:16">
      <c r="B77" s="42">
        <v>43577</v>
      </c>
      <c r="C77" s="36">
        <v>230.89</v>
      </c>
      <c r="J77">
        <v>76</v>
      </c>
      <c r="K77" s="33">
        <f t="shared" si="37"/>
        <v>217.68</v>
      </c>
      <c r="L77" s="58">
        <f t="shared" si="33"/>
        <v>0.12325431826534354</v>
      </c>
      <c r="N77">
        <v>76</v>
      </c>
      <c r="O77">
        <f t="shared" si="34"/>
        <v>217.68</v>
      </c>
      <c r="P77">
        <f t="shared" ref="P77" si="41">(O78-O76)/O76</f>
        <v>-3.9026882565634365E-2</v>
      </c>
    </row>
    <row r="78" spans="2:16">
      <c r="B78" s="42">
        <v>43578</v>
      </c>
      <c r="C78" s="36">
        <v>232.14</v>
      </c>
      <c r="J78">
        <v>77</v>
      </c>
      <c r="K78" s="33">
        <f t="shared" si="37"/>
        <v>244.51</v>
      </c>
      <c r="L78" s="58">
        <f t="shared" si="33"/>
        <v>4.0611835916731454E-2</v>
      </c>
      <c r="N78">
        <v>77</v>
      </c>
      <c r="O78">
        <f t="shared" si="34"/>
        <v>244.51</v>
      </c>
      <c r="P78">
        <f>0</f>
        <v>0</v>
      </c>
    </row>
    <row r="79" spans="2:16">
      <c r="B79" s="42">
        <v>43579</v>
      </c>
      <c r="C79" s="36">
        <v>232.11</v>
      </c>
      <c r="J79">
        <v>78</v>
      </c>
      <c r="K79" s="33">
        <f t="shared" si="37"/>
        <v>254.44</v>
      </c>
      <c r="L79" s="58">
        <f t="shared" si="33"/>
        <v>-0.1444741392862757</v>
      </c>
      <c r="N79">
        <v>78</v>
      </c>
      <c r="O79">
        <f t="shared" si="34"/>
        <v>254.44</v>
      </c>
      <c r="P79">
        <f t="shared" ref="P79" si="42">(O80-O78)/O78</f>
        <v>-0.10972966340844949</v>
      </c>
    </row>
    <row r="80" spans="2:16">
      <c r="B80" s="42">
        <v>43580</v>
      </c>
      <c r="C80" s="36">
        <v>231.98</v>
      </c>
      <c r="J80">
        <v>79</v>
      </c>
      <c r="K80" s="33">
        <f t="shared" si="37"/>
        <v>217.68</v>
      </c>
      <c r="L80" s="58">
        <f t="shared" si="33"/>
        <v>0.12325431826534354</v>
      </c>
      <c r="N80">
        <v>79</v>
      </c>
      <c r="O80">
        <f t="shared" si="34"/>
        <v>217.68</v>
      </c>
      <c r="P80">
        <f>0</f>
        <v>0</v>
      </c>
    </row>
    <row r="81" spans="2:16">
      <c r="B81" s="42">
        <v>43581</v>
      </c>
      <c r="C81" s="36">
        <v>232.79</v>
      </c>
      <c r="J81">
        <v>80</v>
      </c>
      <c r="K81" s="33">
        <f t="shared" si="37"/>
        <v>244.51</v>
      </c>
      <c r="L81" s="58">
        <f t="shared" si="33"/>
        <v>4.0611835916731454E-2</v>
      </c>
      <c r="N81">
        <v>80</v>
      </c>
      <c r="O81">
        <f t="shared" si="34"/>
        <v>244.51</v>
      </c>
      <c r="P81">
        <f t="shared" ref="P81" si="43">(O82-O80)/O80</f>
        <v>0.16887173833149571</v>
      </c>
    </row>
    <row r="82" spans="2:16">
      <c r="B82" s="42">
        <v>43584</v>
      </c>
      <c r="C82" s="36">
        <v>232.87</v>
      </c>
      <c r="J82">
        <v>81</v>
      </c>
      <c r="K82" s="33">
        <f t="shared" si="37"/>
        <v>254.44</v>
      </c>
      <c r="L82" s="58">
        <f t="shared" si="33"/>
        <v>-0.1444741392862757</v>
      </c>
      <c r="N82">
        <v>81</v>
      </c>
      <c r="O82">
        <f t="shared" si="34"/>
        <v>254.44</v>
      </c>
      <c r="P82">
        <f>0</f>
        <v>0</v>
      </c>
    </row>
    <row r="83" spans="2:16">
      <c r="B83" s="42">
        <v>43585</v>
      </c>
      <c r="C83" s="36">
        <v>233.12</v>
      </c>
      <c r="J83">
        <v>82</v>
      </c>
      <c r="K83" s="33">
        <f t="shared" si="37"/>
        <v>217.68</v>
      </c>
      <c r="L83" s="58">
        <f t="shared" si="33"/>
        <v>0.12325431826534354</v>
      </c>
      <c r="N83">
        <v>82</v>
      </c>
      <c r="O83">
        <f t="shared" si="34"/>
        <v>217.68</v>
      </c>
      <c r="P83">
        <f t="shared" ref="P83" si="44">(O84-O82)/O82</f>
        <v>-3.9026882565634365E-2</v>
      </c>
    </row>
    <row r="84" spans="2:16">
      <c r="B84" s="42">
        <v>43586</v>
      </c>
      <c r="C84" s="36">
        <v>231.88</v>
      </c>
      <c r="J84">
        <v>83</v>
      </c>
      <c r="K84" s="33">
        <f t="shared" si="37"/>
        <v>244.51</v>
      </c>
      <c r="L84" s="58">
        <f t="shared" si="33"/>
        <v>4.0611835916731454E-2</v>
      </c>
      <c r="N84">
        <v>83</v>
      </c>
      <c r="O84">
        <f t="shared" si="34"/>
        <v>244.51</v>
      </c>
      <c r="P84">
        <f>0</f>
        <v>0</v>
      </c>
    </row>
    <row r="85" spans="2:16">
      <c r="B85" s="42">
        <v>43587</v>
      </c>
      <c r="C85" s="36">
        <v>231.3</v>
      </c>
      <c r="J85">
        <v>84</v>
      </c>
      <c r="K85" s="33">
        <f t="shared" si="37"/>
        <v>254.44</v>
      </c>
      <c r="L85" s="58">
        <f t="shared" si="33"/>
        <v>-0.1444741392862757</v>
      </c>
      <c r="N85">
        <v>84</v>
      </c>
      <c r="O85">
        <f t="shared" si="34"/>
        <v>254.44</v>
      </c>
      <c r="P85">
        <f t="shared" ref="P85" si="45">(O86-O84)/O84</f>
        <v>-0.10972966340844949</v>
      </c>
    </row>
    <row r="86" spans="2:16">
      <c r="B86" s="42">
        <v>43588</v>
      </c>
      <c r="C86" s="36">
        <v>233.07</v>
      </c>
      <c r="J86">
        <v>85</v>
      </c>
      <c r="K86" s="33">
        <f t="shared" si="37"/>
        <v>217.68</v>
      </c>
      <c r="L86" s="58">
        <f t="shared" si="33"/>
        <v>0.12325431826534354</v>
      </c>
      <c r="N86">
        <v>85</v>
      </c>
      <c r="O86">
        <f t="shared" si="34"/>
        <v>217.68</v>
      </c>
      <c r="P86">
        <f>0</f>
        <v>0</v>
      </c>
    </row>
    <row r="87" spans="2:16">
      <c r="B87" s="42">
        <v>43591</v>
      </c>
      <c r="C87" s="36">
        <v>232.44</v>
      </c>
      <c r="J87">
        <v>86</v>
      </c>
      <c r="K87" s="33">
        <f t="shared" si="37"/>
        <v>244.51</v>
      </c>
      <c r="L87" s="58">
        <f t="shared" si="33"/>
        <v>4.0611835916731454E-2</v>
      </c>
      <c r="N87">
        <v>86</v>
      </c>
      <c r="O87">
        <f t="shared" si="34"/>
        <v>244.51</v>
      </c>
      <c r="P87">
        <f t="shared" ref="P87" si="46">(O88-O86)/O86</f>
        <v>0.16887173833149571</v>
      </c>
    </row>
    <row r="88" spans="2:16">
      <c r="B88" s="42">
        <v>43592</v>
      </c>
      <c r="C88" s="36">
        <v>229.92</v>
      </c>
      <c r="J88">
        <v>87</v>
      </c>
      <c r="K88" s="33">
        <f t="shared" si="37"/>
        <v>254.44</v>
      </c>
      <c r="L88" s="58">
        <f t="shared" si="33"/>
        <v>-0.1444741392862757</v>
      </c>
      <c r="N88">
        <v>87</v>
      </c>
      <c r="O88">
        <f t="shared" si="34"/>
        <v>254.44</v>
      </c>
      <c r="P88">
        <f>0</f>
        <v>0</v>
      </c>
    </row>
    <row r="89" spans="2:16">
      <c r="B89" s="42">
        <v>43593</v>
      </c>
      <c r="C89" s="36">
        <v>229.54</v>
      </c>
      <c r="J89">
        <v>88</v>
      </c>
      <c r="K89" s="33">
        <f t="shared" si="37"/>
        <v>217.68</v>
      </c>
      <c r="L89" s="58">
        <f t="shared" si="33"/>
        <v>0.12325431826534354</v>
      </c>
      <c r="N89">
        <v>88</v>
      </c>
      <c r="O89">
        <f t="shared" si="34"/>
        <v>217.68</v>
      </c>
      <c r="P89">
        <f t="shared" ref="P89" si="47">(O90-O88)/O88</f>
        <v>-3.9026882565634365E-2</v>
      </c>
    </row>
    <row r="90" spans="2:16">
      <c r="B90" s="42">
        <v>43594</v>
      </c>
      <c r="C90" s="36">
        <v>229.2</v>
      </c>
      <c r="J90">
        <v>89</v>
      </c>
      <c r="K90" s="33">
        <f t="shared" si="37"/>
        <v>244.51</v>
      </c>
      <c r="L90" s="58">
        <f t="shared" si="33"/>
        <v>4.0611835916731454E-2</v>
      </c>
      <c r="N90">
        <v>89</v>
      </c>
      <c r="O90">
        <f t="shared" si="34"/>
        <v>244.51</v>
      </c>
      <c r="P90">
        <f>0</f>
        <v>0</v>
      </c>
    </row>
    <row r="91" spans="2:16">
      <c r="B91" s="42">
        <v>43595</v>
      </c>
      <c r="C91" s="36">
        <v>229.79</v>
      </c>
      <c r="J91">
        <v>90</v>
      </c>
      <c r="K91" s="33">
        <f t="shared" si="37"/>
        <v>254.44</v>
      </c>
      <c r="L91" s="58">
        <f t="shared" si="33"/>
        <v>-0.1444741392862757</v>
      </c>
      <c r="N91">
        <v>90</v>
      </c>
      <c r="O91">
        <f t="shared" si="34"/>
        <v>254.44</v>
      </c>
      <c r="P91">
        <f t="shared" ref="P91" si="48">(O92-O90)/O90</f>
        <v>-0.10972966340844949</v>
      </c>
    </row>
    <row r="92" spans="2:16">
      <c r="B92" s="42">
        <v>43598</v>
      </c>
      <c r="C92" s="36">
        <v>226.86</v>
      </c>
      <c r="J92">
        <v>91</v>
      </c>
      <c r="K92" s="33">
        <f t="shared" si="37"/>
        <v>217.68</v>
      </c>
      <c r="L92" s="58">
        <f t="shared" si="33"/>
        <v>0.12325431826534354</v>
      </c>
      <c r="N92">
        <v>91</v>
      </c>
      <c r="O92">
        <f t="shared" si="34"/>
        <v>217.68</v>
      </c>
      <c r="P92">
        <f>0</f>
        <v>0</v>
      </c>
    </row>
    <row r="93" spans="2:16">
      <c r="B93" s="42">
        <v>43599</v>
      </c>
      <c r="C93" s="36">
        <v>227.83</v>
      </c>
      <c r="J93">
        <v>92</v>
      </c>
      <c r="K93" s="33">
        <f t="shared" si="37"/>
        <v>244.51</v>
      </c>
      <c r="L93" s="58">
        <f t="shared" si="33"/>
        <v>4.0611835916731454E-2</v>
      </c>
      <c r="N93">
        <v>92</v>
      </c>
      <c r="O93">
        <f t="shared" si="34"/>
        <v>244.51</v>
      </c>
      <c r="P93">
        <f t="shared" ref="P93" si="49">(O94-O92)/O92</f>
        <v>0.16887173833149571</v>
      </c>
    </row>
    <row r="94" spans="2:16">
      <c r="B94" s="42">
        <v>43600</v>
      </c>
      <c r="C94" s="36">
        <v>228.78</v>
      </c>
      <c r="J94">
        <v>93</v>
      </c>
      <c r="K94" s="33">
        <f t="shared" si="37"/>
        <v>254.44</v>
      </c>
      <c r="L94" s="58">
        <f t="shared" si="33"/>
        <v>-0.1444741392862757</v>
      </c>
      <c r="N94">
        <v>93</v>
      </c>
      <c r="O94">
        <f t="shared" si="34"/>
        <v>254.44</v>
      </c>
      <c r="P94">
        <f>0</f>
        <v>0</v>
      </c>
    </row>
    <row r="95" spans="2:16">
      <c r="B95" s="42">
        <v>43601</v>
      </c>
      <c r="C95" s="36">
        <v>229.6</v>
      </c>
      <c r="J95">
        <v>94</v>
      </c>
      <c r="K95" s="33">
        <f t="shared" si="37"/>
        <v>217.68</v>
      </c>
      <c r="L95" s="58">
        <f t="shared" si="33"/>
        <v>0.12325431826534354</v>
      </c>
      <c r="N95">
        <v>94</v>
      </c>
      <c r="O95">
        <f t="shared" si="34"/>
        <v>217.68</v>
      </c>
      <c r="P95">
        <f t="shared" ref="P95" si="50">(O96-O94)/O94</f>
        <v>-3.9026882565634365E-2</v>
      </c>
    </row>
    <row r="96" spans="2:16">
      <c r="B96" s="42">
        <v>43602</v>
      </c>
      <c r="C96" s="36">
        <v>229.03</v>
      </c>
      <c r="J96">
        <v>95</v>
      </c>
      <c r="K96" s="33">
        <f t="shared" si="37"/>
        <v>244.51</v>
      </c>
      <c r="L96" s="58">
        <f t="shared" si="33"/>
        <v>4.0611835916731454E-2</v>
      </c>
      <c r="N96">
        <v>95</v>
      </c>
      <c r="O96">
        <f t="shared" si="34"/>
        <v>244.51</v>
      </c>
      <c r="P96">
        <f>0</f>
        <v>0</v>
      </c>
    </row>
    <row r="97" spans="2:16">
      <c r="B97" s="42">
        <v>43605</v>
      </c>
      <c r="C97" s="36">
        <v>228.14</v>
      </c>
      <c r="J97">
        <v>96</v>
      </c>
      <c r="K97" s="33">
        <f t="shared" si="37"/>
        <v>254.44</v>
      </c>
      <c r="L97" s="58">
        <f t="shared" si="33"/>
        <v>-0.1444741392862757</v>
      </c>
      <c r="N97">
        <v>96</v>
      </c>
      <c r="O97">
        <f t="shared" si="34"/>
        <v>254.44</v>
      </c>
      <c r="P97">
        <f t="shared" ref="P97" si="51">(O98-O96)/O96</f>
        <v>-0.10972966340844949</v>
      </c>
    </row>
    <row r="98" spans="2:16">
      <c r="B98" s="42">
        <v>43606</v>
      </c>
      <c r="C98" s="36">
        <v>228.85</v>
      </c>
      <c r="J98">
        <v>97</v>
      </c>
      <c r="K98" s="33">
        <f t="shared" si="37"/>
        <v>217.68</v>
      </c>
      <c r="L98" s="58">
        <f t="shared" si="33"/>
        <v>0.12325431826534354</v>
      </c>
      <c r="N98">
        <v>97</v>
      </c>
      <c r="O98">
        <f t="shared" si="34"/>
        <v>217.68</v>
      </c>
      <c r="P98">
        <f>0</f>
        <v>0</v>
      </c>
    </row>
    <row r="99" spans="2:16">
      <c r="B99" s="42">
        <v>43607</v>
      </c>
      <c r="C99" s="36">
        <v>228.9</v>
      </c>
      <c r="J99">
        <v>98</v>
      </c>
      <c r="K99" s="33">
        <f t="shared" si="37"/>
        <v>244.51</v>
      </c>
      <c r="L99" s="58">
        <f t="shared" si="33"/>
        <v>4.0611835916731454E-2</v>
      </c>
      <c r="N99">
        <v>98</v>
      </c>
      <c r="O99">
        <f t="shared" si="34"/>
        <v>244.51</v>
      </c>
      <c r="P99">
        <f t="shared" ref="P99" si="52">(O100-O98)/O98</f>
        <v>0.16887173833149571</v>
      </c>
    </row>
    <row r="100" spans="2:16">
      <c r="B100" s="42">
        <v>43608</v>
      </c>
      <c r="C100" s="36">
        <v>228.73</v>
      </c>
      <c r="J100">
        <v>99</v>
      </c>
      <c r="K100" s="33">
        <f t="shared" si="37"/>
        <v>254.44</v>
      </c>
      <c r="L100" s="58">
        <f t="shared" si="33"/>
        <v>-0.1444741392862757</v>
      </c>
      <c r="N100">
        <v>99</v>
      </c>
      <c r="O100">
        <f t="shared" si="34"/>
        <v>254.44</v>
      </c>
      <c r="P100">
        <f>0</f>
        <v>0</v>
      </c>
    </row>
    <row r="101" spans="2:16">
      <c r="B101" s="42">
        <v>43609</v>
      </c>
      <c r="C101" s="36">
        <v>228.53</v>
      </c>
      <c r="J101">
        <v>100</v>
      </c>
      <c r="K101" s="33">
        <f t="shared" si="37"/>
        <v>217.68</v>
      </c>
      <c r="L101" s="58">
        <f t="shared" si="33"/>
        <v>0.12325431826534354</v>
      </c>
      <c r="N101">
        <v>100</v>
      </c>
      <c r="O101">
        <f t="shared" si="34"/>
        <v>217.68</v>
      </c>
      <c r="P101">
        <f t="shared" ref="P101" si="53">(O102-O100)/O100</f>
        <v>-3.9026882565634365E-2</v>
      </c>
    </row>
    <row r="102" spans="2:16">
      <c r="B102" s="42">
        <v>43613</v>
      </c>
      <c r="C102" s="36">
        <v>228.39</v>
      </c>
      <c r="J102">
        <v>101</v>
      </c>
      <c r="K102" s="33">
        <f t="shared" si="37"/>
        <v>244.51</v>
      </c>
      <c r="L102" s="58">
        <f t="shared" si="33"/>
        <v>4.0611835916731454E-2</v>
      </c>
      <c r="N102">
        <v>101</v>
      </c>
      <c r="O102">
        <f t="shared" si="34"/>
        <v>244.51</v>
      </c>
      <c r="P102">
        <f>0</f>
        <v>0</v>
      </c>
    </row>
    <row r="103" spans="2:16">
      <c r="B103" s="42">
        <v>43614</v>
      </c>
      <c r="C103" s="36">
        <v>228.04</v>
      </c>
      <c r="J103">
        <v>102</v>
      </c>
      <c r="K103" s="33">
        <f t="shared" si="37"/>
        <v>254.44</v>
      </c>
      <c r="L103" s="58">
        <f t="shared" si="33"/>
        <v>-0.1444741392862757</v>
      </c>
      <c r="N103">
        <v>102</v>
      </c>
      <c r="O103">
        <f t="shared" si="34"/>
        <v>254.44</v>
      </c>
      <c r="P103">
        <f t="shared" ref="P103" si="54">(O104-O102)/O102</f>
        <v>-0.10972966340844949</v>
      </c>
    </row>
    <row r="104" spans="2:16">
      <c r="B104" s="42">
        <v>43615</v>
      </c>
      <c r="C104" s="36">
        <v>228.32</v>
      </c>
      <c r="J104">
        <v>103</v>
      </c>
      <c r="K104" s="33">
        <f t="shared" si="37"/>
        <v>217.68</v>
      </c>
      <c r="L104" s="58">
        <f t="shared" si="33"/>
        <v>-1</v>
      </c>
      <c r="N104">
        <v>103</v>
      </c>
      <c r="O104">
        <f t="shared" si="34"/>
        <v>217.68</v>
      </c>
      <c r="P104">
        <f>0</f>
        <v>0</v>
      </c>
    </row>
    <row r="105" spans="2:16">
      <c r="B105" s="42">
        <v>43616</v>
      </c>
      <c r="C105" s="36">
        <v>227.94</v>
      </c>
    </row>
    <row r="106" spans="2:16">
      <c r="B106" s="42">
        <v>43619</v>
      </c>
      <c r="C106" s="36">
        <v>228.39</v>
      </c>
    </row>
    <row r="107" spans="2:16">
      <c r="B107" s="42">
        <v>43620</v>
      </c>
      <c r="C107" s="36">
        <v>229.98</v>
      </c>
    </row>
    <row r="108" spans="2:16">
      <c r="B108" s="42">
        <v>43621</v>
      </c>
      <c r="C108" s="36">
        <v>230.73</v>
      </c>
    </row>
    <row r="109" spans="2:16">
      <c r="B109" s="42">
        <v>43622</v>
      </c>
      <c r="C109" s="36">
        <v>231.2</v>
      </c>
    </row>
    <row r="110" spans="2:16">
      <c r="B110" s="42">
        <v>43623</v>
      </c>
      <c r="C110" s="36">
        <v>232.3</v>
      </c>
    </row>
    <row r="111" spans="2:16">
      <c r="B111" s="42">
        <v>43626</v>
      </c>
      <c r="C111" s="36">
        <v>232.34</v>
      </c>
    </row>
    <row r="112" spans="2:16">
      <c r="B112" s="42">
        <v>43627</v>
      </c>
      <c r="C112" s="36">
        <v>232.33</v>
      </c>
    </row>
    <row r="113" spans="2:3">
      <c r="B113" s="42">
        <v>43628</v>
      </c>
      <c r="C113" s="36">
        <v>232.37</v>
      </c>
    </row>
    <row r="114" spans="2:3">
      <c r="B114" s="42">
        <v>43629</v>
      </c>
      <c r="C114" s="36">
        <v>233.15</v>
      </c>
    </row>
    <row r="115" spans="2:3">
      <c r="B115" s="42">
        <v>43630</v>
      </c>
      <c r="C115" s="36">
        <v>232.89</v>
      </c>
    </row>
    <row r="116" spans="2:3">
      <c r="B116" s="42">
        <v>43633</v>
      </c>
      <c r="C116" s="36">
        <v>233.07</v>
      </c>
    </row>
    <row r="117" spans="2:3">
      <c r="B117" s="42">
        <v>43634</v>
      </c>
      <c r="C117" s="36">
        <v>234.25</v>
      </c>
    </row>
    <row r="118" spans="2:3">
      <c r="B118" s="42">
        <v>43635</v>
      </c>
      <c r="C118" s="36">
        <v>234.99</v>
      </c>
    </row>
    <row r="119" spans="2:3">
      <c r="B119" s="42">
        <v>43636</v>
      </c>
      <c r="C119" s="36">
        <v>236.15</v>
      </c>
    </row>
    <row r="120" spans="2:3">
      <c r="B120" s="42">
        <v>43637</v>
      </c>
      <c r="C120" s="36">
        <v>235.49</v>
      </c>
    </row>
    <row r="121" spans="2:3">
      <c r="B121" s="42">
        <v>43640</v>
      </c>
      <c r="C121" s="36">
        <v>235.74</v>
      </c>
    </row>
    <row r="122" spans="2:3">
      <c r="B122" s="42">
        <v>43641</v>
      </c>
      <c r="C122" s="36">
        <v>235.01</v>
      </c>
    </row>
    <row r="123" spans="2:3">
      <c r="B123" s="42">
        <v>43642</v>
      </c>
      <c r="C123" s="36">
        <v>234.41</v>
      </c>
    </row>
    <row r="124" spans="2:3">
      <c r="B124" s="42">
        <v>43643</v>
      </c>
      <c r="C124" s="36">
        <v>235.15</v>
      </c>
    </row>
    <row r="125" spans="2:3">
      <c r="B125" s="42">
        <v>43644</v>
      </c>
      <c r="C125" s="36">
        <v>235.71</v>
      </c>
    </row>
    <row r="126" spans="2:3">
      <c r="B126" s="42">
        <v>43647</v>
      </c>
      <c r="C126" s="36">
        <v>236.16</v>
      </c>
    </row>
    <row r="127" spans="2:3">
      <c r="B127" s="42">
        <v>43648</v>
      </c>
      <c r="C127" s="36">
        <v>236.91</v>
      </c>
    </row>
    <row r="128" spans="2:3">
      <c r="B128" s="42">
        <v>43649</v>
      </c>
      <c r="C128" s="36">
        <v>237.74</v>
      </c>
    </row>
    <row r="129" spans="2:3">
      <c r="B129" s="42">
        <v>43651</v>
      </c>
      <c r="C129" s="36">
        <v>236.74</v>
      </c>
    </row>
    <row r="130" spans="2:3">
      <c r="B130" s="42">
        <v>43654</v>
      </c>
      <c r="C130" s="36">
        <v>236.23</v>
      </c>
    </row>
    <row r="131" spans="2:3">
      <c r="B131" s="42">
        <v>43655</v>
      </c>
      <c r="C131" s="36">
        <v>236.19</v>
      </c>
    </row>
    <row r="132" spans="2:3">
      <c r="B132" s="42">
        <v>43656</v>
      </c>
      <c r="C132" s="36">
        <v>236.83</v>
      </c>
    </row>
    <row r="133" spans="2:3">
      <c r="B133" s="42">
        <v>43657</v>
      </c>
      <c r="C133" s="36">
        <v>236.58</v>
      </c>
    </row>
    <row r="134" spans="2:3">
      <c r="B134" s="42">
        <v>43658</v>
      </c>
      <c r="C134" s="36">
        <v>237.17</v>
      </c>
    </row>
    <row r="135" spans="2:3">
      <c r="B135" s="42">
        <v>43661</v>
      </c>
      <c r="C135" s="36">
        <v>237.29</v>
      </c>
    </row>
    <row r="136" spans="2:3">
      <c r="B136" s="42">
        <v>43662</v>
      </c>
      <c r="C136" s="36">
        <v>236.68</v>
      </c>
    </row>
    <row r="137" spans="2:3">
      <c r="B137" s="42">
        <v>43663</v>
      </c>
      <c r="C137" s="36">
        <v>236.48</v>
      </c>
    </row>
    <row r="138" spans="2:3">
      <c r="B138" s="42">
        <v>43664</v>
      </c>
      <c r="C138" s="36">
        <v>237.15</v>
      </c>
    </row>
    <row r="139" spans="2:3">
      <c r="B139" s="42">
        <v>43665</v>
      </c>
      <c r="C139" s="36">
        <v>236.45</v>
      </c>
    </row>
    <row r="140" spans="2:3">
      <c r="B140" s="42">
        <v>43668</v>
      </c>
      <c r="C140" s="36">
        <v>236.86</v>
      </c>
    </row>
    <row r="141" spans="2:3">
      <c r="B141" s="42">
        <v>43669</v>
      </c>
      <c r="C141" s="36">
        <v>237.41</v>
      </c>
    </row>
    <row r="142" spans="2:3">
      <c r="B142" s="42">
        <v>43670</v>
      </c>
      <c r="C142" s="36">
        <v>238.08</v>
      </c>
    </row>
    <row r="143" spans="2:3">
      <c r="B143" s="42">
        <v>43671</v>
      </c>
      <c r="C143" s="36">
        <v>237.21</v>
      </c>
    </row>
    <row r="144" spans="2:3">
      <c r="B144" s="42">
        <v>43672</v>
      </c>
      <c r="C144" s="36">
        <v>238.02</v>
      </c>
    </row>
    <row r="145" spans="2:3">
      <c r="B145" s="42">
        <v>43675</v>
      </c>
      <c r="C145" s="36">
        <v>237.96</v>
      </c>
    </row>
    <row r="146" spans="2:3">
      <c r="B146" s="42">
        <v>43676</v>
      </c>
      <c r="C146" s="36">
        <v>237.58</v>
      </c>
    </row>
    <row r="147" spans="2:3">
      <c r="B147" s="42">
        <v>43677</v>
      </c>
      <c r="C147" s="36">
        <v>236.15</v>
      </c>
    </row>
    <row r="148" spans="2:3">
      <c r="B148" s="42">
        <v>43678</v>
      </c>
      <c r="C148" s="36">
        <v>235.58</v>
      </c>
    </row>
    <row r="149" spans="2:3">
      <c r="B149" s="42">
        <v>43679</v>
      </c>
      <c r="C149" s="36">
        <v>234.76</v>
      </c>
    </row>
    <row r="150" spans="2:3">
      <c r="B150" s="42">
        <v>43682</v>
      </c>
      <c r="C150" s="36">
        <v>231.55</v>
      </c>
    </row>
    <row r="151" spans="2:3">
      <c r="B151" s="42">
        <v>43683</v>
      </c>
      <c r="C151" s="36">
        <v>233.18</v>
      </c>
    </row>
    <row r="152" spans="2:3">
      <c r="B152" s="42">
        <v>43684</v>
      </c>
      <c r="C152" s="36">
        <v>233.46</v>
      </c>
    </row>
    <row r="153" spans="2:3">
      <c r="B153" s="42">
        <v>43685</v>
      </c>
      <c r="C153" s="36">
        <v>235.37</v>
      </c>
    </row>
    <row r="154" spans="2:3">
      <c r="B154" s="42">
        <v>43686</v>
      </c>
      <c r="C154" s="36">
        <v>234.5</v>
      </c>
    </row>
    <row r="155" spans="2:3">
      <c r="B155" s="42">
        <v>43689</v>
      </c>
      <c r="C155" s="36">
        <v>233.88</v>
      </c>
    </row>
    <row r="156" spans="2:3">
      <c r="B156" s="42">
        <v>43690</v>
      </c>
      <c r="C156" s="36">
        <v>234.81</v>
      </c>
    </row>
    <row r="157" spans="2:3">
      <c r="B157" s="42">
        <v>43691</v>
      </c>
      <c r="C157" s="36">
        <v>232.91</v>
      </c>
    </row>
    <row r="158" spans="2:3">
      <c r="B158" s="42">
        <v>43692</v>
      </c>
      <c r="C158" s="36">
        <v>233.6</v>
      </c>
    </row>
    <row r="159" spans="2:3">
      <c r="B159" s="42">
        <v>43693</v>
      </c>
      <c r="C159" s="36">
        <v>234.76</v>
      </c>
    </row>
    <row r="160" spans="2:3">
      <c r="B160" s="42">
        <v>43696</v>
      </c>
      <c r="C160" s="36">
        <v>235.16</v>
      </c>
    </row>
    <row r="161" spans="2:3">
      <c r="B161" s="42">
        <v>43697</v>
      </c>
      <c r="C161" s="36">
        <v>234.96</v>
      </c>
    </row>
    <row r="162" spans="2:3">
      <c r="B162" s="42">
        <v>43698</v>
      </c>
      <c r="C162" s="36">
        <v>235.32</v>
      </c>
    </row>
    <row r="163" spans="2:3">
      <c r="B163" s="42">
        <v>43699</v>
      </c>
      <c r="C163" s="36">
        <v>235.01</v>
      </c>
    </row>
    <row r="164" spans="2:3">
      <c r="B164" s="42">
        <v>43700</v>
      </c>
      <c r="C164" s="36">
        <v>234.04</v>
      </c>
    </row>
    <row r="165" spans="2:3">
      <c r="B165" s="42">
        <v>43703</v>
      </c>
      <c r="C165" s="36">
        <v>234.62</v>
      </c>
    </row>
    <row r="166" spans="2:3">
      <c r="B166" s="42">
        <v>43704</v>
      </c>
      <c r="C166" s="36">
        <v>234.87</v>
      </c>
    </row>
    <row r="167" spans="2:3">
      <c r="B167" s="42">
        <v>43705</v>
      </c>
      <c r="C167" s="36">
        <v>235.58</v>
      </c>
    </row>
    <row r="168" spans="2:3">
      <c r="B168" s="42">
        <v>43706</v>
      </c>
      <c r="C168" s="36">
        <v>235.93</v>
      </c>
    </row>
    <row r="169" spans="2:3">
      <c r="B169" s="42">
        <v>43707</v>
      </c>
      <c r="C169" s="36">
        <v>236.08</v>
      </c>
    </row>
    <row r="170" spans="2:3">
      <c r="B170" s="42">
        <v>43711</v>
      </c>
      <c r="C170" s="36">
        <v>236.15</v>
      </c>
    </row>
    <row r="171" spans="2:3">
      <c r="B171" s="42">
        <v>43712</v>
      </c>
      <c r="C171" s="36">
        <v>237.11</v>
      </c>
    </row>
    <row r="172" spans="2:3">
      <c r="B172" s="42">
        <v>43713</v>
      </c>
      <c r="C172" s="36">
        <v>236.87</v>
      </c>
    </row>
    <row r="173" spans="2:3">
      <c r="B173" s="42">
        <v>43714</v>
      </c>
      <c r="C173" s="36">
        <v>237.09</v>
      </c>
    </row>
    <row r="174" spans="2:3">
      <c r="B174" s="42">
        <v>43717</v>
      </c>
      <c r="C174" s="36">
        <v>236.48</v>
      </c>
    </row>
    <row r="175" spans="2:3">
      <c r="B175" s="42">
        <v>43718</v>
      </c>
      <c r="C175" s="36">
        <v>235.65</v>
      </c>
    </row>
    <row r="176" spans="2:3">
      <c r="B176" s="42">
        <v>43719</v>
      </c>
      <c r="C176" s="36">
        <v>235.92</v>
      </c>
    </row>
    <row r="177" spans="2:3">
      <c r="B177" s="42">
        <v>43720</v>
      </c>
      <c r="C177" s="36">
        <v>235.64</v>
      </c>
    </row>
    <row r="178" spans="2:3">
      <c r="B178" s="42">
        <v>43721</v>
      </c>
      <c r="C178" s="36">
        <v>234.56</v>
      </c>
    </row>
    <row r="179" spans="2:3">
      <c r="B179" s="42">
        <v>43724</v>
      </c>
      <c r="C179" s="36">
        <v>234.87</v>
      </c>
    </row>
    <row r="180" spans="2:3">
      <c r="B180" s="42">
        <v>43725</v>
      </c>
      <c r="C180" s="36">
        <v>235.26</v>
      </c>
    </row>
    <row r="181" spans="2:3">
      <c r="B181" s="42">
        <v>43726</v>
      </c>
      <c r="C181" s="36">
        <v>235.37</v>
      </c>
    </row>
    <row r="182" spans="2:3">
      <c r="B182" s="42">
        <v>43727</v>
      </c>
      <c r="C182" s="36">
        <v>235.55</v>
      </c>
    </row>
    <row r="183" spans="2:3">
      <c r="B183" s="42">
        <v>43728</v>
      </c>
      <c r="C183" s="36">
        <v>235.18</v>
      </c>
    </row>
    <row r="184" spans="2:3">
      <c r="B184" s="42">
        <v>43731</v>
      </c>
      <c r="C184" s="36">
        <v>235.37</v>
      </c>
    </row>
    <row r="185" spans="2:3">
      <c r="B185" s="42">
        <v>43732</v>
      </c>
      <c r="C185" s="36">
        <v>234.93</v>
      </c>
    </row>
    <row r="186" spans="2:3">
      <c r="B186" s="42">
        <v>43733</v>
      </c>
      <c r="C186" s="36">
        <v>235.15</v>
      </c>
    </row>
    <row r="187" spans="2:3">
      <c r="B187" s="42">
        <v>43734</v>
      </c>
      <c r="C187" s="36">
        <v>235.03</v>
      </c>
    </row>
    <row r="188" spans="2:3">
      <c r="B188" s="42">
        <v>43735</v>
      </c>
      <c r="C188" s="36">
        <v>234.5</v>
      </c>
    </row>
    <row r="189" spans="2:3">
      <c r="B189" s="42">
        <v>43738</v>
      </c>
      <c r="C189" s="36">
        <v>235.12</v>
      </c>
    </row>
    <row r="190" spans="2:3">
      <c r="B190" s="42">
        <v>43739</v>
      </c>
      <c r="C190" s="36">
        <v>233.79</v>
      </c>
    </row>
    <row r="191" spans="2:3">
      <c r="B191" s="42">
        <v>43740</v>
      </c>
      <c r="C191" s="36">
        <v>231.64</v>
      </c>
    </row>
    <row r="192" spans="2:3">
      <c r="B192" s="42">
        <v>43741</v>
      </c>
      <c r="C192" s="36">
        <v>232.48</v>
      </c>
    </row>
    <row r="193" spans="2:3">
      <c r="B193" s="42">
        <v>43742</v>
      </c>
      <c r="C193" s="36">
        <v>234.03</v>
      </c>
    </row>
    <row r="194" spans="2:3">
      <c r="B194" s="42">
        <v>43745</v>
      </c>
      <c r="C194" s="36">
        <v>233.63</v>
      </c>
    </row>
    <row r="195" spans="2:3">
      <c r="B195" s="42">
        <v>43746</v>
      </c>
      <c r="C195" s="36">
        <v>232.21</v>
      </c>
    </row>
    <row r="196" spans="2:3">
      <c r="B196" s="42">
        <v>43747</v>
      </c>
      <c r="C196" s="36">
        <v>233.02</v>
      </c>
    </row>
    <row r="197" spans="2:3">
      <c r="B197" s="42">
        <v>43748</v>
      </c>
      <c r="C197" s="36">
        <v>233.5</v>
      </c>
    </row>
    <row r="198" spans="2:3">
      <c r="B198" s="42">
        <v>43749</v>
      </c>
      <c r="C198" s="36">
        <v>234.37</v>
      </c>
    </row>
    <row r="199" spans="2:3">
      <c r="B199" s="42">
        <v>43753</v>
      </c>
      <c r="C199" s="36">
        <v>235.05</v>
      </c>
    </row>
    <row r="200" spans="2:3">
      <c r="B200" s="42">
        <v>43754</v>
      </c>
      <c r="C200" s="36">
        <v>234.99</v>
      </c>
    </row>
    <row r="201" spans="2:3">
      <c r="B201" s="42">
        <v>43755</v>
      </c>
      <c r="C201" s="36">
        <v>235.21</v>
      </c>
    </row>
    <row r="202" spans="2:3">
      <c r="B202" s="42">
        <v>43756</v>
      </c>
      <c r="C202" s="36">
        <v>234.98</v>
      </c>
    </row>
    <row r="203" spans="2:3">
      <c r="B203" s="42">
        <v>43759</v>
      </c>
      <c r="C203" s="36">
        <v>235.53</v>
      </c>
    </row>
    <row r="204" spans="2:3">
      <c r="B204" s="42">
        <v>43760</v>
      </c>
      <c r="C204" s="36">
        <v>235.28</v>
      </c>
    </row>
    <row r="205" spans="2:3">
      <c r="B205" s="42">
        <v>43761</v>
      </c>
      <c r="C205" s="36">
        <v>235.46</v>
      </c>
    </row>
    <row r="206" spans="2:3">
      <c r="B206" s="42">
        <v>43762</v>
      </c>
      <c r="C206" s="36">
        <v>235.61</v>
      </c>
    </row>
    <row r="207" spans="2:3">
      <c r="B207" s="42">
        <v>43763</v>
      </c>
      <c r="C207" s="36">
        <v>235.98</v>
      </c>
    </row>
    <row r="208" spans="2:3">
      <c r="B208" s="42">
        <v>43766</v>
      </c>
      <c r="C208" s="36">
        <v>236.49</v>
      </c>
    </row>
    <row r="209" spans="2:3">
      <c r="B209" s="42">
        <v>43767</v>
      </c>
      <c r="C209" s="36">
        <v>236.34</v>
      </c>
    </row>
    <row r="210" spans="2:3">
      <c r="B210" s="42">
        <v>43768</v>
      </c>
      <c r="C210" s="36">
        <v>236.43</v>
      </c>
    </row>
    <row r="211" spans="2:3">
      <c r="B211" s="42">
        <v>43769</v>
      </c>
      <c r="C211" s="36">
        <v>235.78</v>
      </c>
    </row>
    <row r="212" spans="2:3">
      <c r="B212" s="42">
        <v>43770</v>
      </c>
      <c r="C212" s="36">
        <v>236.63</v>
      </c>
    </row>
    <row r="213" spans="2:3">
      <c r="B213" s="42">
        <v>43773</v>
      </c>
      <c r="C213" s="36">
        <v>237.22</v>
      </c>
    </row>
    <row r="214" spans="2:3">
      <c r="B214" s="42">
        <v>43774</v>
      </c>
      <c r="C214" s="36">
        <v>237.53</v>
      </c>
    </row>
    <row r="215" spans="2:3">
      <c r="B215" s="42">
        <v>43775</v>
      </c>
      <c r="C215" s="36">
        <v>237.33</v>
      </c>
    </row>
    <row r="216" spans="2:3">
      <c r="B216" s="42">
        <v>43776</v>
      </c>
      <c r="C216" s="36">
        <v>238.09</v>
      </c>
    </row>
    <row r="217" spans="2:3">
      <c r="B217" s="42">
        <v>43777</v>
      </c>
      <c r="C217" s="36">
        <v>238.26</v>
      </c>
    </row>
    <row r="218" spans="2:3">
      <c r="B218" s="42">
        <v>43781</v>
      </c>
      <c r="C218" s="36">
        <v>238.18</v>
      </c>
    </row>
    <row r="219" spans="2:3">
      <c r="B219" s="42">
        <v>43782</v>
      </c>
      <c r="C219" s="36">
        <v>238.06</v>
      </c>
    </row>
    <row r="220" spans="2:3">
      <c r="B220" s="42">
        <v>43783</v>
      </c>
      <c r="C220" s="36">
        <v>237.92</v>
      </c>
    </row>
    <row r="221" spans="2:3">
      <c r="B221" s="42">
        <v>43784</v>
      </c>
      <c r="C221" s="36">
        <v>238.87</v>
      </c>
    </row>
    <row r="222" spans="2:3">
      <c r="B222" s="42">
        <v>43787</v>
      </c>
      <c r="C222" s="36">
        <v>238.88</v>
      </c>
    </row>
    <row r="223" spans="2:3">
      <c r="B223" s="42">
        <v>43788</v>
      </c>
      <c r="C223" s="36">
        <v>238.74</v>
      </c>
    </row>
    <row r="224" spans="2:3">
      <c r="B224" s="42">
        <v>43789</v>
      </c>
      <c r="C224" s="36">
        <v>238.11</v>
      </c>
    </row>
    <row r="225" spans="2:3">
      <c r="B225" s="42">
        <v>43790</v>
      </c>
      <c r="C225" s="36">
        <v>238.02</v>
      </c>
    </row>
    <row r="226" spans="2:3">
      <c r="B226" s="42">
        <v>43791</v>
      </c>
      <c r="C226" s="36">
        <v>238.38</v>
      </c>
    </row>
    <row r="227" spans="2:3">
      <c r="B227" s="42">
        <v>43794</v>
      </c>
      <c r="C227" s="36">
        <v>239.53</v>
      </c>
    </row>
    <row r="228" spans="2:3">
      <c r="B228" s="42">
        <v>43795</v>
      </c>
      <c r="C228" s="36">
        <v>239.85</v>
      </c>
    </row>
    <row r="229" spans="2:3">
      <c r="B229" s="42">
        <v>43796</v>
      </c>
      <c r="C229" s="36">
        <v>240.61</v>
      </c>
    </row>
    <row r="230" spans="2:3">
      <c r="B230" s="42">
        <v>43798</v>
      </c>
      <c r="C230" s="36">
        <v>239.94</v>
      </c>
    </row>
    <row r="231" spans="2:3">
      <c r="B231" s="42">
        <v>43801</v>
      </c>
      <c r="C231" s="36">
        <v>238.49</v>
      </c>
    </row>
    <row r="232" spans="2:3">
      <c r="B232" s="42">
        <v>43802</v>
      </c>
      <c r="C232" s="36">
        <v>237.08</v>
      </c>
    </row>
    <row r="233" spans="2:3">
      <c r="B233" s="42">
        <v>43803</v>
      </c>
      <c r="C233" s="36">
        <v>238.32</v>
      </c>
    </row>
    <row r="234" spans="2:3">
      <c r="B234" s="42">
        <v>43804</v>
      </c>
      <c r="C234" s="36">
        <v>238.58</v>
      </c>
    </row>
    <row r="235" spans="2:3">
      <c r="B235" s="42">
        <v>43805</v>
      </c>
      <c r="C235" s="36">
        <v>240.12</v>
      </c>
    </row>
    <row r="236" spans="2:3">
      <c r="B236" s="42">
        <v>43808</v>
      </c>
      <c r="C236" s="36">
        <v>239.63</v>
      </c>
    </row>
    <row r="237" spans="2:3">
      <c r="B237" s="42">
        <v>43809</v>
      </c>
      <c r="C237" s="36">
        <v>239.51</v>
      </c>
    </row>
    <row r="238" spans="2:3">
      <c r="B238" s="42">
        <v>43810</v>
      </c>
      <c r="C238" s="36">
        <v>239.79</v>
      </c>
    </row>
    <row r="239" spans="2:3">
      <c r="B239" s="42">
        <v>43811</v>
      </c>
      <c r="C239" s="36">
        <v>241.25</v>
      </c>
    </row>
    <row r="240" spans="2:3">
      <c r="B240" s="42">
        <v>43812</v>
      </c>
      <c r="C240" s="36">
        <v>241</v>
      </c>
    </row>
    <row r="241" spans="2:3">
      <c r="B241" s="42">
        <v>43815</v>
      </c>
      <c r="C241" s="36">
        <v>242.19</v>
      </c>
    </row>
    <row r="242" spans="2:3">
      <c r="B242" s="42">
        <v>43816</v>
      </c>
      <c r="C242" s="36">
        <v>242.23</v>
      </c>
    </row>
    <row r="243" spans="2:3">
      <c r="B243" s="42">
        <v>43817</v>
      </c>
      <c r="C243" s="36">
        <v>242.32</v>
      </c>
    </row>
    <row r="244" spans="2:3">
      <c r="B244" s="42">
        <v>43818</v>
      </c>
      <c r="C244" s="36">
        <v>242.73</v>
      </c>
    </row>
    <row r="245" spans="2:3">
      <c r="B245" s="42">
        <v>43819</v>
      </c>
      <c r="C245" s="36">
        <v>243.32</v>
      </c>
    </row>
    <row r="246" spans="2:3">
      <c r="B246" s="42">
        <v>43822</v>
      </c>
      <c r="C246" s="36">
        <v>243.51</v>
      </c>
    </row>
    <row r="247" spans="2:3">
      <c r="B247" s="42">
        <v>43823</v>
      </c>
      <c r="C247" s="36">
        <v>243.42</v>
      </c>
    </row>
    <row r="248" spans="2:3">
      <c r="B248" s="42">
        <v>43825</v>
      </c>
      <c r="C248" s="36">
        <v>244</v>
      </c>
    </row>
    <row r="249" spans="2:3">
      <c r="B249" s="42">
        <v>43826</v>
      </c>
      <c r="C249" s="36">
        <v>243.89</v>
      </c>
    </row>
    <row r="250" spans="2:3">
      <c r="B250" s="42">
        <v>43829</v>
      </c>
      <c r="C250" s="36">
        <v>243.25</v>
      </c>
    </row>
    <row r="251" spans="2:3">
      <c r="B251" s="42">
        <v>43830</v>
      </c>
      <c r="C251" s="36">
        <v>243.62</v>
      </c>
    </row>
    <row r="252" spans="2:3">
      <c r="B252" s="42">
        <v>43832</v>
      </c>
      <c r="C252" s="36">
        <v>244.51</v>
      </c>
    </row>
    <row r="253" spans="2:3">
      <c r="B253" s="42">
        <v>43833</v>
      </c>
      <c r="C253" s="36">
        <v>243.33</v>
      </c>
    </row>
    <row r="254" spans="2:3">
      <c r="B254" s="42">
        <v>43836</v>
      </c>
      <c r="C254" s="36">
        <v>243.83</v>
      </c>
    </row>
    <row r="255" spans="2:3">
      <c r="B255" s="42">
        <v>43837</v>
      </c>
      <c r="C255" s="36">
        <v>243.51</v>
      </c>
    </row>
    <row r="256" spans="2:3">
      <c r="B256" s="42">
        <v>43838</v>
      </c>
      <c r="C256" s="36">
        <v>244.34</v>
      </c>
    </row>
    <row r="257" spans="2:3">
      <c r="B257" s="42">
        <v>43839</v>
      </c>
      <c r="C257" s="36">
        <v>245.23</v>
      </c>
    </row>
    <row r="258" spans="2:3">
      <c r="B258" s="42">
        <v>43840</v>
      </c>
      <c r="C258" s="36">
        <v>244.8</v>
      </c>
    </row>
    <row r="259" spans="2:3">
      <c r="B259" s="42">
        <v>43843</v>
      </c>
      <c r="C259" s="36">
        <v>245.87</v>
      </c>
    </row>
    <row r="260" spans="2:3">
      <c r="B260" s="42">
        <v>43844</v>
      </c>
      <c r="C260" s="36">
        <v>245.62</v>
      </c>
    </row>
    <row r="261" spans="2:3">
      <c r="B261" s="42">
        <v>43845</v>
      </c>
      <c r="C261" s="36">
        <v>245.91</v>
      </c>
    </row>
    <row r="262" spans="2:3">
      <c r="B262" s="42">
        <v>43846</v>
      </c>
      <c r="C262" s="36">
        <v>247.24</v>
      </c>
    </row>
    <row r="263" spans="2:3">
      <c r="B263" s="42">
        <v>43847</v>
      </c>
      <c r="C263" s="36">
        <v>247.87</v>
      </c>
    </row>
    <row r="264" spans="2:3">
      <c r="B264" s="42">
        <v>43851</v>
      </c>
      <c r="C264" s="36">
        <v>247.48</v>
      </c>
    </row>
    <row r="265" spans="2:3">
      <c r="B265" s="42">
        <v>43852</v>
      </c>
      <c r="C265" s="36">
        <v>247.53</v>
      </c>
    </row>
    <row r="266" spans="2:3">
      <c r="B266" s="42">
        <v>43853</v>
      </c>
      <c r="C266" s="36">
        <v>247.74</v>
      </c>
    </row>
    <row r="267" spans="2:3">
      <c r="B267" s="42">
        <v>43854</v>
      </c>
      <c r="C267" s="36">
        <v>246.36</v>
      </c>
    </row>
    <row r="268" spans="2:3">
      <c r="B268" s="42">
        <v>43857</v>
      </c>
      <c r="C268" s="36">
        <v>243.9</v>
      </c>
    </row>
    <row r="269" spans="2:3">
      <c r="B269" s="42">
        <v>43858</v>
      </c>
      <c r="C269" s="36">
        <v>245.45</v>
      </c>
    </row>
    <row r="270" spans="2:3">
      <c r="B270" s="42">
        <v>43859</v>
      </c>
      <c r="C270" s="36">
        <v>245.47</v>
      </c>
    </row>
    <row r="271" spans="2:3">
      <c r="B271" s="42">
        <v>43860</v>
      </c>
      <c r="C271" s="36">
        <v>246.01</v>
      </c>
    </row>
    <row r="272" spans="2:3">
      <c r="B272" s="42">
        <v>43861</v>
      </c>
      <c r="C272" s="36">
        <v>243.81</v>
      </c>
    </row>
    <row r="273" spans="2:3">
      <c r="B273" s="42">
        <v>43864</v>
      </c>
      <c r="C273" s="36">
        <v>244.71</v>
      </c>
    </row>
    <row r="274" spans="2:3">
      <c r="B274" s="42">
        <v>43865</v>
      </c>
      <c r="C274" s="36">
        <v>246.1</v>
      </c>
    </row>
    <row r="275" spans="2:3">
      <c r="B275" s="42">
        <v>43866</v>
      </c>
      <c r="C275" s="36">
        <v>247.17</v>
      </c>
    </row>
    <row r="276" spans="2:3">
      <c r="B276" s="42">
        <v>43867</v>
      </c>
      <c r="C276" s="36">
        <v>247.53</v>
      </c>
    </row>
    <row r="277" spans="2:3">
      <c r="B277" s="42">
        <v>43868</v>
      </c>
      <c r="C277" s="36">
        <v>247.4</v>
      </c>
    </row>
    <row r="278" spans="2:3">
      <c r="B278" s="42">
        <v>43871</v>
      </c>
      <c r="C278" s="36">
        <v>248.5</v>
      </c>
    </row>
    <row r="279" spans="2:3">
      <c r="B279" s="42">
        <v>43872</v>
      </c>
      <c r="C279" s="36">
        <v>248.39</v>
      </c>
    </row>
    <row r="280" spans="2:3">
      <c r="B280" s="42">
        <v>43873</v>
      </c>
      <c r="C280" s="36">
        <v>248.85</v>
      </c>
    </row>
    <row r="281" spans="2:3">
      <c r="B281" s="42">
        <v>43874</v>
      </c>
      <c r="C281" s="36">
        <v>248.74</v>
      </c>
    </row>
    <row r="282" spans="2:3">
      <c r="B282" s="42">
        <v>43875</v>
      </c>
      <c r="C282" s="36">
        <v>249.14</v>
      </c>
    </row>
    <row r="283" spans="2:3">
      <c r="B283" s="42">
        <v>43879</v>
      </c>
      <c r="C283" s="36">
        <v>249.03</v>
      </c>
    </row>
    <row r="284" spans="2:3">
      <c r="B284" s="42">
        <v>43880</v>
      </c>
      <c r="C284" s="36">
        <v>249.43</v>
      </c>
    </row>
    <row r="285" spans="2:3">
      <c r="B285" s="42">
        <v>43881</v>
      </c>
      <c r="C285" s="36">
        <v>249.3</v>
      </c>
    </row>
    <row r="286" spans="2:3">
      <c r="B286" s="42">
        <v>43882</v>
      </c>
      <c r="C286" s="36">
        <v>248.49</v>
      </c>
    </row>
    <row r="287" spans="2:3">
      <c r="B287" s="42">
        <v>43885</v>
      </c>
      <c r="C287" s="36">
        <v>245.39</v>
      </c>
    </row>
    <row r="288" spans="2:3">
      <c r="B288" s="42">
        <v>43886</v>
      </c>
      <c r="C288" s="36">
        <v>242.53</v>
      </c>
    </row>
    <row r="289" spans="2:3">
      <c r="B289" s="42">
        <v>43887</v>
      </c>
      <c r="C289" s="36">
        <v>242.29</v>
      </c>
    </row>
    <row r="290" spans="2:3">
      <c r="B290" s="42">
        <v>43888</v>
      </c>
      <c r="C290" s="36">
        <v>238.32</v>
      </c>
    </row>
    <row r="291" spans="2:3">
      <c r="B291" s="42">
        <v>43889</v>
      </c>
      <c r="C291" s="36">
        <v>238.97</v>
      </c>
    </row>
    <row r="292" spans="2:3">
      <c r="B292" s="42">
        <v>43892</v>
      </c>
      <c r="C292" s="36">
        <v>242.66</v>
      </c>
    </row>
    <row r="293" spans="2:3">
      <c r="B293" s="42">
        <v>43893</v>
      </c>
      <c r="C293" s="36">
        <v>241.53</v>
      </c>
    </row>
    <row r="294" spans="2:3">
      <c r="B294" s="42">
        <v>43894</v>
      </c>
      <c r="C294" s="36">
        <v>244.62</v>
      </c>
    </row>
    <row r="295" spans="2:3">
      <c r="B295" s="42">
        <v>43895</v>
      </c>
      <c r="C295" s="36">
        <v>242.99</v>
      </c>
    </row>
    <row r="296" spans="2:3">
      <c r="B296" s="42">
        <v>43896</v>
      </c>
      <c r="C296" s="36">
        <v>243.15</v>
      </c>
    </row>
    <row r="297" spans="2:3">
      <c r="B297" s="42">
        <v>43899</v>
      </c>
      <c r="C297" s="36">
        <v>240.54</v>
      </c>
    </row>
    <row r="298" spans="2:3">
      <c r="B298" s="42">
        <v>43900</v>
      </c>
      <c r="C298" s="36">
        <v>240.12</v>
      </c>
    </row>
    <row r="299" spans="2:3">
      <c r="B299" s="42">
        <v>43901</v>
      </c>
      <c r="C299" s="36">
        <v>238.18</v>
      </c>
    </row>
    <row r="300" spans="2:3">
      <c r="B300" s="42">
        <v>43902</v>
      </c>
      <c r="C300" s="36">
        <v>235.37</v>
      </c>
    </row>
    <row r="301" spans="2:3">
      <c r="B301" s="42">
        <v>43903</v>
      </c>
      <c r="C301" s="36">
        <v>236.18</v>
      </c>
    </row>
    <row r="302" spans="2:3">
      <c r="B302" s="42">
        <v>43906</v>
      </c>
      <c r="C302" s="36">
        <v>237.99</v>
      </c>
    </row>
    <row r="303" spans="2:3">
      <c r="B303" s="42">
        <v>43907</v>
      </c>
      <c r="C303" s="36">
        <v>235.44</v>
      </c>
    </row>
    <row r="304" spans="2:3">
      <c r="B304" s="42">
        <v>43908</v>
      </c>
      <c r="C304" s="36">
        <v>232.42</v>
      </c>
    </row>
    <row r="305" spans="2:3">
      <c r="B305" s="42">
        <v>43909</v>
      </c>
      <c r="C305" s="36">
        <v>234.24</v>
      </c>
    </row>
    <row r="306" spans="2:3">
      <c r="B306" s="42">
        <v>43910</v>
      </c>
      <c r="C306" s="36">
        <v>235.6</v>
      </c>
    </row>
    <row r="307" spans="2:3">
      <c r="B307" s="42">
        <v>43913</v>
      </c>
      <c r="C307" s="36">
        <v>238.01</v>
      </c>
    </row>
    <row r="308" spans="2:3">
      <c r="B308" s="42">
        <v>43914</v>
      </c>
      <c r="C308" s="36">
        <v>238.04</v>
      </c>
    </row>
    <row r="309" spans="2:3">
      <c r="B309" s="42">
        <v>43915</v>
      </c>
      <c r="C309" s="36">
        <v>238.41</v>
      </c>
    </row>
    <row r="310" spans="2:3">
      <c r="B310" s="42">
        <v>43916</v>
      </c>
      <c r="C310" s="36">
        <v>238.89</v>
      </c>
    </row>
    <row r="311" spans="2:3">
      <c r="B311" s="42">
        <v>43917</v>
      </c>
      <c r="C311" s="36">
        <v>238.83</v>
      </c>
    </row>
    <row r="312" spans="2:3">
      <c r="B312" s="42">
        <v>43920</v>
      </c>
      <c r="C312" s="36">
        <v>239.08</v>
      </c>
    </row>
    <row r="313" spans="2:3">
      <c r="B313" s="42">
        <v>43921</v>
      </c>
      <c r="C313" s="36">
        <v>238.95</v>
      </c>
    </row>
    <row r="314" spans="2:3">
      <c r="B314" s="42">
        <v>43922</v>
      </c>
      <c r="C314" s="36">
        <v>238.72</v>
      </c>
    </row>
    <row r="315" spans="2:3">
      <c r="B315" s="42">
        <v>43923</v>
      </c>
      <c r="C315" s="36">
        <v>238.69</v>
      </c>
    </row>
    <row r="316" spans="2:3">
      <c r="B316" s="42">
        <v>43924</v>
      </c>
      <c r="C316" s="36">
        <v>238.64</v>
      </c>
    </row>
    <row r="317" spans="2:3">
      <c r="B317" s="42">
        <v>43927</v>
      </c>
      <c r="C317" s="36">
        <v>238.59</v>
      </c>
    </row>
    <row r="318" spans="2:3">
      <c r="B318" s="42">
        <v>43928</v>
      </c>
      <c r="C318" s="36">
        <v>238.5</v>
      </c>
    </row>
    <row r="319" spans="2:3">
      <c r="B319" s="42">
        <v>43929</v>
      </c>
      <c r="C319" s="36">
        <v>238.76</v>
      </c>
    </row>
    <row r="320" spans="2:3">
      <c r="B320" s="42">
        <v>43930</v>
      </c>
      <c r="C320" s="36">
        <v>239.64</v>
      </c>
    </row>
    <row r="321" spans="2:3">
      <c r="B321" s="42">
        <v>43934</v>
      </c>
      <c r="C321" s="36">
        <v>239.49</v>
      </c>
    </row>
    <row r="322" spans="2:3">
      <c r="B322" s="42">
        <v>43935</v>
      </c>
      <c r="C322" s="36">
        <v>239.7</v>
      </c>
    </row>
    <row r="323" spans="2:3">
      <c r="B323" s="42">
        <v>43936</v>
      </c>
      <c r="C323" s="36">
        <v>240.05</v>
      </c>
    </row>
    <row r="324" spans="2:3">
      <c r="B324" s="42">
        <v>43937</v>
      </c>
      <c r="C324" s="36">
        <v>239.99</v>
      </c>
    </row>
    <row r="325" spans="2:3">
      <c r="B325" s="42">
        <v>43938</v>
      </c>
      <c r="C325" s="36">
        <v>239.88</v>
      </c>
    </row>
    <row r="326" spans="2:3">
      <c r="B326" s="42">
        <v>43941</v>
      </c>
      <c r="C326" s="36">
        <v>239.83</v>
      </c>
    </row>
    <row r="327" spans="2:3">
      <c r="B327" s="42">
        <v>43942</v>
      </c>
      <c r="C327" s="36">
        <v>239.85</v>
      </c>
    </row>
    <row r="328" spans="2:3">
      <c r="B328" s="42">
        <v>43943</v>
      </c>
      <c r="C328" s="36">
        <v>239.77</v>
      </c>
    </row>
    <row r="329" spans="2:3">
      <c r="B329" s="42">
        <v>43944</v>
      </c>
      <c r="C329" s="36">
        <v>239.82</v>
      </c>
    </row>
    <row r="330" spans="2:3">
      <c r="B330" s="42">
        <v>43945</v>
      </c>
      <c r="C330" s="36">
        <v>239.91</v>
      </c>
    </row>
    <row r="331" spans="2:3">
      <c r="B331" s="42">
        <v>43948</v>
      </c>
      <c r="C331" s="36">
        <v>239.63</v>
      </c>
    </row>
    <row r="332" spans="2:3">
      <c r="B332" s="42">
        <v>43949</v>
      </c>
      <c r="C332" s="36">
        <v>240</v>
      </c>
    </row>
    <row r="333" spans="2:3">
      <c r="B333" s="42">
        <v>43950</v>
      </c>
      <c r="C333" s="36">
        <v>240.37</v>
      </c>
    </row>
    <row r="334" spans="2:3">
      <c r="B334" s="42">
        <v>43951</v>
      </c>
      <c r="C334" s="36">
        <v>240.39</v>
      </c>
    </row>
    <row r="335" spans="2:3">
      <c r="B335" s="42">
        <v>43952</v>
      </c>
      <c r="C335" s="36">
        <v>239.88</v>
      </c>
    </row>
    <row r="336" spans="2:3">
      <c r="B336" s="42">
        <v>43955</v>
      </c>
      <c r="C336" s="36">
        <v>240.03</v>
      </c>
    </row>
    <row r="337" spans="2:3">
      <c r="B337" s="42">
        <v>43956</v>
      </c>
      <c r="C337" s="36">
        <v>240.1</v>
      </c>
    </row>
    <row r="338" spans="2:3">
      <c r="B338" s="42">
        <v>43957</v>
      </c>
      <c r="C338" s="36">
        <v>239.54</v>
      </c>
    </row>
    <row r="339" spans="2:3">
      <c r="B339" s="42">
        <v>43958</v>
      </c>
      <c r="C339" s="36">
        <v>240.61</v>
      </c>
    </row>
    <row r="340" spans="2:3">
      <c r="B340" s="42">
        <v>43959</v>
      </c>
      <c r="C340" s="36">
        <v>240.29</v>
      </c>
    </row>
    <row r="341" spans="2:3">
      <c r="B341" s="42">
        <v>43962</v>
      </c>
      <c r="C341" s="36">
        <v>239.85</v>
      </c>
    </row>
    <row r="342" spans="2:3">
      <c r="B342" s="42">
        <v>43963</v>
      </c>
      <c r="C342" s="36">
        <v>240.33</v>
      </c>
    </row>
    <row r="343" spans="2:3">
      <c r="B343" s="42">
        <v>43964</v>
      </c>
      <c r="C343" s="36">
        <v>240.15</v>
      </c>
    </row>
    <row r="344" spans="2:3">
      <c r="B344" s="42">
        <v>43965</v>
      </c>
      <c r="C344" s="36">
        <v>240.58</v>
      </c>
    </row>
    <row r="345" spans="2:3">
      <c r="B345" s="42">
        <v>43966</v>
      </c>
      <c r="C345" s="36">
        <v>240.62</v>
      </c>
    </row>
    <row r="346" spans="2:3">
      <c r="B346" s="42">
        <v>43969</v>
      </c>
      <c r="C346" s="36">
        <v>241.02</v>
      </c>
    </row>
    <row r="347" spans="2:3">
      <c r="B347" s="42">
        <v>43970</v>
      </c>
      <c r="C347" s="36">
        <v>241.15</v>
      </c>
    </row>
    <row r="348" spans="2:3">
      <c r="B348" s="42">
        <v>43971</v>
      </c>
      <c r="C348" s="36">
        <v>242.28</v>
      </c>
    </row>
    <row r="349" spans="2:3">
      <c r="B349" s="42">
        <v>43972</v>
      </c>
      <c r="C349" s="36">
        <v>241.84</v>
      </c>
    </row>
    <row r="350" spans="2:3">
      <c r="B350" s="42">
        <v>43973</v>
      </c>
      <c r="C350" s="36">
        <v>241.96</v>
      </c>
    </row>
    <row r="351" spans="2:3">
      <c r="B351" s="42">
        <v>43977</v>
      </c>
      <c r="C351" s="36">
        <v>242.48</v>
      </c>
    </row>
    <row r="352" spans="2:3">
      <c r="B352" s="42">
        <v>43978</v>
      </c>
      <c r="C352" s="36">
        <v>243.3</v>
      </c>
    </row>
    <row r="353" spans="2:3">
      <c r="B353" s="42">
        <v>43979</v>
      </c>
      <c r="C353" s="36">
        <v>243.22</v>
      </c>
    </row>
    <row r="354" spans="2:3">
      <c r="B354" s="42">
        <v>43980</v>
      </c>
      <c r="C354" s="36">
        <v>243.79</v>
      </c>
    </row>
    <row r="355" spans="2:3">
      <c r="B355" s="42">
        <v>43983</v>
      </c>
      <c r="C355" s="36">
        <v>243.92</v>
      </c>
    </row>
    <row r="356" spans="2:3">
      <c r="B356" s="42">
        <v>43984</v>
      </c>
      <c r="C356" s="36">
        <v>244.21</v>
      </c>
    </row>
    <row r="357" spans="2:3">
      <c r="B357" s="42">
        <v>43985</v>
      </c>
      <c r="C357" s="36">
        <v>244.15</v>
      </c>
    </row>
    <row r="358" spans="2:3">
      <c r="B358" s="42">
        <v>43986</v>
      </c>
      <c r="C358" s="36">
        <v>243.52</v>
      </c>
    </row>
    <row r="359" spans="2:3">
      <c r="B359" s="42">
        <v>43987</v>
      </c>
      <c r="C359" s="36">
        <v>244.45</v>
      </c>
    </row>
    <row r="360" spans="2:3">
      <c r="B360" s="42">
        <v>43990</v>
      </c>
      <c r="C360" s="36">
        <v>245.19</v>
      </c>
    </row>
    <row r="361" spans="2:3">
      <c r="B361" s="42">
        <v>43991</v>
      </c>
      <c r="C361" s="36">
        <v>244.99</v>
      </c>
    </row>
    <row r="362" spans="2:3">
      <c r="B362" s="42">
        <v>43992</v>
      </c>
      <c r="C362" s="36">
        <v>245.42</v>
      </c>
    </row>
    <row r="363" spans="2:3">
      <c r="B363" s="42">
        <v>43993</v>
      </c>
      <c r="C363" s="36">
        <v>242.2</v>
      </c>
    </row>
    <row r="364" spans="2:3">
      <c r="B364" s="42">
        <v>43994</v>
      </c>
      <c r="C364" s="36">
        <v>242.76</v>
      </c>
    </row>
    <row r="365" spans="2:3">
      <c r="B365" s="42">
        <v>43997</v>
      </c>
      <c r="C365" s="36">
        <v>243.71</v>
      </c>
    </row>
    <row r="366" spans="2:3">
      <c r="B366" s="42">
        <v>43998</v>
      </c>
      <c r="C366" s="36">
        <v>244.44</v>
      </c>
    </row>
    <row r="367" spans="2:3">
      <c r="B367" s="42">
        <v>43999</v>
      </c>
      <c r="C367" s="36">
        <v>244.26</v>
      </c>
    </row>
    <row r="368" spans="2:3">
      <c r="B368" s="42">
        <v>44000</v>
      </c>
      <c r="C368" s="36">
        <v>244.2</v>
      </c>
    </row>
    <row r="369" spans="2:3">
      <c r="B369" s="42">
        <v>44001</v>
      </c>
      <c r="C369" s="36">
        <v>243.8</v>
      </c>
    </row>
    <row r="370" spans="2:3">
      <c r="B370" s="42">
        <v>44004</v>
      </c>
      <c r="C370" s="36">
        <v>244.05</v>
      </c>
    </row>
    <row r="371" spans="2:3">
      <c r="B371" s="42">
        <v>44005</v>
      </c>
      <c r="C371" s="36">
        <v>244.43</v>
      </c>
    </row>
    <row r="372" spans="2:3">
      <c r="B372" s="42">
        <v>44006</v>
      </c>
      <c r="C372" s="36">
        <v>243.19</v>
      </c>
    </row>
    <row r="373" spans="2:3">
      <c r="B373" s="42">
        <v>44007</v>
      </c>
      <c r="C373" s="36">
        <v>243.62</v>
      </c>
    </row>
    <row r="374" spans="2:3">
      <c r="B374" s="42">
        <v>44008</v>
      </c>
      <c r="C374" s="36">
        <v>243.11</v>
      </c>
    </row>
    <row r="375" spans="2:3">
      <c r="B375" s="42">
        <v>44011</v>
      </c>
      <c r="C375" s="36">
        <v>243.91</v>
      </c>
    </row>
    <row r="376" spans="2:3">
      <c r="B376" s="42">
        <v>44012</v>
      </c>
      <c r="C376" s="36">
        <v>244.47</v>
      </c>
    </row>
    <row r="377" spans="2:3">
      <c r="B377" s="42">
        <v>44013</v>
      </c>
      <c r="C377" s="36">
        <v>244.52</v>
      </c>
    </row>
    <row r="378" spans="2:3">
      <c r="B378" s="42">
        <v>44014</v>
      </c>
      <c r="C378" s="36">
        <v>244.84</v>
      </c>
    </row>
    <row r="379" spans="2:3">
      <c r="B379" s="42">
        <v>44018</v>
      </c>
      <c r="C379" s="36">
        <v>245.42</v>
      </c>
    </row>
    <row r="380" spans="2:3">
      <c r="B380" s="42">
        <v>44019</v>
      </c>
      <c r="C380" s="36">
        <v>245.25</v>
      </c>
    </row>
    <row r="381" spans="2:3">
      <c r="B381" s="42">
        <v>44020</v>
      </c>
      <c r="C381" s="36">
        <v>245.47</v>
      </c>
    </row>
    <row r="382" spans="2:3">
      <c r="B382" s="42">
        <v>44021</v>
      </c>
      <c r="C382" s="36">
        <v>245.57</v>
      </c>
    </row>
    <row r="383" spans="2:3">
      <c r="B383" s="42">
        <v>44022</v>
      </c>
      <c r="C383" s="36">
        <v>245.58</v>
      </c>
    </row>
    <row r="384" spans="2:3">
      <c r="B384" s="42">
        <v>44025</v>
      </c>
      <c r="C384" s="36">
        <v>245.43</v>
      </c>
    </row>
    <row r="385" spans="2:3">
      <c r="B385" s="42">
        <v>44026</v>
      </c>
      <c r="C385" s="36">
        <v>246</v>
      </c>
    </row>
    <row r="386" spans="2:3">
      <c r="B386" s="42">
        <v>44027</v>
      </c>
      <c r="C386" s="36">
        <v>246.46</v>
      </c>
    </row>
    <row r="387" spans="2:3">
      <c r="B387" s="42">
        <v>44028</v>
      </c>
      <c r="C387" s="36">
        <v>246.44</v>
      </c>
    </row>
    <row r="388" spans="2:3">
      <c r="B388" s="42">
        <v>44029</v>
      </c>
      <c r="C388" s="36">
        <v>246.53</v>
      </c>
    </row>
    <row r="389" spans="2:3">
      <c r="B389" s="42">
        <v>44032</v>
      </c>
      <c r="C389" s="36">
        <v>247.19</v>
      </c>
    </row>
    <row r="390" spans="2:3">
      <c r="B390" s="42">
        <v>44033</v>
      </c>
      <c r="C390" s="36">
        <v>247.45</v>
      </c>
    </row>
    <row r="391" spans="2:3">
      <c r="B391" s="42">
        <v>44034</v>
      </c>
      <c r="C391" s="36">
        <v>247.81</v>
      </c>
    </row>
    <row r="392" spans="2:3">
      <c r="B392" s="42">
        <v>44035</v>
      </c>
      <c r="C392" s="36">
        <v>247.12</v>
      </c>
    </row>
    <row r="393" spans="2:3">
      <c r="B393" s="42">
        <v>44036</v>
      </c>
      <c r="C393" s="36">
        <v>246.68</v>
      </c>
    </row>
    <row r="394" spans="2:3">
      <c r="B394" s="42">
        <v>44039</v>
      </c>
      <c r="C394" s="36">
        <v>246.96</v>
      </c>
    </row>
    <row r="395" spans="2:3">
      <c r="B395" s="42">
        <v>44040</v>
      </c>
      <c r="C395" s="36">
        <v>246.8</v>
      </c>
    </row>
    <row r="396" spans="2:3">
      <c r="B396" s="42">
        <v>44041</v>
      </c>
      <c r="C396" s="36">
        <v>247.8</v>
      </c>
    </row>
    <row r="397" spans="2:3">
      <c r="B397" s="42">
        <v>44042</v>
      </c>
      <c r="C397" s="36">
        <v>247.74</v>
      </c>
    </row>
    <row r="398" spans="2:3">
      <c r="B398" s="42">
        <v>44043</v>
      </c>
      <c r="C398" s="36">
        <v>248.48</v>
      </c>
    </row>
    <row r="399" spans="2:3">
      <c r="B399" s="42">
        <v>44046</v>
      </c>
      <c r="C399" s="36">
        <v>249.15</v>
      </c>
    </row>
    <row r="400" spans="2:3">
      <c r="B400" s="42">
        <v>44047</v>
      </c>
      <c r="C400" s="36">
        <v>249.82</v>
      </c>
    </row>
    <row r="401" spans="2:3">
      <c r="B401" s="42">
        <v>44048</v>
      </c>
      <c r="C401" s="36">
        <v>250.24</v>
      </c>
    </row>
    <row r="402" spans="2:3">
      <c r="B402" s="42">
        <v>44049</v>
      </c>
      <c r="C402" s="36">
        <v>250.97</v>
      </c>
    </row>
    <row r="403" spans="2:3">
      <c r="B403" s="42">
        <v>44050</v>
      </c>
      <c r="C403" s="36">
        <v>250.82</v>
      </c>
    </row>
    <row r="404" spans="2:3">
      <c r="B404" s="42">
        <v>44053</v>
      </c>
      <c r="C404" s="36">
        <v>250.97</v>
      </c>
    </row>
    <row r="405" spans="2:3">
      <c r="B405" s="42">
        <v>44054</v>
      </c>
      <c r="C405" s="36">
        <v>249.66</v>
      </c>
    </row>
    <row r="406" spans="2:3">
      <c r="B406" s="42">
        <v>44055</v>
      </c>
      <c r="C406" s="36">
        <v>251.02</v>
      </c>
    </row>
    <row r="407" spans="2:3">
      <c r="B407" s="42">
        <v>44056</v>
      </c>
      <c r="C407" s="36">
        <v>250.52</v>
      </c>
    </row>
    <row r="408" spans="2:3">
      <c r="B408" s="42">
        <v>44057</v>
      </c>
      <c r="C408" s="36">
        <v>250.63</v>
      </c>
    </row>
    <row r="409" spans="2:3">
      <c r="B409" s="42">
        <v>44060</v>
      </c>
      <c r="C409" s="36">
        <v>251.12</v>
      </c>
    </row>
    <row r="410" spans="2:3">
      <c r="B410" s="42">
        <v>44061</v>
      </c>
      <c r="C410" s="36">
        <v>251.42</v>
      </c>
    </row>
    <row r="411" spans="2:3">
      <c r="B411" s="42">
        <v>44062</v>
      </c>
      <c r="C411" s="36">
        <v>250.97</v>
      </c>
    </row>
    <row r="412" spans="2:3">
      <c r="B412" s="42">
        <v>44063</v>
      </c>
      <c r="C412" s="36">
        <v>251.37</v>
      </c>
    </row>
    <row r="413" spans="2:3">
      <c r="B413" s="42">
        <v>44064</v>
      </c>
      <c r="C413" s="36">
        <v>251.68</v>
      </c>
    </row>
    <row r="414" spans="2:3">
      <c r="B414" s="42">
        <v>44067</v>
      </c>
      <c r="C414" s="36">
        <v>252.72</v>
      </c>
    </row>
    <row r="415" spans="2:3">
      <c r="B415" s="42">
        <v>44068</v>
      </c>
      <c r="C415" s="36">
        <v>253.01</v>
      </c>
    </row>
    <row r="416" spans="2:3">
      <c r="B416" s="42">
        <v>44069</v>
      </c>
      <c r="C416" s="36">
        <v>254.13</v>
      </c>
    </row>
    <row r="417" spans="2:3">
      <c r="B417" s="42">
        <v>44070</v>
      </c>
      <c r="C417" s="36">
        <v>254.1</v>
      </c>
    </row>
    <row r="418" spans="2:3">
      <c r="B418" s="42">
        <v>44071</v>
      </c>
      <c r="C418" s="36">
        <v>255.09</v>
      </c>
    </row>
    <row r="419" spans="2:3">
      <c r="B419" s="42">
        <v>44074</v>
      </c>
      <c r="C419" s="36">
        <v>254.95</v>
      </c>
    </row>
    <row r="420" spans="2:3">
      <c r="B420" s="42">
        <v>44075</v>
      </c>
      <c r="C420" s="36">
        <v>256.12</v>
      </c>
    </row>
    <row r="421" spans="2:3">
      <c r="B421" s="42">
        <v>44076</v>
      </c>
      <c r="C421" s="36">
        <v>258.20999999999998</v>
      </c>
    </row>
    <row r="422" spans="2:3">
      <c r="B422" s="42">
        <v>44077</v>
      </c>
      <c r="C422" s="36">
        <v>253.36</v>
      </c>
    </row>
    <row r="423" spans="2:3">
      <c r="B423" s="42">
        <v>44078</v>
      </c>
      <c r="C423" s="36">
        <v>252.08</v>
      </c>
    </row>
    <row r="424" spans="2:3">
      <c r="B424" s="42">
        <v>44082</v>
      </c>
      <c r="C424" s="36">
        <v>248.85</v>
      </c>
    </row>
    <row r="425" spans="2:3">
      <c r="B425" s="42">
        <v>44083</v>
      </c>
      <c r="C425" s="36">
        <v>251.11</v>
      </c>
    </row>
    <row r="426" spans="2:3">
      <c r="B426" s="42">
        <v>44084</v>
      </c>
      <c r="C426" s="36">
        <v>249.29</v>
      </c>
    </row>
    <row r="427" spans="2:3">
      <c r="B427" s="42">
        <v>44085</v>
      </c>
      <c r="C427" s="36">
        <v>249.4</v>
      </c>
    </row>
    <row r="428" spans="2:3">
      <c r="B428" s="42">
        <v>44088</v>
      </c>
      <c r="C428" s="36">
        <v>250.54</v>
      </c>
    </row>
    <row r="429" spans="2:3">
      <c r="B429" s="42">
        <v>44089</v>
      </c>
      <c r="C429" s="36">
        <v>250.97</v>
      </c>
    </row>
    <row r="430" spans="2:3">
      <c r="B430" s="42">
        <v>44090</v>
      </c>
      <c r="C430" s="36">
        <v>250.64</v>
      </c>
    </row>
    <row r="431" spans="2:3">
      <c r="B431" s="42">
        <v>44091</v>
      </c>
      <c r="C431" s="36">
        <v>249.96</v>
      </c>
    </row>
    <row r="432" spans="2:3">
      <c r="B432" s="42">
        <v>44092</v>
      </c>
      <c r="C432" s="36">
        <v>249.18</v>
      </c>
    </row>
    <row r="433" spans="2:3">
      <c r="B433" s="42">
        <v>44095</v>
      </c>
      <c r="C433" s="36">
        <v>248.39</v>
      </c>
    </row>
    <row r="434" spans="2:3">
      <c r="B434" s="42">
        <v>44096</v>
      </c>
      <c r="C434" s="36">
        <v>248.93</v>
      </c>
    </row>
    <row r="435" spans="2:3">
      <c r="B435" s="42">
        <v>44097</v>
      </c>
      <c r="C435" s="36">
        <v>247.39</v>
      </c>
    </row>
    <row r="436" spans="2:3">
      <c r="B436" s="42">
        <v>44098</v>
      </c>
      <c r="C436" s="36">
        <v>247.57</v>
      </c>
    </row>
    <row r="437" spans="2:3">
      <c r="B437" s="42">
        <v>44099</v>
      </c>
      <c r="C437" s="36">
        <v>248.19</v>
      </c>
    </row>
    <row r="438" spans="2:3">
      <c r="B438" s="42">
        <v>44102</v>
      </c>
      <c r="C438" s="36">
        <v>249</v>
      </c>
    </row>
    <row r="439" spans="2:3">
      <c r="B439" s="42">
        <v>44103</v>
      </c>
      <c r="C439" s="36">
        <v>248.77</v>
      </c>
    </row>
    <row r="440" spans="2:3">
      <c r="B440" s="42">
        <v>44104</v>
      </c>
      <c r="C440" s="36">
        <v>248.89</v>
      </c>
    </row>
    <row r="441" spans="2:3">
      <c r="B441" s="42">
        <v>44105</v>
      </c>
      <c r="C441" s="36">
        <v>249.06</v>
      </c>
    </row>
    <row r="442" spans="2:3">
      <c r="B442" s="42">
        <v>44106</v>
      </c>
      <c r="C442" s="36">
        <v>248.55</v>
      </c>
    </row>
    <row r="443" spans="2:3">
      <c r="B443" s="42">
        <v>44109</v>
      </c>
      <c r="C443" s="36">
        <v>248.8</v>
      </c>
    </row>
    <row r="444" spans="2:3">
      <c r="B444" s="42">
        <v>44110</v>
      </c>
      <c r="C444" s="36">
        <v>248.27</v>
      </c>
    </row>
    <row r="445" spans="2:3">
      <c r="B445" s="42">
        <v>44111</v>
      </c>
      <c r="C445" s="36">
        <v>248.83</v>
      </c>
    </row>
    <row r="446" spans="2:3">
      <c r="B446" s="42">
        <v>44112</v>
      </c>
      <c r="C446" s="36">
        <v>249.51</v>
      </c>
    </row>
    <row r="447" spans="2:3">
      <c r="B447" s="42">
        <v>44113</v>
      </c>
      <c r="C447" s="36">
        <v>249.92</v>
      </c>
    </row>
    <row r="448" spans="2:3">
      <c r="B448" s="42">
        <v>44117</v>
      </c>
      <c r="C448" s="36">
        <v>250.67</v>
      </c>
    </row>
    <row r="449" spans="2:3">
      <c r="B449" s="42">
        <v>44118</v>
      </c>
      <c r="C449" s="36">
        <v>250.28</v>
      </c>
    </row>
    <row r="450" spans="2:3">
      <c r="B450" s="42">
        <v>44119</v>
      </c>
      <c r="C450" s="36">
        <v>250.09</v>
      </c>
    </row>
    <row r="451" spans="2:3">
      <c r="B451" s="42">
        <v>44120</v>
      </c>
      <c r="C451" s="36">
        <v>250.15</v>
      </c>
    </row>
    <row r="452" spans="2:3">
      <c r="B452" s="42">
        <v>44123</v>
      </c>
      <c r="C452" s="36">
        <v>249.05</v>
      </c>
    </row>
    <row r="453" spans="2:3">
      <c r="B453" s="42">
        <v>44124</v>
      </c>
      <c r="C453" s="36">
        <v>249.27</v>
      </c>
    </row>
    <row r="454" spans="2:3">
      <c r="B454" s="42">
        <v>44125</v>
      </c>
      <c r="C454" s="36">
        <v>249.14</v>
      </c>
    </row>
    <row r="455" spans="2:3">
      <c r="B455" s="42">
        <v>44126</v>
      </c>
      <c r="C455" s="36">
        <v>249.29</v>
      </c>
    </row>
    <row r="456" spans="2:3">
      <c r="B456" s="42">
        <v>44127</v>
      </c>
      <c r="C456" s="36">
        <v>249.52</v>
      </c>
    </row>
    <row r="457" spans="2:3">
      <c r="B457" s="42">
        <v>44130</v>
      </c>
      <c r="C457" s="36">
        <v>248.46</v>
      </c>
    </row>
    <row r="458" spans="2:3">
      <c r="B458" s="42">
        <v>44131</v>
      </c>
      <c r="C458" s="36">
        <v>248.21</v>
      </c>
    </row>
    <row r="459" spans="2:3">
      <c r="B459" s="42">
        <v>44132</v>
      </c>
      <c r="C459" s="36">
        <v>245.98</v>
      </c>
    </row>
    <row r="460" spans="2:3">
      <c r="B460" s="42">
        <v>44133</v>
      </c>
      <c r="C460" s="36">
        <v>246.73</v>
      </c>
    </row>
    <row r="461" spans="2:3">
      <c r="B461" s="42">
        <v>44134</v>
      </c>
      <c r="C461" s="36">
        <v>246.02</v>
      </c>
    </row>
    <row r="462" spans="2:3">
      <c r="B462" s="42">
        <v>44137</v>
      </c>
      <c r="C462" s="36">
        <v>246.69</v>
      </c>
    </row>
    <row r="463" spans="2:3">
      <c r="B463" s="42">
        <v>44138</v>
      </c>
      <c r="C463" s="36">
        <v>247.76</v>
      </c>
    </row>
    <row r="464" spans="2:3">
      <c r="B464" s="42">
        <v>44139</v>
      </c>
      <c r="C464" s="36">
        <v>248.5</v>
      </c>
    </row>
    <row r="465" spans="2:3">
      <c r="B465" s="42">
        <v>44140</v>
      </c>
      <c r="C465" s="36">
        <v>249.5</v>
      </c>
    </row>
    <row r="466" spans="2:3">
      <c r="B466" s="42">
        <v>44141</v>
      </c>
      <c r="C466" s="36">
        <v>249.76</v>
      </c>
    </row>
    <row r="467" spans="2:3">
      <c r="B467" s="42">
        <v>44144</v>
      </c>
      <c r="C467" s="36">
        <v>250.94</v>
      </c>
    </row>
    <row r="468" spans="2:3">
      <c r="B468" s="42">
        <v>44145</v>
      </c>
      <c r="C468" s="36">
        <v>250.86</v>
      </c>
    </row>
    <row r="469" spans="2:3">
      <c r="B469" s="42">
        <v>44147</v>
      </c>
      <c r="C469" s="36">
        <v>250.12</v>
      </c>
    </row>
    <row r="470" spans="2:3">
      <c r="B470" s="42">
        <v>44148</v>
      </c>
      <c r="C470" s="36">
        <v>250.79</v>
      </c>
    </row>
    <row r="471" spans="2:3">
      <c r="B471" s="42">
        <v>44151</v>
      </c>
      <c r="C471" s="36">
        <v>251.41</v>
      </c>
    </row>
    <row r="472" spans="2:3">
      <c r="B472" s="42">
        <v>44152</v>
      </c>
      <c r="C472" s="36">
        <v>251.06</v>
      </c>
    </row>
    <row r="473" spans="2:3">
      <c r="B473" s="42">
        <v>44153</v>
      </c>
      <c r="C473" s="36">
        <v>250.68</v>
      </c>
    </row>
    <row r="474" spans="2:3">
      <c r="B474" s="42">
        <v>44154</v>
      </c>
      <c r="C474" s="36">
        <v>250.72</v>
      </c>
    </row>
    <row r="475" spans="2:3">
      <c r="B475" s="42">
        <v>44155</v>
      </c>
      <c r="C475" s="36">
        <v>250.13</v>
      </c>
    </row>
    <row r="476" spans="2:3">
      <c r="B476" s="42">
        <v>44158</v>
      </c>
      <c r="C476" s="36">
        <v>250.62</v>
      </c>
    </row>
    <row r="477" spans="2:3">
      <c r="B477" s="42">
        <v>44159</v>
      </c>
      <c r="C477" s="36">
        <v>251.43</v>
      </c>
    </row>
    <row r="478" spans="2:3">
      <c r="B478" s="42">
        <v>44160</v>
      </c>
      <c r="C478" s="36">
        <v>251.3</v>
      </c>
    </row>
    <row r="479" spans="2:3">
      <c r="B479" s="42">
        <v>44162</v>
      </c>
      <c r="C479" s="36">
        <v>251.31</v>
      </c>
    </row>
    <row r="480" spans="2:3">
      <c r="B480" s="42">
        <v>44165</v>
      </c>
      <c r="C480" s="36">
        <v>251.22</v>
      </c>
    </row>
    <row r="481" spans="2:3">
      <c r="B481" s="42">
        <v>44166</v>
      </c>
      <c r="C481" s="36">
        <v>252.18</v>
      </c>
    </row>
    <row r="482" spans="2:3">
      <c r="B482" s="42">
        <v>44167</v>
      </c>
      <c r="C482" s="36">
        <v>252.22</v>
      </c>
    </row>
    <row r="483" spans="2:3">
      <c r="B483" s="42">
        <v>44168</v>
      </c>
      <c r="C483" s="36">
        <v>252.09</v>
      </c>
    </row>
    <row r="484" spans="2:3">
      <c r="B484" s="42">
        <v>44169</v>
      </c>
      <c r="C484" s="36">
        <v>252.7</v>
      </c>
    </row>
    <row r="485" spans="2:3">
      <c r="B485" s="42">
        <v>44172</v>
      </c>
      <c r="C485" s="36">
        <v>252.34</v>
      </c>
    </row>
    <row r="486" spans="2:3">
      <c r="B486" s="42">
        <v>44173</v>
      </c>
      <c r="C486" s="36">
        <v>252.48</v>
      </c>
    </row>
    <row r="487" spans="2:3">
      <c r="B487" s="42">
        <v>44174</v>
      </c>
      <c r="C487" s="36">
        <v>252.02</v>
      </c>
    </row>
    <row r="488" spans="2:3">
      <c r="B488" s="42">
        <v>44175</v>
      </c>
      <c r="C488" s="36">
        <v>251.72</v>
      </c>
    </row>
    <row r="489" spans="2:3">
      <c r="B489" s="42">
        <v>44176</v>
      </c>
      <c r="C489" s="36">
        <v>251.47</v>
      </c>
    </row>
    <row r="490" spans="2:3">
      <c r="B490" s="42">
        <v>44179</v>
      </c>
      <c r="C490" s="36">
        <v>251.15</v>
      </c>
    </row>
    <row r="491" spans="2:3">
      <c r="B491" s="42">
        <v>44180</v>
      </c>
      <c r="C491" s="36">
        <v>252.33</v>
      </c>
    </row>
    <row r="492" spans="2:3">
      <c r="B492" s="42">
        <v>44181</v>
      </c>
      <c r="C492" s="36">
        <v>252.48</v>
      </c>
    </row>
    <row r="493" spans="2:3">
      <c r="B493" s="42">
        <v>44182</v>
      </c>
      <c r="C493" s="36">
        <v>253</v>
      </c>
    </row>
    <row r="494" spans="2:3">
      <c r="B494" s="42">
        <v>44183</v>
      </c>
      <c r="C494" s="36">
        <v>252.62</v>
      </c>
    </row>
    <row r="495" spans="2:3">
      <c r="B495" s="42">
        <v>44186</v>
      </c>
      <c r="C495" s="36">
        <v>252.19</v>
      </c>
    </row>
    <row r="496" spans="2:3">
      <c r="B496" s="42">
        <v>44187</v>
      </c>
      <c r="C496" s="36">
        <v>251.93</v>
      </c>
    </row>
    <row r="497" spans="2:3">
      <c r="B497" s="42">
        <v>44188</v>
      </c>
      <c r="C497" s="36">
        <v>252.1</v>
      </c>
    </row>
    <row r="498" spans="2:3">
      <c r="B498" s="42">
        <v>44189</v>
      </c>
      <c r="C498" s="36">
        <v>252.5</v>
      </c>
    </row>
    <row r="499" spans="2:3">
      <c r="B499" s="42">
        <v>44193</v>
      </c>
      <c r="C499" s="36">
        <v>253.6</v>
      </c>
    </row>
    <row r="500" spans="2:3">
      <c r="B500" s="42">
        <v>44194</v>
      </c>
      <c r="C500" s="36">
        <v>253.31</v>
      </c>
    </row>
    <row r="501" spans="2:3">
      <c r="B501" s="42">
        <v>44195</v>
      </c>
      <c r="C501" s="36">
        <v>253.53</v>
      </c>
    </row>
    <row r="502" spans="2:3" ht="15" thickBot="1">
      <c r="B502" s="42">
        <v>44196</v>
      </c>
      <c r="C502" s="37">
        <v>254.44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4C977-A769-4EC1-AECA-073DEB01F89B}">
  <sheetPr codeName="Sheet16"/>
  <dimension ref="B1:P502"/>
  <sheetViews>
    <sheetView workbookViewId="0">
      <selection activeCell="N1" sqref="N1:P1048576"/>
    </sheetView>
  </sheetViews>
  <sheetFormatPr defaultColWidth="8.69140625" defaultRowHeight="14.6"/>
  <cols>
    <col min="2" max="2" width="10.69140625" style="38" bestFit="1" customWidth="1"/>
    <col min="3" max="3" width="9.69140625" bestFit="1" customWidth="1"/>
    <col min="4" max="4" width="22.3046875" style="44" bestFit="1" customWidth="1"/>
    <col min="5" max="5" width="12" bestFit="1" customWidth="1"/>
    <col min="6" max="6" width="6.69140625" bestFit="1" customWidth="1"/>
    <col min="7" max="7" width="10.69140625" bestFit="1" customWidth="1"/>
    <col min="8" max="8" width="8" customWidth="1"/>
    <col min="9" max="9" width="12.3046875" bestFit="1" customWidth="1"/>
    <col min="10" max="10" width="10.3046875" bestFit="1" customWidth="1"/>
    <col min="11" max="11" width="9.3046875" style="33"/>
    <col min="12" max="12" width="7.69140625" style="33" bestFit="1" customWidth="1"/>
  </cols>
  <sheetData>
    <row r="1" spans="2:16" ht="15" thickBot="1">
      <c r="B1" s="38" t="s">
        <v>1217</v>
      </c>
      <c r="C1" s="35" t="s">
        <v>109</v>
      </c>
      <c r="E1" t="s">
        <v>105</v>
      </c>
      <c r="F1" t="s">
        <v>102</v>
      </c>
      <c r="G1" t="s">
        <v>103</v>
      </c>
      <c r="H1" t="s">
        <v>104</v>
      </c>
      <c r="I1" s="33"/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2:16">
      <c r="B2" s="38">
        <v>43467</v>
      </c>
      <c r="C2" s="36">
        <v>189.95</v>
      </c>
      <c r="E2">
        <v>2</v>
      </c>
      <c r="F2" s="43"/>
      <c r="G2" s="30">
        <f>B2</f>
        <v>43467</v>
      </c>
      <c r="H2">
        <f>VLOOKUP(G2,$B:$C,2,TRUE)</f>
        <v>189.95</v>
      </c>
      <c r="I2" s="30"/>
      <c r="J2">
        <v>1</v>
      </c>
      <c r="K2" s="33">
        <f>H2</f>
        <v>189.95</v>
      </c>
      <c r="L2" s="58">
        <f>(K3-K2)/K2</f>
        <v>0.10565938404843392</v>
      </c>
      <c r="N2">
        <v>1</v>
      </c>
      <c r="O2">
        <f>K2</f>
        <v>189.95</v>
      </c>
      <c r="P2">
        <f>0</f>
        <v>0</v>
      </c>
    </row>
    <row r="3" spans="2:16">
      <c r="B3" s="38">
        <v>43468</v>
      </c>
      <c r="C3" s="36">
        <v>190.22</v>
      </c>
      <c r="E3">
        <v>1</v>
      </c>
      <c r="F3" s="43"/>
      <c r="G3" s="30">
        <f>DATE(YEAR(G2)+1,MONTH(G2),DAY(G2))</f>
        <v>43832</v>
      </c>
      <c r="H3">
        <f>VLOOKUP(G3,$B:$C,2,TRUE)</f>
        <v>210.02</v>
      </c>
      <c r="I3" s="30"/>
      <c r="J3">
        <v>2</v>
      </c>
      <c r="K3" s="33">
        <f>H3</f>
        <v>210.02</v>
      </c>
      <c r="L3" s="58">
        <f t="shared" ref="L3:L66" si="0">(K4-K3)/K3</f>
        <v>3.7282163603466256E-2</v>
      </c>
      <c r="N3">
        <v>2</v>
      </c>
      <c r="O3">
        <f t="shared" ref="O3:O66" si="1">K3</f>
        <v>210.02</v>
      </c>
      <c r="P3">
        <f>(O4-O2)/O2</f>
        <v>0.14688075809423537</v>
      </c>
    </row>
    <row r="4" spans="2:16">
      <c r="B4" s="38">
        <v>43469</v>
      </c>
      <c r="C4" s="36">
        <v>190.56</v>
      </c>
      <c r="E4">
        <v>0</v>
      </c>
      <c r="F4" s="43"/>
      <c r="G4" s="30">
        <f>DATE(YEAR(G3)+1,MONTH(G3),DAY(G3))</f>
        <v>44198</v>
      </c>
      <c r="H4">
        <f>VLOOKUP(G4,$B:$C,2,TRUE)</f>
        <v>217.85</v>
      </c>
      <c r="I4" s="30"/>
      <c r="J4">
        <v>3</v>
      </c>
      <c r="K4" s="33">
        <f>H4</f>
        <v>217.85</v>
      </c>
      <c r="L4" s="58">
        <f t="shared" si="0"/>
        <v>-0.12806977277943543</v>
      </c>
      <c r="N4">
        <v>3</v>
      </c>
      <c r="O4">
        <f t="shared" si="1"/>
        <v>217.85</v>
      </c>
      <c r="P4">
        <f>0</f>
        <v>0</v>
      </c>
    </row>
    <row r="5" spans="2:16">
      <c r="B5" s="38">
        <v>43472</v>
      </c>
      <c r="C5" s="36">
        <v>190.57</v>
      </c>
      <c r="F5" s="43"/>
      <c r="G5" s="30"/>
      <c r="I5" s="30"/>
      <c r="J5">
        <v>4</v>
      </c>
      <c r="K5" s="33">
        <f>K2</f>
        <v>189.95</v>
      </c>
      <c r="L5" s="58">
        <f t="shared" si="0"/>
        <v>0.10565938404843392</v>
      </c>
      <c r="N5">
        <v>4</v>
      </c>
      <c r="O5">
        <f t="shared" si="1"/>
        <v>189.95</v>
      </c>
      <c r="P5">
        <f>(O6-O4)/O4</f>
        <v>-3.5942162038099537E-2</v>
      </c>
    </row>
    <row r="6" spans="2:16">
      <c r="B6" s="38">
        <v>43473</v>
      </c>
      <c r="C6" s="36">
        <v>190.6</v>
      </c>
      <c r="F6" s="43"/>
      <c r="G6" s="30"/>
      <c r="I6" s="30"/>
      <c r="J6">
        <v>5</v>
      </c>
      <c r="K6" s="33">
        <f t="shared" ref="K6:K69" si="2">K3</f>
        <v>210.02</v>
      </c>
      <c r="L6" s="58">
        <f t="shared" si="0"/>
        <v>3.7282163603466256E-2</v>
      </c>
      <c r="N6">
        <v>5</v>
      </c>
      <c r="O6">
        <f t="shared" si="1"/>
        <v>210.02</v>
      </c>
      <c r="P6">
        <f>0</f>
        <v>0</v>
      </c>
    </row>
    <row r="7" spans="2:16">
      <c r="B7" s="38">
        <v>43474</v>
      </c>
      <c r="C7" s="36">
        <v>190.79</v>
      </c>
      <c r="F7" s="43"/>
      <c r="G7" s="30"/>
      <c r="J7">
        <v>6</v>
      </c>
      <c r="K7" s="33">
        <f t="shared" si="2"/>
        <v>217.85</v>
      </c>
      <c r="L7" s="58">
        <f t="shared" si="0"/>
        <v>-0.12806977277943543</v>
      </c>
      <c r="N7">
        <v>6</v>
      </c>
      <c r="O7">
        <f t="shared" si="1"/>
        <v>217.85</v>
      </c>
      <c r="P7">
        <f t="shared" ref="P7" si="3">(O8-O6)/O6</f>
        <v>-9.5562327397390817E-2</v>
      </c>
    </row>
    <row r="8" spans="2:16">
      <c r="B8" s="38">
        <v>43475</v>
      </c>
      <c r="C8" s="36">
        <v>190.98</v>
      </c>
      <c r="F8" s="43"/>
      <c r="G8" s="30"/>
      <c r="J8">
        <v>7</v>
      </c>
      <c r="K8" s="33">
        <f t="shared" si="2"/>
        <v>189.95</v>
      </c>
      <c r="L8" s="58">
        <f t="shared" si="0"/>
        <v>0.10565938404843392</v>
      </c>
      <c r="N8">
        <v>7</v>
      </c>
      <c r="O8">
        <f t="shared" si="1"/>
        <v>189.95</v>
      </c>
      <c r="P8">
        <f>0</f>
        <v>0</v>
      </c>
    </row>
    <row r="9" spans="2:16">
      <c r="B9" s="38">
        <v>43476</v>
      </c>
      <c r="C9" s="36">
        <v>191.22</v>
      </c>
      <c r="F9" s="43"/>
      <c r="G9" s="30"/>
      <c r="J9">
        <v>8</v>
      </c>
      <c r="K9" s="33">
        <f t="shared" si="2"/>
        <v>210.02</v>
      </c>
      <c r="L9" s="58">
        <f t="shared" si="0"/>
        <v>3.7282163603466256E-2</v>
      </c>
      <c r="N9">
        <v>8</v>
      </c>
      <c r="O9">
        <f t="shared" si="1"/>
        <v>210.02</v>
      </c>
      <c r="P9">
        <f t="shared" ref="P9" si="4">(O10-O8)/O8</f>
        <v>0.14688075809423537</v>
      </c>
    </row>
    <row r="10" spans="2:16">
      <c r="B10" s="38">
        <v>43479</v>
      </c>
      <c r="C10" s="36">
        <v>191.03</v>
      </c>
      <c r="F10" s="43"/>
      <c r="G10" s="30"/>
      <c r="J10">
        <v>9</v>
      </c>
      <c r="K10" s="33">
        <f t="shared" si="2"/>
        <v>217.85</v>
      </c>
      <c r="L10" s="58">
        <f t="shared" si="0"/>
        <v>-0.12806977277943543</v>
      </c>
      <c r="N10">
        <v>9</v>
      </c>
      <c r="O10">
        <f t="shared" si="1"/>
        <v>217.85</v>
      </c>
      <c r="P10">
        <f>0</f>
        <v>0</v>
      </c>
    </row>
    <row r="11" spans="2:16">
      <c r="B11" s="38">
        <v>43480</v>
      </c>
      <c r="C11" s="36">
        <v>191.41</v>
      </c>
      <c r="F11" s="43"/>
      <c r="G11" s="30"/>
      <c r="J11">
        <v>10</v>
      </c>
      <c r="K11" s="33">
        <f t="shared" si="2"/>
        <v>189.95</v>
      </c>
      <c r="L11" s="58">
        <f t="shared" si="0"/>
        <v>0.10565938404843392</v>
      </c>
      <c r="N11">
        <v>10</v>
      </c>
      <c r="O11">
        <f t="shared" si="1"/>
        <v>189.95</v>
      </c>
      <c r="P11">
        <f t="shared" ref="P11" si="5">(O12-O10)/O10</f>
        <v>-3.5942162038099537E-2</v>
      </c>
    </row>
    <row r="12" spans="2:16">
      <c r="B12" s="38">
        <v>43481</v>
      </c>
      <c r="C12" s="36">
        <v>191.35</v>
      </c>
      <c r="F12" s="43"/>
      <c r="G12" s="30"/>
      <c r="J12">
        <v>11</v>
      </c>
      <c r="K12" s="33">
        <f t="shared" si="2"/>
        <v>210.02</v>
      </c>
      <c r="L12" s="58">
        <f t="shared" si="0"/>
        <v>3.7282163603466256E-2</v>
      </c>
      <c r="N12">
        <v>11</v>
      </c>
      <c r="O12">
        <f t="shared" si="1"/>
        <v>210.02</v>
      </c>
      <c r="P12">
        <f>0</f>
        <v>0</v>
      </c>
    </row>
    <row r="13" spans="2:16">
      <c r="B13" s="38">
        <v>43482</v>
      </c>
      <c r="C13" s="36">
        <v>191.37</v>
      </c>
      <c r="J13">
        <v>12</v>
      </c>
      <c r="K13" s="33">
        <f t="shared" si="2"/>
        <v>217.85</v>
      </c>
      <c r="L13" s="58">
        <f t="shared" si="0"/>
        <v>-0.12806977277943543</v>
      </c>
      <c r="N13">
        <v>12</v>
      </c>
      <c r="O13">
        <f t="shared" si="1"/>
        <v>217.85</v>
      </c>
      <c r="P13">
        <f t="shared" ref="P13" si="6">(O14-O12)/O12</f>
        <v>-9.5562327397390817E-2</v>
      </c>
    </row>
    <row r="14" spans="2:16">
      <c r="B14" s="38">
        <v>43483</v>
      </c>
      <c r="C14" s="36">
        <v>191.53</v>
      </c>
      <c r="J14">
        <v>13</v>
      </c>
      <c r="K14" s="33">
        <f t="shared" si="2"/>
        <v>189.95</v>
      </c>
      <c r="L14" s="58">
        <f t="shared" si="0"/>
        <v>0.10565938404843392</v>
      </c>
      <c r="N14">
        <v>13</v>
      </c>
      <c r="O14">
        <f t="shared" si="1"/>
        <v>189.95</v>
      </c>
      <c r="P14">
        <f>0</f>
        <v>0</v>
      </c>
    </row>
    <row r="15" spans="2:16">
      <c r="B15" s="38">
        <v>43487</v>
      </c>
      <c r="C15" s="36">
        <v>191.33</v>
      </c>
      <c r="J15">
        <v>14</v>
      </c>
      <c r="K15" s="33">
        <f t="shared" si="2"/>
        <v>210.02</v>
      </c>
      <c r="L15" s="58">
        <f t="shared" si="0"/>
        <v>3.7282163603466256E-2</v>
      </c>
      <c r="N15">
        <v>14</v>
      </c>
      <c r="O15">
        <f t="shared" si="1"/>
        <v>210.02</v>
      </c>
      <c r="P15">
        <f t="shared" ref="P15" si="7">(O16-O14)/O14</f>
        <v>0.14688075809423537</v>
      </c>
    </row>
    <row r="16" spans="2:16">
      <c r="B16" s="38">
        <v>43488</v>
      </c>
      <c r="C16" s="36">
        <v>191.29</v>
      </c>
      <c r="J16">
        <v>15</v>
      </c>
      <c r="K16" s="33">
        <f t="shared" si="2"/>
        <v>217.85</v>
      </c>
      <c r="L16" s="58">
        <f t="shared" si="0"/>
        <v>-0.12806977277943543</v>
      </c>
      <c r="N16">
        <v>15</v>
      </c>
      <c r="O16">
        <f t="shared" si="1"/>
        <v>217.85</v>
      </c>
      <c r="P16">
        <f>0</f>
        <v>0</v>
      </c>
    </row>
    <row r="17" spans="2:16">
      <c r="B17" s="38">
        <v>43489</v>
      </c>
      <c r="C17" s="36">
        <v>191.76</v>
      </c>
      <c r="J17">
        <v>16</v>
      </c>
      <c r="K17" s="33">
        <f t="shared" si="2"/>
        <v>189.95</v>
      </c>
      <c r="L17" s="58">
        <f t="shared" si="0"/>
        <v>0.10565938404843392</v>
      </c>
      <c r="N17">
        <v>16</v>
      </c>
      <c r="O17">
        <f t="shared" si="1"/>
        <v>189.95</v>
      </c>
      <c r="P17">
        <f t="shared" ref="P17" si="8">(O18-O16)/O16</f>
        <v>-3.5942162038099537E-2</v>
      </c>
    </row>
    <row r="18" spans="2:16">
      <c r="B18" s="38">
        <v>43490</v>
      </c>
      <c r="C18" s="36">
        <v>191.77</v>
      </c>
      <c r="J18">
        <v>17</v>
      </c>
      <c r="K18" s="33">
        <f t="shared" si="2"/>
        <v>210.02</v>
      </c>
      <c r="L18" s="58">
        <f t="shared" si="0"/>
        <v>3.7282163603466256E-2</v>
      </c>
      <c r="N18">
        <v>17</v>
      </c>
      <c r="O18">
        <f t="shared" si="1"/>
        <v>210.02</v>
      </c>
      <c r="P18">
        <f>0</f>
        <v>0</v>
      </c>
    </row>
    <row r="19" spans="2:16">
      <c r="B19" s="38">
        <v>43493</v>
      </c>
      <c r="C19" s="36">
        <v>191.49</v>
      </c>
      <c r="J19">
        <v>18</v>
      </c>
      <c r="K19" s="33">
        <f t="shared" si="2"/>
        <v>217.85</v>
      </c>
      <c r="L19" s="58">
        <f t="shared" si="0"/>
        <v>-0.12806977277943543</v>
      </c>
      <c r="N19">
        <v>18</v>
      </c>
      <c r="O19">
        <f t="shared" si="1"/>
        <v>217.85</v>
      </c>
      <c r="P19">
        <f t="shared" ref="P19" si="9">(O20-O18)/O18</f>
        <v>-9.5562327397390817E-2</v>
      </c>
    </row>
    <row r="20" spans="2:16">
      <c r="B20" s="38">
        <v>43494</v>
      </c>
      <c r="C20" s="36">
        <v>191.74</v>
      </c>
      <c r="J20">
        <v>19</v>
      </c>
      <c r="K20" s="33">
        <f t="shared" si="2"/>
        <v>189.95</v>
      </c>
      <c r="L20" s="58">
        <f t="shared" si="0"/>
        <v>0.10565938404843392</v>
      </c>
      <c r="N20">
        <v>19</v>
      </c>
      <c r="O20">
        <f t="shared" si="1"/>
        <v>189.95</v>
      </c>
      <c r="P20">
        <f>0</f>
        <v>0</v>
      </c>
    </row>
    <row r="21" spans="2:16">
      <c r="B21" s="38">
        <v>43495</v>
      </c>
      <c r="C21" s="36">
        <v>192.98</v>
      </c>
      <c r="J21">
        <v>20</v>
      </c>
      <c r="K21" s="33">
        <f t="shared" si="2"/>
        <v>210.02</v>
      </c>
      <c r="L21" s="58">
        <f t="shared" si="0"/>
        <v>3.7282163603466256E-2</v>
      </c>
      <c r="N21">
        <v>20</v>
      </c>
      <c r="O21">
        <f t="shared" si="1"/>
        <v>210.02</v>
      </c>
      <c r="P21">
        <f t="shared" ref="P21" si="10">(O22-O20)/O20</f>
        <v>0.14688075809423537</v>
      </c>
    </row>
    <row r="22" spans="2:16">
      <c r="B22" s="38">
        <v>43496</v>
      </c>
      <c r="C22" s="36">
        <v>194.11</v>
      </c>
      <c r="J22">
        <v>21</v>
      </c>
      <c r="K22" s="33">
        <f t="shared" si="2"/>
        <v>217.85</v>
      </c>
      <c r="L22" s="58">
        <f t="shared" si="0"/>
        <v>-0.12806977277943543</v>
      </c>
      <c r="N22">
        <v>21</v>
      </c>
      <c r="O22">
        <f t="shared" si="1"/>
        <v>217.85</v>
      </c>
      <c r="P22">
        <f>0</f>
        <v>0</v>
      </c>
    </row>
    <row r="23" spans="2:16">
      <c r="B23" s="38">
        <v>43497</v>
      </c>
      <c r="C23" s="36">
        <v>193.57</v>
      </c>
      <c r="J23">
        <v>22</v>
      </c>
      <c r="K23" s="33">
        <f t="shared" si="2"/>
        <v>189.95</v>
      </c>
      <c r="L23" s="58">
        <f t="shared" si="0"/>
        <v>0.10565938404843392</v>
      </c>
      <c r="N23">
        <v>22</v>
      </c>
      <c r="O23">
        <f t="shared" si="1"/>
        <v>189.95</v>
      </c>
      <c r="P23">
        <f t="shared" ref="P23" si="11">(O24-O22)/O22</f>
        <v>-3.5942162038099537E-2</v>
      </c>
    </row>
    <row r="24" spans="2:16">
      <c r="B24" s="38">
        <v>43500</v>
      </c>
      <c r="C24" s="36">
        <v>193.79</v>
      </c>
      <c r="J24">
        <v>23</v>
      </c>
      <c r="K24" s="33">
        <f t="shared" si="2"/>
        <v>210.02</v>
      </c>
      <c r="L24" s="58">
        <f t="shared" si="0"/>
        <v>3.7282163603466256E-2</v>
      </c>
      <c r="N24">
        <v>23</v>
      </c>
      <c r="O24">
        <f t="shared" si="1"/>
        <v>210.02</v>
      </c>
      <c r="P24">
        <f>0</f>
        <v>0</v>
      </c>
    </row>
    <row r="25" spans="2:16">
      <c r="B25" s="38">
        <v>43501</v>
      </c>
      <c r="C25" s="36">
        <v>194.28</v>
      </c>
      <c r="J25">
        <v>24</v>
      </c>
      <c r="K25" s="33">
        <f t="shared" si="2"/>
        <v>217.85</v>
      </c>
      <c r="L25" s="58">
        <f t="shared" si="0"/>
        <v>-0.12806977277943543</v>
      </c>
      <c r="N25">
        <v>24</v>
      </c>
      <c r="O25">
        <f t="shared" si="1"/>
        <v>217.85</v>
      </c>
      <c r="P25">
        <f t="shared" ref="P25" si="12">(O26-O24)/O24</f>
        <v>-9.5562327397390817E-2</v>
      </c>
    </row>
    <row r="26" spans="2:16">
      <c r="B26" s="38">
        <v>43502</v>
      </c>
      <c r="C26" s="36">
        <v>194.14</v>
      </c>
      <c r="J26">
        <v>25</v>
      </c>
      <c r="K26" s="33">
        <f t="shared" si="2"/>
        <v>189.95</v>
      </c>
      <c r="L26" s="58">
        <f t="shared" si="0"/>
        <v>0.10565938404843392</v>
      </c>
      <c r="N26">
        <v>25</v>
      </c>
      <c r="O26">
        <f t="shared" si="1"/>
        <v>189.95</v>
      </c>
      <c r="P26">
        <f>0</f>
        <v>0</v>
      </c>
    </row>
    <row r="27" spans="2:16">
      <c r="B27" s="38">
        <v>43503</v>
      </c>
      <c r="C27" s="36">
        <v>193.75</v>
      </c>
      <c r="J27">
        <v>26</v>
      </c>
      <c r="K27" s="33">
        <f t="shared" si="2"/>
        <v>210.02</v>
      </c>
      <c r="L27" s="58">
        <f t="shared" si="0"/>
        <v>3.7282163603466256E-2</v>
      </c>
      <c r="N27">
        <v>26</v>
      </c>
      <c r="O27">
        <f t="shared" si="1"/>
        <v>210.02</v>
      </c>
      <c r="P27">
        <f t="shared" ref="P27" si="13">(O28-O26)/O26</f>
        <v>0.14688075809423537</v>
      </c>
    </row>
    <row r="28" spans="2:16">
      <c r="B28" s="38">
        <v>43504</v>
      </c>
      <c r="C28" s="36">
        <v>193.89</v>
      </c>
      <c r="J28">
        <v>27</v>
      </c>
      <c r="K28" s="33">
        <f t="shared" si="2"/>
        <v>217.85</v>
      </c>
      <c r="L28" s="58">
        <f t="shared" si="0"/>
        <v>-0.12806977277943543</v>
      </c>
      <c r="N28">
        <v>27</v>
      </c>
      <c r="O28">
        <f t="shared" si="1"/>
        <v>217.85</v>
      </c>
      <c r="P28">
        <f>0</f>
        <v>0</v>
      </c>
    </row>
    <row r="29" spans="2:16">
      <c r="B29" s="38">
        <v>43507</v>
      </c>
      <c r="C29" s="36">
        <v>193.8</v>
      </c>
      <c r="J29">
        <v>28</v>
      </c>
      <c r="K29" s="33">
        <f t="shared" si="2"/>
        <v>189.95</v>
      </c>
      <c r="L29" s="58">
        <f t="shared" si="0"/>
        <v>0.10565938404843392</v>
      </c>
      <c r="N29">
        <v>28</v>
      </c>
      <c r="O29">
        <f t="shared" si="1"/>
        <v>189.95</v>
      </c>
      <c r="P29">
        <f t="shared" ref="P29" si="14">(O30-O28)/O28</f>
        <v>-3.5942162038099537E-2</v>
      </c>
    </row>
    <row r="30" spans="2:16">
      <c r="B30" s="38">
        <v>43508</v>
      </c>
      <c r="C30" s="36">
        <v>194.64</v>
      </c>
      <c r="J30">
        <v>29</v>
      </c>
      <c r="K30" s="33">
        <f t="shared" si="2"/>
        <v>210.02</v>
      </c>
      <c r="L30" s="58">
        <f t="shared" si="0"/>
        <v>3.7282163603466256E-2</v>
      </c>
      <c r="N30">
        <v>29</v>
      </c>
      <c r="O30">
        <f t="shared" si="1"/>
        <v>210.02</v>
      </c>
      <c r="P30">
        <f>0</f>
        <v>0</v>
      </c>
    </row>
    <row r="31" spans="2:16">
      <c r="B31" s="38">
        <v>43509</v>
      </c>
      <c r="C31" s="36">
        <v>194.66</v>
      </c>
      <c r="J31">
        <v>30</v>
      </c>
      <c r="K31" s="33">
        <f t="shared" si="2"/>
        <v>217.85</v>
      </c>
      <c r="L31" s="58">
        <f t="shared" si="0"/>
        <v>-0.12806977277943543</v>
      </c>
      <c r="N31">
        <v>30</v>
      </c>
      <c r="O31">
        <f t="shared" si="1"/>
        <v>217.85</v>
      </c>
      <c r="P31">
        <f t="shared" ref="P31" si="15">(O32-O30)/O30</f>
        <v>-9.5562327397390817E-2</v>
      </c>
    </row>
    <row r="32" spans="2:16">
      <c r="B32" s="38">
        <v>43510</v>
      </c>
      <c r="C32" s="36">
        <v>194.85</v>
      </c>
      <c r="J32">
        <v>31</v>
      </c>
      <c r="K32" s="33">
        <f t="shared" si="2"/>
        <v>189.95</v>
      </c>
      <c r="L32" s="58">
        <f t="shared" si="0"/>
        <v>0.10565938404843392</v>
      </c>
      <c r="N32">
        <v>31</v>
      </c>
      <c r="O32">
        <f t="shared" si="1"/>
        <v>189.95</v>
      </c>
      <c r="P32">
        <f>0</f>
        <v>0</v>
      </c>
    </row>
    <row r="33" spans="2:16">
      <c r="B33" s="38">
        <v>43511</v>
      </c>
      <c r="C33" s="36">
        <v>195.54</v>
      </c>
      <c r="J33">
        <v>32</v>
      </c>
      <c r="K33" s="33">
        <f t="shared" si="2"/>
        <v>210.02</v>
      </c>
      <c r="L33" s="58">
        <f t="shared" si="0"/>
        <v>3.7282163603466256E-2</v>
      </c>
      <c r="N33">
        <v>32</v>
      </c>
      <c r="O33">
        <f t="shared" si="1"/>
        <v>210.02</v>
      </c>
      <c r="P33">
        <f t="shared" ref="P33" si="16">(O34-O32)/O32</f>
        <v>0.14688075809423537</v>
      </c>
    </row>
    <row r="34" spans="2:16">
      <c r="B34" s="38">
        <v>43515</v>
      </c>
      <c r="C34" s="36">
        <v>195.89</v>
      </c>
      <c r="J34">
        <v>33</v>
      </c>
      <c r="K34" s="33">
        <f t="shared" si="2"/>
        <v>217.85</v>
      </c>
      <c r="L34" s="58">
        <f t="shared" si="0"/>
        <v>-0.12806977277943543</v>
      </c>
      <c r="N34">
        <v>33</v>
      </c>
      <c r="O34">
        <f t="shared" si="1"/>
        <v>217.85</v>
      </c>
      <c r="P34">
        <f>0</f>
        <v>0</v>
      </c>
    </row>
    <row r="35" spans="2:16">
      <c r="B35" s="38">
        <v>43516</v>
      </c>
      <c r="C35" s="36">
        <v>195.96</v>
      </c>
      <c r="J35">
        <v>34</v>
      </c>
      <c r="K35" s="33">
        <f t="shared" si="2"/>
        <v>189.95</v>
      </c>
      <c r="L35" s="58">
        <f t="shared" si="0"/>
        <v>0.10565938404843392</v>
      </c>
      <c r="N35">
        <v>34</v>
      </c>
      <c r="O35">
        <f t="shared" si="1"/>
        <v>189.95</v>
      </c>
      <c r="P35">
        <f t="shared" ref="P35" si="17">(O36-O34)/O34</f>
        <v>-3.5942162038099537E-2</v>
      </c>
    </row>
    <row r="36" spans="2:16">
      <c r="B36" s="38">
        <v>43517</v>
      </c>
      <c r="C36" s="36">
        <v>195.45</v>
      </c>
      <c r="J36">
        <v>35</v>
      </c>
      <c r="K36" s="33">
        <f t="shared" si="2"/>
        <v>210.02</v>
      </c>
      <c r="L36" s="58">
        <f t="shared" si="0"/>
        <v>3.7282163603466256E-2</v>
      </c>
      <c r="N36">
        <v>35</v>
      </c>
      <c r="O36">
        <f t="shared" si="1"/>
        <v>210.02</v>
      </c>
      <c r="P36">
        <f>0</f>
        <v>0</v>
      </c>
    </row>
    <row r="37" spans="2:16">
      <c r="B37" s="38">
        <v>43518</v>
      </c>
      <c r="C37" s="36">
        <v>196.1</v>
      </c>
      <c r="J37">
        <v>36</v>
      </c>
      <c r="K37" s="33">
        <f t="shared" si="2"/>
        <v>217.85</v>
      </c>
      <c r="L37" s="58">
        <f t="shared" si="0"/>
        <v>-0.12806977277943543</v>
      </c>
      <c r="N37">
        <v>36</v>
      </c>
      <c r="O37">
        <f t="shared" si="1"/>
        <v>217.85</v>
      </c>
      <c r="P37">
        <f t="shared" ref="P37" si="18">(O38-O36)/O36</f>
        <v>-9.5562327397390817E-2</v>
      </c>
    </row>
    <row r="38" spans="2:16">
      <c r="B38" s="38">
        <v>43521</v>
      </c>
      <c r="C38" s="36">
        <v>196.21</v>
      </c>
      <c r="J38">
        <v>37</v>
      </c>
      <c r="K38" s="33">
        <f t="shared" si="2"/>
        <v>189.95</v>
      </c>
      <c r="L38" s="58">
        <f t="shared" si="0"/>
        <v>0.10565938404843392</v>
      </c>
      <c r="N38">
        <v>37</v>
      </c>
      <c r="O38">
        <f t="shared" si="1"/>
        <v>189.95</v>
      </c>
      <c r="P38">
        <f>0</f>
        <v>0</v>
      </c>
    </row>
    <row r="39" spans="2:16">
      <c r="B39" s="38">
        <v>43522</v>
      </c>
      <c r="C39" s="36">
        <v>196.38</v>
      </c>
      <c r="J39">
        <v>38</v>
      </c>
      <c r="K39" s="33">
        <f t="shared" si="2"/>
        <v>210.02</v>
      </c>
      <c r="L39" s="58">
        <f t="shared" si="0"/>
        <v>3.7282163603466256E-2</v>
      </c>
      <c r="N39">
        <v>38</v>
      </c>
      <c r="O39">
        <f t="shared" si="1"/>
        <v>210.02</v>
      </c>
      <c r="P39">
        <f t="shared" ref="P39" si="19">(O40-O38)/O38</f>
        <v>0.14688075809423537</v>
      </c>
    </row>
    <row r="40" spans="2:16">
      <c r="B40" s="38">
        <v>43523</v>
      </c>
      <c r="C40" s="36">
        <v>195.99</v>
      </c>
      <c r="J40">
        <v>39</v>
      </c>
      <c r="K40" s="33">
        <f t="shared" si="2"/>
        <v>217.85</v>
      </c>
      <c r="L40" s="58">
        <f t="shared" si="0"/>
        <v>-0.12806977277943543</v>
      </c>
      <c r="N40">
        <v>39</v>
      </c>
      <c r="O40">
        <f t="shared" si="1"/>
        <v>217.85</v>
      </c>
      <c r="P40">
        <f>0</f>
        <v>0</v>
      </c>
    </row>
    <row r="41" spans="2:16">
      <c r="B41" s="38">
        <v>43524</v>
      </c>
      <c r="C41" s="36">
        <v>195.6</v>
      </c>
      <c r="J41">
        <v>40</v>
      </c>
      <c r="K41" s="33">
        <f t="shared" si="2"/>
        <v>189.95</v>
      </c>
      <c r="L41" s="58">
        <f t="shared" si="0"/>
        <v>0.10565938404843392</v>
      </c>
      <c r="N41">
        <v>40</v>
      </c>
      <c r="O41">
        <f t="shared" si="1"/>
        <v>189.95</v>
      </c>
      <c r="P41">
        <f t="shared" ref="P41" si="20">(O42-O40)/O40</f>
        <v>-3.5942162038099537E-2</v>
      </c>
    </row>
    <row r="42" spans="2:16">
      <c r="B42" s="38">
        <v>43525</v>
      </c>
      <c r="C42" s="36">
        <v>195.83</v>
      </c>
      <c r="J42">
        <v>41</v>
      </c>
      <c r="K42" s="33">
        <f t="shared" si="2"/>
        <v>210.02</v>
      </c>
      <c r="L42" s="58">
        <f t="shared" si="0"/>
        <v>3.7282163603466256E-2</v>
      </c>
      <c r="N42">
        <v>41</v>
      </c>
      <c r="O42">
        <f t="shared" si="1"/>
        <v>210.02</v>
      </c>
      <c r="P42">
        <f>0</f>
        <v>0</v>
      </c>
    </row>
    <row r="43" spans="2:16">
      <c r="B43" s="38">
        <v>43528</v>
      </c>
      <c r="C43" s="36">
        <v>195.73</v>
      </c>
      <c r="J43">
        <v>42</v>
      </c>
      <c r="K43" s="33">
        <f t="shared" si="2"/>
        <v>217.85</v>
      </c>
      <c r="L43" s="58">
        <f t="shared" si="0"/>
        <v>-0.12806977277943543</v>
      </c>
      <c r="N43">
        <v>42</v>
      </c>
      <c r="O43">
        <f t="shared" si="1"/>
        <v>217.85</v>
      </c>
      <c r="P43">
        <f t="shared" ref="P43" si="21">(O44-O42)/O42</f>
        <v>-9.5562327397390817E-2</v>
      </c>
    </row>
    <row r="44" spans="2:16">
      <c r="B44" s="38">
        <v>43529</v>
      </c>
      <c r="C44" s="36">
        <v>195.64</v>
      </c>
      <c r="J44">
        <v>43</v>
      </c>
      <c r="K44" s="33">
        <f t="shared" si="2"/>
        <v>189.95</v>
      </c>
      <c r="L44" s="58">
        <f t="shared" si="0"/>
        <v>0.10565938404843392</v>
      </c>
      <c r="N44">
        <v>43</v>
      </c>
      <c r="O44">
        <f t="shared" si="1"/>
        <v>189.95</v>
      </c>
      <c r="P44">
        <f>0</f>
        <v>0</v>
      </c>
    </row>
    <row r="45" spans="2:16">
      <c r="B45" s="38">
        <v>43530</v>
      </c>
      <c r="C45" s="36">
        <v>195.25</v>
      </c>
      <c r="J45">
        <v>44</v>
      </c>
      <c r="K45" s="33">
        <f t="shared" si="2"/>
        <v>210.02</v>
      </c>
      <c r="L45" s="58">
        <f t="shared" si="0"/>
        <v>3.7282163603466256E-2</v>
      </c>
      <c r="N45">
        <v>44</v>
      </c>
      <c r="O45">
        <f t="shared" si="1"/>
        <v>210.02</v>
      </c>
      <c r="P45">
        <f t="shared" ref="P45" si="22">(O46-O44)/O44</f>
        <v>0.14688075809423537</v>
      </c>
    </row>
    <row r="46" spans="2:16">
      <c r="B46" s="38">
        <v>43531</v>
      </c>
      <c r="C46" s="36">
        <v>194.78</v>
      </c>
      <c r="J46">
        <v>45</v>
      </c>
      <c r="K46" s="33">
        <f t="shared" si="2"/>
        <v>217.85</v>
      </c>
      <c r="L46" s="58">
        <f t="shared" si="0"/>
        <v>-0.12806977277943543</v>
      </c>
      <c r="N46">
        <v>45</v>
      </c>
      <c r="O46">
        <f t="shared" si="1"/>
        <v>217.85</v>
      </c>
      <c r="P46">
        <f>0</f>
        <v>0</v>
      </c>
    </row>
    <row r="47" spans="2:16">
      <c r="B47" s="38">
        <v>43532</v>
      </c>
      <c r="C47" s="36">
        <v>194.65</v>
      </c>
      <c r="J47">
        <v>46</v>
      </c>
      <c r="K47" s="33">
        <f t="shared" si="2"/>
        <v>189.95</v>
      </c>
      <c r="L47" s="58">
        <f t="shared" si="0"/>
        <v>0.10565938404843392</v>
      </c>
      <c r="N47">
        <v>46</v>
      </c>
      <c r="O47">
        <f t="shared" si="1"/>
        <v>189.95</v>
      </c>
      <c r="P47">
        <f t="shared" ref="P47" si="23">(O48-O46)/O46</f>
        <v>-3.5942162038099537E-2</v>
      </c>
    </row>
    <row r="48" spans="2:16">
      <c r="B48" s="38">
        <v>43535</v>
      </c>
      <c r="C48" s="36">
        <v>196.1</v>
      </c>
      <c r="J48">
        <v>47</v>
      </c>
      <c r="K48" s="33">
        <f t="shared" si="2"/>
        <v>210.02</v>
      </c>
      <c r="L48" s="58">
        <f t="shared" si="0"/>
        <v>3.7282163603466256E-2</v>
      </c>
      <c r="N48">
        <v>47</v>
      </c>
      <c r="O48">
        <f t="shared" si="1"/>
        <v>210.02</v>
      </c>
      <c r="P48">
        <f>0</f>
        <v>0</v>
      </c>
    </row>
    <row r="49" spans="2:16">
      <c r="B49" s="38">
        <v>43536</v>
      </c>
      <c r="C49" s="36">
        <v>196.57</v>
      </c>
      <c r="J49">
        <v>48</v>
      </c>
      <c r="K49" s="33">
        <f t="shared" si="2"/>
        <v>217.85</v>
      </c>
      <c r="L49" s="58">
        <f t="shared" si="0"/>
        <v>-0.12806977277943543</v>
      </c>
      <c r="N49">
        <v>48</v>
      </c>
      <c r="O49">
        <f t="shared" si="1"/>
        <v>217.85</v>
      </c>
      <c r="P49">
        <f t="shared" ref="P49" si="24">(O50-O48)/O48</f>
        <v>-9.5562327397390817E-2</v>
      </c>
    </row>
    <row r="50" spans="2:16">
      <c r="B50" s="38">
        <v>43537</v>
      </c>
      <c r="C50" s="36">
        <v>197.27</v>
      </c>
      <c r="J50">
        <v>49</v>
      </c>
      <c r="K50" s="33">
        <f t="shared" si="2"/>
        <v>189.95</v>
      </c>
      <c r="L50" s="58">
        <f t="shared" si="0"/>
        <v>0.10565938404843392</v>
      </c>
      <c r="N50">
        <v>49</v>
      </c>
      <c r="O50">
        <f t="shared" si="1"/>
        <v>189.95</v>
      </c>
      <c r="P50">
        <f>0</f>
        <v>0</v>
      </c>
    </row>
    <row r="51" spans="2:16">
      <c r="B51" s="38">
        <v>43538</v>
      </c>
      <c r="C51" s="36">
        <v>197.12</v>
      </c>
      <c r="J51">
        <v>50</v>
      </c>
      <c r="K51" s="33">
        <f t="shared" si="2"/>
        <v>210.02</v>
      </c>
      <c r="L51" s="58">
        <f t="shared" si="0"/>
        <v>3.7282163603466256E-2</v>
      </c>
      <c r="N51">
        <v>50</v>
      </c>
      <c r="O51">
        <f t="shared" si="1"/>
        <v>210.02</v>
      </c>
      <c r="P51">
        <f t="shared" ref="P51" si="25">(O52-O50)/O50</f>
        <v>0.14688075809423537</v>
      </c>
    </row>
    <row r="52" spans="2:16">
      <c r="B52" s="38">
        <v>43539</v>
      </c>
      <c r="C52" s="36">
        <v>197.76</v>
      </c>
      <c r="J52">
        <v>51</v>
      </c>
      <c r="K52" s="33">
        <f t="shared" si="2"/>
        <v>217.85</v>
      </c>
      <c r="L52" s="58">
        <f t="shared" si="0"/>
        <v>-0.12806977277943543</v>
      </c>
      <c r="N52">
        <v>51</v>
      </c>
      <c r="O52">
        <f t="shared" si="1"/>
        <v>217.85</v>
      </c>
      <c r="P52">
        <f>0</f>
        <v>0</v>
      </c>
    </row>
    <row r="53" spans="2:16">
      <c r="B53" s="38">
        <v>43542</v>
      </c>
      <c r="C53" s="36">
        <v>198.13</v>
      </c>
      <c r="J53">
        <v>52</v>
      </c>
      <c r="K53" s="33">
        <f t="shared" si="2"/>
        <v>189.95</v>
      </c>
      <c r="L53" s="58">
        <f t="shared" si="0"/>
        <v>0.10565938404843392</v>
      </c>
      <c r="N53">
        <v>52</v>
      </c>
      <c r="O53">
        <f t="shared" si="1"/>
        <v>189.95</v>
      </c>
      <c r="P53">
        <f t="shared" ref="P53" si="26">(O54-O52)/O52</f>
        <v>-3.5942162038099537E-2</v>
      </c>
    </row>
    <row r="54" spans="2:16">
      <c r="B54" s="38">
        <v>43543</v>
      </c>
      <c r="C54" s="36">
        <v>198.1</v>
      </c>
      <c r="J54">
        <v>53</v>
      </c>
      <c r="K54" s="33">
        <f t="shared" si="2"/>
        <v>210.02</v>
      </c>
      <c r="L54" s="58">
        <f t="shared" si="0"/>
        <v>3.7282163603466256E-2</v>
      </c>
      <c r="N54">
        <v>53</v>
      </c>
      <c r="O54">
        <f t="shared" si="1"/>
        <v>210.02</v>
      </c>
      <c r="P54">
        <f>0</f>
        <v>0</v>
      </c>
    </row>
    <row r="55" spans="2:16">
      <c r="B55" s="38">
        <v>43544</v>
      </c>
      <c r="C55" s="36">
        <v>198.27</v>
      </c>
      <c r="J55">
        <v>54</v>
      </c>
      <c r="K55" s="33">
        <f t="shared" si="2"/>
        <v>217.85</v>
      </c>
      <c r="L55" s="58">
        <f t="shared" si="0"/>
        <v>-0.12806977277943543</v>
      </c>
      <c r="N55">
        <v>54</v>
      </c>
      <c r="O55">
        <f t="shared" si="1"/>
        <v>217.85</v>
      </c>
      <c r="P55">
        <f t="shared" ref="P55" si="27">(O56-O54)/O54</f>
        <v>-9.5562327397390817E-2</v>
      </c>
    </row>
    <row r="56" spans="2:16">
      <c r="B56" s="38">
        <v>43545</v>
      </c>
      <c r="C56" s="36">
        <v>199.29</v>
      </c>
      <c r="J56">
        <v>55</v>
      </c>
      <c r="K56" s="33">
        <f t="shared" si="2"/>
        <v>189.95</v>
      </c>
      <c r="L56" s="58">
        <f t="shared" si="0"/>
        <v>0.10565938404843392</v>
      </c>
      <c r="N56">
        <v>55</v>
      </c>
      <c r="O56">
        <f t="shared" si="1"/>
        <v>189.95</v>
      </c>
      <c r="P56">
        <f>0</f>
        <v>0</v>
      </c>
    </row>
    <row r="57" spans="2:16">
      <c r="B57" s="38">
        <v>43546</v>
      </c>
      <c r="C57" s="36">
        <v>197.55</v>
      </c>
      <c r="J57">
        <v>56</v>
      </c>
      <c r="K57" s="33">
        <f t="shared" si="2"/>
        <v>210.02</v>
      </c>
      <c r="L57" s="58">
        <f t="shared" si="0"/>
        <v>3.7282163603466256E-2</v>
      </c>
      <c r="N57">
        <v>56</v>
      </c>
      <c r="O57">
        <f t="shared" si="1"/>
        <v>210.02</v>
      </c>
      <c r="P57">
        <f t="shared" ref="P57" si="28">(O58-O56)/O56</f>
        <v>0.14688075809423537</v>
      </c>
    </row>
    <row r="58" spans="2:16">
      <c r="B58" s="38">
        <v>43549</v>
      </c>
      <c r="C58" s="36">
        <v>197.61</v>
      </c>
      <c r="J58">
        <v>57</v>
      </c>
      <c r="K58" s="33">
        <f t="shared" si="2"/>
        <v>217.85</v>
      </c>
      <c r="L58" s="58">
        <f t="shared" si="0"/>
        <v>-0.12806977277943543</v>
      </c>
      <c r="N58">
        <v>57</v>
      </c>
      <c r="O58">
        <f t="shared" si="1"/>
        <v>217.85</v>
      </c>
      <c r="P58">
        <f>0</f>
        <v>0</v>
      </c>
    </row>
    <row r="59" spans="2:16">
      <c r="B59" s="38">
        <v>43550</v>
      </c>
      <c r="C59" s="36">
        <v>198.4</v>
      </c>
      <c r="J59">
        <v>58</v>
      </c>
      <c r="K59" s="33">
        <f t="shared" si="2"/>
        <v>189.95</v>
      </c>
      <c r="L59" s="58">
        <f t="shared" si="0"/>
        <v>0.10565938404843392</v>
      </c>
      <c r="N59">
        <v>58</v>
      </c>
      <c r="O59">
        <f t="shared" si="1"/>
        <v>189.95</v>
      </c>
      <c r="P59">
        <f t="shared" ref="P59" si="29">(O60-O58)/O58</f>
        <v>-3.5942162038099537E-2</v>
      </c>
    </row>
    <row r="60" spans="2:16">
      <c r="B60" s="38">
        <v>43551</v>
      </c>
      <c r="C60" s="36">
        <v>198.12</v>
      </c>
      <c r="J60">
        <v>59</v>
      </c>
      <c r="K60" s="33">
        <f t="shared" si="2"/>
        <v>210.02</v>
      </c>
      <c r="L60" s="58">
        <f t="shared" si="0"/>
        <v>3.7282163603466256E-2</v>
      </c>
      <c r="N60">
        <v>59</v>
      </c>
      <c r="O60">
        <f t="shared" si="1"/>
        <v>210.02</v>
      </c>
      <c r="P60">
        <f>0</f>
        <v>0</v>
      </c>
    </row>
    <row r="61" spans="2:16">
      <c r="B61" s="38">
        <v>43552</v>
      </c>
      <c r="C61" s="36">
        <v>198.36</v>
      </c>
      <c r="J61">
        <v>60</v>
      </c>
      <c r="K61" s="33">
        <f t="shared" si="2"/>
        <v>217.85</v>
      </c>
      <c r="L61" s="58">
        <f t="shared" si="0"/>
        <v>-0.12806977277943543</v>
      </c>
      <c r="N61">
        <v>60</v>
      </c>
      <c r="O61">
        <f t="shared" si="1"/>
        <v>217.85</v>
      </c>
      <c r="P61">
        <f t="shared" ref="P61" si="30">(O62-O60)/O60</f>
        <v>-9.5562327397390817E-2</v>
      </c>
    </row>
    <row r="62" spans="2:16">
      <c r="B62" s="38">
        <v>43553</v>
      </c>
      <c r="C62" s="36">
        <v>198.87</v>
      </c>
      <c r="J62">
        <v>61</v>
      </c>
      <c r="K62" s="33">
        <f t="shared" si="2"/>
        <v>189.95</v>
      </c>
      <c r="L62" s="58">
        <f t="shared" si="0"/>
        <v>0.10565938404843392</v>
      </c>
      <c r="N62">
        <v>61</v>
      </c>
      <c r="O62">
        <f t="shared" si="1"/>
        <v>189.95</v>
      </c>
      <c r="P62">
        <f>0</f>
        <v>0</v>
      </c>
    </row>
    <row r="63" spans="2:16">
      <c r="B63" s="38">
        <v>43556</v>
      </c>
      <c r="C63" s="36">
        <v>199.49</v>
      </c>
      <c r="J63">
        <v>62</v>
      </c>
      <c r="K63" s="33">
        <f t="shared" si="2"/>
        <v>210.02</v>
      </c>
      <c r="L63" s="58">
        <f t="shared" si="0"/>
        <v>3.7282163603466256E-2</v>
      </c>
      <c r="N63">
        <v>62</v>
      </c>
      <c r="O63">
        <f t="shared" si="1"/>
        <v>210.02</v>
      </c>
      <c r="P63">
        <f t="shared" ref="P63" si="31">(O64-O62)/O62</f>
        <v>0.14688075809423537</v>
      </c>
    </row>
    <row r="64" spans="2:16">
      <c r="B64" s="38">
        <v>43557</v>
      </c>
      <c r="C64" s="36">
        <v>199.63</v>
      </c>
      <c r="J64">
        <v>63</v>
      </c>
      <c r="K64" s="33">
        <f t="shared" si="2"/>
        <v>217.85</v>
      </c>
      <c r="L64" s="58">
        <f t="shared" si="0"/>
        <v>-0.12806977277943543</v>
      </c>
      <c r="N64">
        <v>63</v>
      </c>
      <c r="O64">
        <f t="shared" si="1"/>
        <v>217.85</v>
      </c>
      <c r="P64">
        <f>0</f>
        <v>0</v>
      </c>
    </row>
    <row r="65" spans="2:16">
      <c r="B65" s="38">
        <v>43558</v>
      </c>
      <c r="C65" s="36">
        <v>199.6</v>
      </c>
      <c r="J65">
        <v>64</v>
      </c>
      <c r="K65" s="33">
        <f t="shared" si="2"/>
        <v>189.95</v>
      </c>
      <c r="L65" s="58">
        <f t="shared" si="0"/>
        <v>0.10565938404843392</v>
      </c>
      <c r="N65">
        <v>64</v>
      </c>
      <c r="O65">
        <f t="shared" si="1"/>
        <v>189.95</v>
      </c>
      <c r="P65">
        <f t="shared" ref="P65" si="32">(O66-O64)/O64</f>
        <v>-3.5942162038099537E-2</v>
      </c>
    </row>
    <row r="66" spans="2:16">
      <c r="B66" s="38">
        <v>43559</v>
      </c>
      <c r="C66" s="36">
        <v>199.85</v>
      </c>
      <c r="J66">
        <v>65</v>
      </c>
      <c r="K66" s="33">
        <f t="shared" si="2"/>
        <v>210.02</v>
      </c>
      <c r="L66" s="58">
        <f t="shared" si="0"/>
        <v>3.7282163603466256E-2</v>
      </c>
      <c r="N66">
        <v>65</v>
      </c>
      <c r="O66">
        <f t="shared" si="1"/>
        <v>210.02</v>
      </c>
      <c r="P66">
        <f>0</f>
        <v>0</v>
      </c>
    </row>
    <row r="67" spans="2:16">
      <c r="B67" s="38">
        <v>43560</v>
      </c>
      <c r="C67" s="36">
        <v>200.34</v>
      </c>
      <c r="J67">
        <v>66</v>
      </c>
      <c r="K67" s="33">
        <f t="shared" si="2"/>
        <v>217.85</v>
      </c>
      <c r="L67" s="58">
        <f t="shared" ref="L67:L104" si="33">(K68-K67)/K67</f>
        <v>-0.12806977277943543</v>
      </c>
      <c r="N67">
        <v>66</v>
      </c>
      <c r="O67">
        <f t="shared" ref="O67:O104" si="34">K67</f>
        <v>217.85</v>
      </c>
      <c r="P67">
        <f t="shared" ref="P67" si="35">(O68-O66)/O66</f>
        <v>-9.5562327397390817E-2</v>
      </c>
    </row>
    <row r="68" spans="2:16">
      <c r="B68" s="38">
        <v>43563</v>
      </c>
      <c r="C68" s="36">
        <v>200.34</v>
      </c>
      <c r="J68">
        <v>67</v>
      </c>
      <c r="K68" s="33">
        <f t="shared" si="2"/>
        <v>189.95</v>
      </c>
      <c r="L68" s="58">
        <f t="shared" si="33"/>
        <v>0.10565938404843392</v>
      </c>
      <c r="N68">
        <v>67</v>
      </c>
      <c r="O68">
        <f t="shared" si="34"/>
        <v>189.95</v>
      </c>
      <c r="P68">
        <f>0</f>
        <v>0</v>
      </c>
    </row>
    <row r="69" spans="2:16">
      <c r="B69" s="38">
        <v>43564</v>
      </c>
      <c r="C69" s="36">
        <v>199.88</v>
      </c>
      <c r="J69">
        <v>68</v>
      </c>
      <c r="K69" s="33">
        <f t="shared" si="2"/>
        <v>210.02</v>
      </c>
      <c r="L69" s="58">
        <f t="shared" si="33"/>
        <v>3.7282163603466256E-2</v>
      </c>
      <c r="N69">
        <v>68</v>
      </c>
      <c r="O69">
        <f t="shared" si="34"/>
        <v>210.02</v>
      </c>
      <c r="P69">
        <f t="shared" ref="P69" si="36">(O70-O68)/O68</f>
        <v>0.14688075809423537</v>
      </c>
    </row>
    <row r="70" spans="2:16">
      <c r="B70" s="38">
        <v>43565</v>
      </c>
      <c r="C70" s="36">
        <v>200.36</v>
      </c>
      <c r="J70">
        <v>69</v>
      </c>
      <c r="K70" s="33">
        <f t="shared" ref="K70:K104" si="37">K67</f>
        <v>217.85</v>
      </c>
      <c r="L70" s="58">
        <f t="shared" si="33"/>
        <v>-0.12806977277943543</v>
      </c>
      <c r="N70">
        <v>69</v>
      </c>
      <c r="O70">
        <f t="shared" si="34"/>
        <v>217.85</v>
      </c>
      <c r="P70">
        <f>0</f>
        <v>0</v>
      </c>
    </row>
    <row r="71" spans="2:16">
      <c r="B71" s="38">
        <v>43566</v>
      </c>
      <c r="C71" s="36">
        <v>200.25</v>
      </c>
      <c r="J71">
        <v>70</v>
      </c>
      <c r="K71" s="33">
        <f t="shared" si="37"/>
        <v>189.95</v>
      </c>
      <c r="L71" s="58">
        <f t="shared" si="33"/>
        <v>0.10565938404843392</v>
      </c>
      <c r="N71">
        <v>70</v>
      </c>
      <c r="O71">
        <f t="shared" si="34"/>
        <v>189.95</v>
      </c>
      <c r="P71">
        <f t="shared" ref="P71" si="38">(O72-O70)/O70</f>
        <v>-3.5942162038099537E-2</v>
      </c>
    </row>
    <row r="72" spans="2:16">
      <c r="B72" s="38">
        <v>43567</v>
      </c>
      <c r="C72" s="36">
        <v>200.67</v>
      </c>
      <c r="J72">
        <v>71</v>
      </c>
      <c r="K72" s="33">
        <f t="shared" si="37"/>
        <v>210.02</v>
      </c>
      <c r="L72" s="58">
        <f t="shared" si="33"/>
        <v>3.7282163603466256E-2</v>
      </c>
      <c r="N72">
        <v>71</v>
      </c>
      <c r="O72">
        <f t="shared" si="34"/>
        <v>210.02</v>
      </c>
      <c r="P72">
        <f>0</f>
        <v>0</v>
      </c>
    </row>
    <row r="73" spans="2:16">
      <c r="B73" s="38">
        <v>43570</v>
      </c>
      <c r="C73" s="36">
        <v>200.65</v>
      </c>
      <c r="J73">
        <v>72</v>
      </c>
      <c r="K73" s="33">
        <f t="shared" si="37"/>
        <v>217.85</v>
      </c>
      <c r="L73" s="58">
        <f t="shared" si="33"/>
        <v>-0.12806977277943543</v>
      </c>
      <c r="N73">
        <v>72</v>
      </c>
      <c r="O73">
        <f t="shared" si="34"/>
        <v>217.85</v>
      </c>
      <c r="P73">
        <f t="shared" ref="P73" si="39">(O74-O72)/O72</f>
        <v>-9.5562327397390817E-2</v>
      </c>
    </row>
    <row r="74" spans="2:16">
      <c r="B74" s="38">
        <v>43571</v>
      </c>
      <c r="C74" s="36">
        <v>200.48</v>
      </c>
      <c r="J74">
        <v>73</v>
      </c>
      <c r="K74" s="33">
        <f t="shared" si="37"/>
        <v>189.95</v>
      </c>
      <c r="L74" s="58">
        <f t="shared" si="33"/>
        <v>0.10565938404843392</v>
      </c>
      <c r="N74">
        <v>73</v>
      </c>
      <c r="O74">
        <f t="shared" si="34"/>
        <v>189.95</v>
      </c>
      <c r="P74">
        <f>0</f>
        <v>0</v>
      </c>
    </row>
    <row r="75" spans="2:16">
      <c r="B75" s="38">
        <v>43572</v>
      </c>
      <c r="C75" s="36">
        <v>200.25</v>
      </c>
      <c r="J75">
        <v>74</v>
      </c>
      <c r="K75" s="33">
        <f t="shared" si="37"/>
        <v>210.02</v>
      </c>
      <c r="L75" s="58">
        <f t="shared" si="33"/>
        <v>3.7282163603466256E-2</v>
      </c>
      <c r="N75">
        <v>74</v>
      </c>
      <c r="O75">
        <f t="shared" si="34"/>
        <v>210.02</v>
      </c>
      <c r="P75">
        <f t="shared" ref="P75" si="40">(O76-O74)/O74</f>
        <v>0.14688075809423537</v>
      </c>
    </row>
    <row r="76" spans="2:16">
      <c r="B76" s="38">
        <v>43573</v>
      </c>
      <c r="C76" s="36">
        <v>200.59</v>
      </c>
      <c r="J76">
        <v>75</v>
      </c>
      <c r="K76" s="33">
        <f t="shared" si="37"/>
        <v>217.85</v>
      </c>
      <c r="L76" s="58">
        <f t="shared" si="33"/>
        <v>-0.12806977277943543</v>
      </c>
      <c r="N76">
        <v>75</v>
      </c>
      <c r="O76">
        <f t="shared" si="34"/>
        <v>217.85</v>
      </c>
      <c r="P76">
        <f>0</f>
        <v>0</v>
      </c>
    </row>
    <row r="77" spans="2:16">
      <c r="B77" s="38">
        <v>43577</v>
      </c>
      <c r="C77" s="36">
        <v>200.54</v>
      </c>
      <c r="J77">
        <v>76</v>
      </c>
      <c r="K77" s="33">
        <f t="shared" si="37"/>
        <v>189.95</v>
      </c>
      <c r="L77" s="58">
        <f t="shared" si="33"/>
        <v>0.10565938404843392</v>
      </c>
      <c r="N77">
        <v>76</v>
      </c>
      <c r="O77">
        <f t="shared" si="34"/>
        <v>189.95</v>
      </c>
      <c r="P77">
        <f t="shared" ref="P77" si="41">(O78-O76)/O76</f>
        <v>-3.5942162038099537E-2</v>
      </c>
    </row>
    <row r="78" spans="2:16">
      <c r="B78" s="38">
        <v>43578</v>
      </c>
      <c r="C78" s="36">
        <v>201.61</v>
      </c>
      <c r="J78">
        <v>77</v>
      </c>
      <c r="K78" s="33">
        <f t="shared" si="37"/>
        <v>210.02</v>
      </c>
      <c r="L78" s="58">
        <f t="shared" si="33"/>
        <v>3.7282163603466256E-2</v>
      </c>
      <c r="N78">
        <v>77</v>
      </c>
      <c r="O78">
        <f t="shared" si="34"/>
        <v>210.02</v>
      </c>
      <c r="P78">
        <f>0</f>
        <v>0</v>
      </c>
    </row>
    <row r="79" spans="2:16">
      <c r="B79" s="38">
        <v>43579</v>
      </c>
      <c r="C79" s="36">
        <v>201.58</v>
      </c>
      <c r="J79">
        <v>78</v>
      </c>
      <c r="K79" s="33">
        <f t="shared" si="37"/>
        <v>217.85</v>
      </c>
      <c r="L79" s="58">
        <f t="shared" si="33"/>
        <v>-0.12806977277943543</v>
      </c>
      <c r="N79">
        <v>78</v>
      </c>
      <c r="O79">
        <f t="shared" si="34"/>
        <v>217.85</v>
      </c>
      <c r="P79">
        <f t="shared" ref="P79" si="42">(O80-O78)/O78</f>
        <v>-9.5562327397390817E-2</v>
      </c>
    </row>
    <row r="80" spans="2:16">
      <c r="B80" s="38">
        <v>43580</v>
      </c>
      <c r="C80" s="36">
        <v>201.44</v>
      </c>
      <c r="J80">
        <v>79</v>
      </c>
      <c r="K80" s="33">
        <f t="shared" si="37"/>
        <v>189.95</v>
      </c>
      <c r="L80" s="58">
        <f t="shared" si="33"/>
        <v>0.10565938404843392</v>
      </c>
      <c r="N80">
        <v>79</v>
      </c>
      <c r="O80">
        <f t="shared" si="34"/>
        <v>189.95</v>
      </c>
      <c r="P80">
        <f>0</f>
        <v>0</v>
      </c>
    </row>
    <row r="81" spans="2:16">
      <c r="B81" s="38">
        <v>43581</v>
      </c>
      <c r="C81" s="36">
        <v>202.11</v>
      </c>
      <c r="J81">
        <v>80</v>
      </c>
      <c r="K81" s="33">
        <f t="shared" si="37"/>
        <v>210.02</v>
      </c>
      <c r="L81" s="58">
        <f t="shared" si="33"/>
        <v>3.7282163603466256E-2</v>
      </c>
      <c r="N81">
        <v>80</v>
      </c>
      <c r="O81">
        <f t="shared" si="34"/>
        <v>210.02</v>
      </c>
      <c r="P81">
        <f t="shared" ref="P81" si="43">(O82-O80)/O80</f>
        <v>0.14688075809423537</v>
      </c>
    </row>
    <row r="82" spans="2:16">
      <c r="B82" s="38">
        <v>43584</v>
      </c>
      <c r="C82" s="36">
        <v>202.2</v>
      </c>
      <c r="J82">
        <v>81</v>
      </c>
      <c r="K82" s="33">
        <f t="shared" si="37"/>
        <v>217.85</v>
      </c>
      <c r="L82" s="58">
        <f t="shared" si="33"/>
        <v>-0.12806977277943543</v>
      </c>
      <c r="N82">
        <v>81</v>
      </c>
      <c r="O82">
        <f t="shared" si="34"/>
        <v>217.85</v>
      </c>
      <c r="P82">
        <f>0</f>
        <v>0</v>
      </c>
    </row>
    <row r="83" spans="2:16">
      <c r="B83" s="38">
        <v>43585</v>
      </c>
      <c r="C83" s="36">
        <v>202.48</v>
      </c>
      <c r="J83">
        <v>82</v>
      </c>
      <c r="K83" s="33">
        <f t="shared" si="37"/>
        <v>189.95</v>
      </c>
      <c r="L83" s="58">
        <f t="shared" si="33"/>
        <v>0.10565938404843392</v>
      </c>
      <c r="N83">
        <v>82</v>
      </c>
      <c r="O83">
        <f t="shared" si="34"/>
        <v>189.95</v>
      </c>
      <c r="P83">
        <f t="shared" ref="P83" si="44">(O84-O82)/O82</f>
        <v>-3.5942162038099537E-2</v>
      </c>
    </row>
    <row r="84" spans="2:16">
      <c r="B84" s="38">
        <v>43586</v>
      </c>
      <c r="C84" s="36">
        <v>201.3</v>
      </c>
      <c r="J84">
        <v>83</v>
      </c>
      <c r="K84" s="33">
        <f t="shared" si="37"/>
        <v>210.02</v>
      </c>
      <c r="L84" s="58">
        <f t="shared" si="33"/>
        <v>3.7282163603466256E-2</v>
      </c>
      <c r="N84">
        <v>83</v>
      </c>
      <c r="O84">
        <f t="shared" si="34"/>
        <v>210.02</v>
      </c>
      <c r="P84">
        <f>0</f>
        <v>0</v>
      </c>
    </row>
    <row r="85" spans="2:16">
      <c r="B85" s="38">
        <v>43587</v>
      </c>
      <c r="C85" s="36">
        <v>200.69</v>
      </c>
      <c r="J85">
        <v>84</v>
      </c>
      <c r="K85" s="33">
        <f t="shared" si="37"/>
        <v>217.85</v>
      </c>
      <c r="L85" s="58">
        <f t="shared" si="33"/>
        <v>-0.12806977277943543</v>
      </c>
      <c r="N85">
        <v>84</v>
      </c>
      <c r="O85">
        <f t="shared" si="34"/>
        <v>217.85</v>
      </c>
      <c r="P85">
        <f t="shared" ref="P85" si="45">(O86-O84)/O84</f>
        <v>-9.5562327397390817E-2</v>
      </c>
    </row>
    <row r="86" spans="2:16">
      <c r="B86" s="38">
        <v>43588</v>
      </c>
      <c r="C86" s="36">
        <v>202.28</v>
      </c>
      <c r="J86">
        <v>85</v>
      </c>
      <c r="K86" s="33">
        <f t="shared" si="37"/>
        <v>189.95</v>
      </c>
      <c r="L86" s="58">
        <f t="shared" si="33"/>
        <v>0.10565938404843392</v>
      </c>
      <c r="N86">
        <v>85</v>
      </c>
      <c r="O86">
        <f t="shared" si="34"/>
        <v>189.95</v>
      </c>
      <c r="P86">
        <f>0</f>
        <v>0</v>
      </c>
    </row>
    <row r="87" spans="2:16">
      <c r="B87" s="38">
        <v>43591</v>
      </c>
      <c r="C87" s="36">
        <v>201.73</v>
      </c>
      <c r="J87">
        <v>86</v>
      </c>
      <c r="K87" s="33">
        <f t="shared" si="37"/>
        <v>210.02</v>
      </c>
      <c r="L87" s="58">
        <f t="shared" si="33"/>
        <v>3.7282163603466256E-2</v>
      </c>
      <c r="N87">
        <v>86</v>
      </c>
      <c r="O87">
        <f t="shared" si="34"/>
        <v>210.02</v>
      </c>
      <c r="P87">
        <f t="shared" ref="P87" si="46">(O88-O86)/O86</f>
        <v>0.14688075809423537</v>
      </c>
    </row>
    <row r="88" spans="2:16">
      <c r="B88" s="38">
        <v>43592</v>
      </c>
      <c r="C88" s="36">
        <v>199.5</v>
      </c>
      <c r="J88">
        <v>87</v>
      </c>
      <c r="K88" s="33">
        <f t="shared" si="37"/>
        <v>217.85</v>
      </c>
      <c r="L88" s="58">
        <f t="shared" si="33"/>
        <v>-0.12806977277943543</v>
      </c>
      <c r="N88">
        <v>87</v>
      </c>
      <c r="O88">
        <f t="shared" si="34"/>
        <v>217.85</v>
      </c>
      <c r="P88">
        <f>0</f>
        <v>0</v>
      </c>
    </row>
    <row r="89" spans="2:16">
      <c r="B89" s="38">
        <v>43593</v>
      </c>
      <c r="C89" s="36">
        <v>199.18</v>
      </c>
      <c r="J89">
        <v>88</v>
      </c>
      <c r="K89" s="33">
        <f t="shared" si="37"/>
        <v>189.95</v>
      </c>
      <c r="L89" s="58">
        <f t="shared" si="33"/>
        <v>0.10565938404843392</v>
      </c>
      <c r="N89">
        <v>88</v>
      </c>
      <c r="O89">
        <f t="shared" si="34"/>
        <v>189.95</v>
      </c>
      <c r="P89">
        <f t="shared" ref="P89" si="47">(O90-O88)/O88</f>
        <v>-3.5942162038099537E-2</v>
      </c>
    </row>
    <row r="90" spans="2:16">
      <c r="B90" s="38">
        <v>43594</v>
      </c>
      <c r="C90" s="36">
        <v>198.91</v>
      </c>
      <c r="J90">
        <v>89</v>
      </c>
      <c r="K90" s="33">
        <f t="shared" si="37"/>
        <v>210.02</v>
      </c>
      <c r="L90" s="58">
        <f t="shared" si="33"/>
        <v>3.7282163603466256E-2</v>
      </c>
      <c r="N90">
        <v>89</v>
      </c>
      <c r="O90">
        <f t="shared" si="34"/>
        <v>210.02</v>
      </c>
      <c r="P90">
        <f>0</f>
        <v>0</v>
      </c>
    </row>
    <row r="91" spans="2:16">
      <c r="B91" s="38">
        <v>43595</v>
      </c>
      <c r="C91" s="36">
        <v>199.48</v>
      </c>
      <c r="J91">
        <v>90</v>
      </c>
      <c r="K91" s="33">
        <f t="shared" si="37"/>
        <v>217.85</v>
      </c>
      <c r="L91" s="58">
        <f t="shared" si="33"/>
        <v>-0.12806977277943543</v>
      </c>
      <c r="N91">
        <v>90</v>
      </c>
      <c r="O91">
        <f t="shared" si="34"/>
        <v>217.85</v>
      </c>
      <c r="P91">
        <f t="shared" ref="P91" si="48">(O92-O90)/O90</f>
        <v>-9.5562327397390817E-2</v>
      </c>
    </row>
    <row r="92" spans="2:16">
      <c r="B92" s="38">
        <v>43598</v>
      </c>
      <c r="C92" s="36">
        <v>196.95</v>
      </c>
      <c r="J92">
        <v>91</v>
      </c>
      <c r="K92" s="33">
        <f t="shared" si="37"/>
        <v>189.95</v>
      </c>
      <c r="L92" s="58">
        <f t="shared" si="33"/>
        <v>0.10565938404843392</v>
      </c>
      <c r="N92">
        <v>91</v>
      </c>
      <c r="O92">
        <f t="shared" si="34"/>
        <v>189.95</v>
      </c>
      <c r="P92">
        <f>0</f>
        <v>0</v>
      </c>
    </row>
    <row r="93" spans="2:16">
      <c r="B93" s="38">
        <v>43599</v>
      </c>
      <c r="C93" s="36">
        <v>197.71</v>
      </c>
      <c r="J93">
        <v>92</v>
      </c>
      <c r="K93" s="33">
        <f t="shared" si="37"/>
        <v>210.02</v>
      </c>
      <c r="L93" s="58">
        <f t="shared" si="33"/>
        <v>3.7282163603466256E-2</v>
      </c>
      <c r="N93">
        <v>92</v>
      </c>
      <c r="O93">
        <f t="shared" si="34"/>
        <v>210.02</v>
      </c>
      <c r="P93">
        <f t="shared" ref="P93" si="49">(O94-O92)/O92</f>
        <v>0.14688075809423537</v>
      </c>
    </row>
    <row r="94" spans="2:16">
      <c r="B94" s="38">
        <v>43600</v>
      </c>
      <c r="C94" s="36">
        <v>198.55</v>
      </c>
      <c r="J94">
        <v>93</v>
      </c>
      <c r="K94" s="33">
        <f t="shared" si="37"/>
        <v>217.85</v>
      </c>
      <c r="L94" s="58">
        <f t="shared" si="33"/>
        <v>-0.12806977277943543</v>
      </c>
      <c r="N94">
        <v>93</v>
      </c>
      <c r="O94">
        <f t="shared" si="34"/>
        <v>217.85</v>
      </c>
      <c r="P94">
        <f>0</f>
        <v>0</v>
      </c>
    </row>
    <row r="95" spans="2:16">
      <c r="B95" s="38">
        <v>43601</v>
      </c>
      <c r="C95" s="36">
        <v>199.22</v>
      </c>
      <c r="J95">
        <v>94</v>
      </c>
      <c r="K95" s="33">
        <f t="shared" si="37"/>
        <v>189.95</v>
      </c>
      <c r="L95" s="58">
        <f t="shared" si="33"/>
        <v>0.10565938404843392</v>
      </c>
      <c r="N95">
        <v>94</v>
      </c>
      <c r="O95">
        <f t="shared" si="34"/>
        <v>189.95</v>
      </c>
      <c r="P95">
        <f t="shared" ref="P95" si="50">(O96-O94)/O94</f>
        <v>-3.5942162038099537E-2</v>
      </c>
    </row>
    <row r="96" spans="2:16">
      <c r="B96" s="38">
        <v>43602</v>
      </c>
      <c r="C96" s="36">
        <v>198.76</v>
      </c>
      <c r="J96">
        <v>95</v>
      </c>
      <c r="K96" s="33">
        <f t="shared" si="37"/>
        <v>210.02</v>
      </c>
      <c r="L96" s="58">
        <f t="shared" si="33"/>
        <v>3.7282163603466256E-2</v>
      </c>
      <c r="N96">
        <v>95</v>
      </c>
      <c r="O96">
        <f t="shared" si="34"/>
        <v>210.02</v>
      </c>
      <c r="P96">
        <f>0</f>
        <v>0</v>
      </c>
    </row>
    <row r="97" spans="2:16">
      <c r="B97" s="38">
        <v>43605</v>
      </c>
      <c r="C97" s="36">
        <v>197.98</v>
      </c>
      <c r="J97">
        <v>96</v>
      </c>
      <c r="K97" s="33">
        <f t="shared" si="37"/>
        <v>217.85</v>
      </c>
      <c r="L97" s="58">
        <f t="shared" si="33"/>
        <v>-0.12806977277943543</v>
      </c>
      <c r="N97">
        <v>96</v>
      </c>
      <c r="O97">
        <f t="shared" si="34"/>
        <v>217.85</v>
      </c>
      <c r="P97">
        <f t="shared" ref="P97" si="51">(O98-O96)/O96</f>
        <v>-9.5562327397390817E-2</v>
      </c>
    </row>
    <row r="98" spans="2:16">
      <c r="B98" s="38">
        <v>43606</v>
      </c>
      <c r="C98" s="36">
        <v>198.54</v>
      </c>
      <c r="J98">
        <v>97</v>
      </c>
      <c r="K98" s="33">
        <f t="shared" si="37"/>
        <v>189.95</v>
      </c>
      <c r="L98" s="58">
        <f t="shared" si="33"/>
        <v>0.10565938404843392</v>
      </c>
      <c r="N98">
        <v>97</v>
      </c>
      <c r="O98">
        <f t="shared" si="34"/>
        <v>189.95</v>
      </c>
      <c r="P98">
        <f>0</f>
        <v>0</v>
      </c>
    </row>
    <row r="99" spans="2:16">
      <c r="B99" s="38">
        <v>43607</v>
      </c>
      <c r="C99" s="36">
        <v>198.6</v>
      </c>
      <c r="J99">
        <v>98</v>
      </c>
      <c r="K99" s="33">
        <f t="shared" si="37"/>
        <v>210.02</v>
      </c>
      <c r="L99" s="58">
        <f t="shared" si="33"/>
        <v>3.7282163603466256E-2</v>
      </c>
      <c r="N99">
        <v>98</v>
      </c>
      <c r="O99">
        <f t="shared" si="34"/>
        <v>210.02</v>
      </c>
      <c r="P99">
        <f t="shared" ref="P99" si="52">(O100-O98)/O98</f>
        <v>0.14688075809423537</v>
      </c>
    </row>
    <row r="100" spans="2:16">
      <c r="B100" s="38">
        <v>43608</v>
      </c>
      <c r="C100" s="36">
        <v>198.44</v>
      </c>
      <c r="J100">
        <v>99</v>
      </c>
      <c r="K100" s="33">
        <f t="shared" si="37"/>
        <v>217.85</v>
      </c>
      <c r="L100" s="58">
        <f t="shared" si="33"/>
        <v>-0.12806977277943543</v>
      </c>
      <c r="N100">
        <v>99</v>
      </c>
      <c r="O100">
        <f t="shared" si="34"/>
        <v>217.85</v>
      </c>
      <c r="P100">
        <f>0</f>
        <v>0</v>
      </c>
    </row>
    <row r="101" spans="2:16">
      <c r="B101" s="38">
        <v>43609</v>
      </c>
      <c r="C101" s="36">
        <v>198.22</v>
      </c>
      <c r="J101">
        <v>100</v>
      </c>
      <c r="K101" s="33">
        <f t="shared" si="37"/>
        <v>189.95</v>
      </c>
      <c r="L101" s="58">
        <f t="shared" si="33"/>
        <v>0.10565938404843392</v>
      </c>
      <c r="N101">
        <v>100</v>
      </c>
      <c r="O101">
        <f t="shared" si="34"/>
        <v>189.95</v>
      </c>
      <c r="P101">
        <f t="shared" ref="P101" si="53">(O102-O100)/O100</f>
        <v>-3.5942162038099537E-2</v>
      </c>
    </row>
    <row r="102" spans="2:16">
      <c r="B102" s="38">
        <v>43613</v>
      </c>
      <c r="C102" s="36">
        <v>198.13</v>
      </c>
      <c r="J102">
        <v>101</v>
      </c>
      <c r="K102" s="33">
        <f t="shared" si="37"/>
        <v>210.02</v>
      </c>
      <c r="L102" s="58">
        <f t="shared" si="33"/>
        <v>3.7282163603466256E-2</v>
      </c>
      <c r="N102">
        <v>101</v>
      </c>
      <c r="O102">
        <f t="shared" si="34"/>
        <v>210.02</v>
      </c>
      <c r="P102">
        <f>0</f>
        <v>0</v>
      </c>
    </row>
    <row r="103" spans="2:16">
      <c r="B103" s="38">
        <v>43614</v>
      </c>
      <c r="C103" s="36">
        <v>197.82</v>
      </c>
      <c r="J103">
        <v>102</v>
      </c>
      <c r="K103" s="33">
        <f t="shared" si="37"/>
        <v>217.85</v>
      </c>
      <c r="L103" s="58">
        <f t="shared" si="33"/>
        <v>-0.12806977277943543</v>
      </c>
      <c r="N103">
        <v>102</v>
      </c>
      <c r="O103">
        <f t="shared" si="34"/>
        <v>217.85</v>
      </c>
      <c r="P103">
        <f t="shared" ref="P103" si="54">(O104-O102)/O102</f>
        <v>-9.5562327397390817E-2</v>
      </c>
    </row>
    <row r="104" spans="2:16">
      <c r="B104" s="38">
        <v>43615</v>
      </c>
      <c r="C104" s="36">
        <v>198.01</v>
      </c>
      <c r="J104">
        <v>103</v>
      </c>
      <c r="K104" s="33">
        <f t="shared" si="37"/>
        <v>189.95</v>
      </c>
      <c r="L104" s="58">
        <f t="shared" si="33"/>
        <v>-1</v>
      </c>
      <c r="N104">
        <v>103</v>
      </c>
      <c r="O104">
        <f t="shared" si="34"/>
        <v>189.95</v>
      </c>
      <c r="P104">
        <f>0</f>
        <v>0</v>
      </c>
    </row>
    <row r="105" spans="2:16">
      <c r="B105" s="38">
        <v>43616</v>
      </c>
      <c r="C105" s="36">
        <v>197.71</v>
      </c>
    </row>
    <row r="106" spans="2:16">
      <c r="B106" s="38">
        <v>43619</v>
      </c>
      <c r="C106" s="36">
        <v>198.05</v>
      </c>
    </row>
    <row r="107" spans="2:16">
      <c r="B107" s="38">
        <v>43620</v>
      </c>
      <c r="C107" s="36">
        <v>199.43</v>
      </c>
    </row>
    <row r="108" spans="2:16">
      <c r="B108" s="38">
        <v>43621</v>
      </c>
      <c r="C108" s="36">
        <v>200.06</v>
      </c>
    </row>
    <row r="109" spans="2:16">
      <c r="B109" s="38">
        <v>43622</v>
      </c>
      <c r="C109" s="36">
        <v>200.46</v>
      </c>
    </row>
    <row r="110" spans="2:16">
      <c r="B110" s="38">
        <v>43623</v>
      </c>
      <c r="C110" s="36">
        <v>201.43</v>
      </c>
    </row>
    <row r="111" spans="2:16">
      <c r="B111" s="38">
        <v>43626</v>
      </c>
      <c r="C111" s="36">
        <v>201.44</v>
      </c>
    </row>
    <row r="112" spans="2:16">
      <c r="B112" s="38">
        <v>43627</v>
      </c>
      <c r="C112" s="36">
        <v>201.39</v>
      </c>
    </row>
    <row r="113" spans="2:3">
      <c r="B113" s="38">
        <v>43628</v>
      </c>
      <c r="C113" s="36">
        <v>201.4</v>
      </c>
    </row>
    <row r="114" spans="2:3">
      <c r="B114" s="38">
        <v>43629</v>
      </c>
      <c r="C114" s="36">
        <v>202.06</v>
      </c>
    </row>
    <row r="115" spans="2:3">
      <c r="B115" s="38">
        <v>43630</v>
      </c>
      <c r="C115" s="36">
        <v>201.89</v>
      </c>
    </row>
    <row r="116" spans="2:3">
      <c r="B116" s="38">
        <v>43633</v>
      </c>
      <c r="C116" s="36">
        <v>201.96</v>
      </c>
    </row>
    <row r="117" spans="2:3">
      <c r="B117" s="38">
        <v>43634</v>
      </c>
      <c r="C117" s="36">
        <v>203.01</v>
      </c>
    </row>
    <row r="118" spans="2:3">
      <c r="B118" s="38">
        <v>43635</v>
      </c>
      <c r="C118" s="36">
        <v>203.69</v>
      </c>
    </row>
    <row r="119" spans="2:3">
      <c r="B119" s="38">
        <v>43636</v>
      </c>
      <c r="C119" s="36">
        <v>204.68</v>
      </c>
    </row>
    <row r="120" spans="2:3">
      <c r="B120" s="38">
        <v>43637</v>
      </c>
      <c r="C120" s="36">
        <v>204.02</v>
      </c>
    </row>
    <row r="121" spans="2:3">
      <c r="B121" s="38">
        <v>43640</v>
      </c>
      <c r="C121" s="36">
        <v>204.25</v>
      </c>
    </row>
    <row r="122" spans="2:3">
      <c r="B122" s="38">
        <v>43641</v>
      </c>
      <c r="C122" s="36">
        <v>203.64</v>
      </c>
    </row>
    <row r="123" spans="2:3">
      <c r="B123" s="38">
        <v>43642</v>
      </c>
      <c r="C123" s="36">
        <v>203.1</v>
      </c>
    </row>
    <row r="124" spans="2:3">
      <c r="B124" s="38">
        <v>43643</v>
      </c>
      <c r="C124" s="36">
        <v>203.73</v>
      </c>
    </row>
    <row r="125" spans="2:3">
      <c r="B125" s="38">
        <v>43644</v>
      </c>
      <c r="C125" s="36">
        <v>204.12</v>
      </c>
    </row>
    <row r="126" spans="2:3">
      <c r="B126" s="38">
        <v>43647</v>
      </c>
      <c r="C126" s="36">
        <v>204.47</v>
      </c>
    </row>
    <row r="127" spans="2:3">
      <c r="B127" s="38">
        <v>43648</v>
      </c>
      <c r="C127" s="36">
        <v>205.11</v>
      </c>
    </row>
    <row r="128" spans="2:3">
      <c r="B128" s="38">
        <v>43649</v>
      </c>
      <c r="C128" s="36">
        <v>205.83</v>
      </c>
    </row>
    <row r="129" spans="2:3">
      <c r="B129" s="38">
        <v>43651</v>
      </c>
      <c r="C129" s="36">
        <v>204.93</v>
      </c>
    </row>
    <row r="130" spans="2:3">
      <c r="B130" s="38">
        <v>43654</v>
      </c>
      <c r="C130" s="36">
        <v>204.49</v>
      </c>
    </row>
    <row r="131" spans="2:3">
      <c r="B131" s="38">
        <v>43655</v>
      </c>
      <c r="C131" s="36">
        <v>204.46</v>
      </c>
    </row>
    <row r="132" spans="2:3">
      <c r="B132" s="38">
        <v>43656</v>
      </c>
      <c r="C132" s="36">
        <v>204.97</v>
      </c>
    </row>
    <row r="133" spans="2:3">
      <c r="B133" s="38">
        <v>43657</v>
      </c>
      <c r="C133" s="36">
        <v>204.7</v>
      </c>
    </row>
    <row r="134" spans="2:3">
      <c r="B134" s="38">
        <v>43658</v>
      </c>
      <c r="C134" s="36">
        <v>205.21</v>
      </c>
    </row>
    <row r="135" spans="2:3">
      <c r="B135" s="38">
        <v>43661</v>
      </c>
      <c r="C135" s="36">
        <v>205.27</v>
      </c>
    </row>
    <row r="136" spans="2:3">
      <c r="B136" s="38">
        <v>43662</v>
      </c>
      <c r="C136" s="36">
        <v>204.75</v>
      </c>
    </row>
    <row r="137" spans="2:3">
      <c r="B137" s="38">
        <v>43663</v>
      </c>
      <c r="C137" s="36">
        <v>204.62</v>
      </c>
    </row>
    <row r="138" spans="2:3">
      <c r="B138" s="38">
        <v>43664</v>
      </c>
      <c r="C138" s="36">
        <v>205.14</v>
      </c>
    </row>
    <row r="139" spans="2:3">
      <c r="B139" s="38">
        <v>43665</v>
      </c>
      <c r="C139" s="36">
        <v>204.59</v>
      </c>
    </row>
    <row r="140" spans="2:3">
      <c r="B140" s="38">
        <v>43668</v>
      </c>
      <c r="C140" s="36">
        <v>204.87</v>
      </c>
    </row>
    <row r="141" spans="2:3">
      <c r="B141" s="38">
        <v>43669</v>
      </c>
      <c r="C141" s="36">
        <v>205.32</v>
      </c>
    </row>
    <row r="142" spans="2:3">
      <c r="B142" s="38">
        <v>43670</v>
      </c>
      <c r="C142" s="36">
        <v>205.91</v>
      </c>
    </row>
    <row r="143" spans="2:3">
      <c r="B143" s="38">
        <v>43671</v>
      </c>
      <c r="C143" s="36">
        <v>205.12</v>
      </c>
    </row>
    <row r="144" spans="2:3">
      <c r="B144" s="38">
        <v>43672</v>
      </c>
      <c r="C144" s="36">
        <v>205.87</v>
      </c>
    </row>
    <row r="145" spans="2:3">
      <c r="B145" s="38">
        <v>43675</v>
      </c>
      <c r="C145" s="36">
        <v>205.76</v>
      </c>
    </row>
    <row r="146" spans="2:3">
      <c r="B146" s="38">
        <v>43676</v>
      </c>
      <c r="C146" s="36">
        <v>205.4</v>
      </c>
    </row>
    <row r="147" spans="2:3">
      <c r="B147" s="38">
        <v>43677</v>
      </c>
      <c r="C147" s="36">
        <v>204.27</v>
      </c>
    </row>
    <row r="148" spans="2:3">
      <c r="B148" s="38">
        <v>43678</v>
      </c>
      <c r="C148" s="36">
        <v>203.64</v>
      </c>
    </row>
    <row r="149" spans="2:3">
      <c r="B149" s="38">
        <v>43679</v>
      </c>
      <c r="C149" s="36">
        <v>202.83</v>
      </c>
    </row>
    <row r="150" spans="2:3">
      <c r="B150" s="38">
        <v>43682</v>
      </c>
      <c r="C150" s="36">
        <v>200.01</v>
      </c>
    </row>
    <row r="151" spans="2:3">
      <c r="B151" s="38">
        <v>43683</v>
      </c>
      <c r="C151" s="36">
        <v>201.37</v>
      </c>
    </row>
    <row r="152" spans="2:3">
      <c r="B152" s="38">
        <v>43684</v>
      </c>
      <c r="C152" s="36">
        <v>201.68</v>
      </c>
    </row>
    <row r="153" spans="2:3">
      <c r="B153" s="38">
        <v>43685</v>
      </c>
      <c r="C153" s="36">
        <v>203.32</v>
      </c>
    </row>
    <row r="154" spans="2:3">
      <c r="B154" s="38">
        <v>43686</v>
      </c>
      <c r="C154" s="36">
        <v>202.6</v>
      </c>
    </row>
    <row r="155" spans="2:3">
      <c r="B155" s="38">
        <v>43689</v>
      </c>
      <c r="C155" s="36">
        <v>201.98</v>
      </c>
    </row>
    <row r="156" spans="2:3">
      <c r="B156" s="38">
        <v>43690</v>
      </c>
      <c r="C156" s="36">
        <v>202.82</v>
      </c>
    </row>
    <row r="157" spans="2:3">
      <c r="B157" s="38">
        <v>43691</v>
      </c>
      <c r="C157" s="36">
        <v>201.18</v>
      </c>
    </row>
    <row r="158" spans="2:3">
      <c r="B158" s="38">
        <v>43692</v>
      </c>
      <c r="C158" s="36">
        <v>201.69</v>
      </c>
    </row>
    <row r="159" spans="2:3">
      <c r="B159" s="38">
        <v>43693</v>
      </c>
      <c r="C159" s="36">
        <v>202.73</v>
      </c>
    </row>
    <row r="160" spans="2:3">
      <c r="B160" s="38">
        <v>43696</v>
      </c>
      <c r="C160" s="36">
        <v>203.08</v>
      </c>
    </row>
    <row r="161" spans="2:3">
      <c r="B161" s="38">
        <v>43697</v>
      </c>
      <c r="C161" s="36">
        <v>202.87</v>
      </c>
    </row>
    <row r="162" spans="2:3">
      <c r="B162" s="38">
        <v>43698</v>
      </c>
      <c r="C162" s="36">
        <v>203.18</v>
      </c>
    </row>
    <row r="163" spans="2:3">
      <c r="B163" s="38">
        <v>43699</v>
      </c>
      <c r="C163" s="36">
        <v>202.92</v>
      </c>
    </row>
    <row r="164" spans="2:3">
      <c r="B164" s="38">
        <v>43700</v>
      </c>
      <c r="C164" s="36">
        <v>201.95</v>
      </c>
    </row>
    <row r="165" spans="2:3">
      <c r="B165" s="38">
        <v>43703</v>
      </c>
      <c r="C165" s="36">
        <v>202.47</v>
      </c>
    </row>
    <row r="166" spans="2:3">
      <c r="B166" s="38">
        <v>43704</v>
      </c>
      <c r="C166" s="36">
        <v>202.75</v>
      </c>
    </row>
    <row r="167" spans="2:3">
      <c r="B167" s="38">
        <v>43705</v>
      </c>
      <c r="C167" s="36">
        <v>203.32</v>
      </c>
    </row>
    <row r="168" spans="2:3">
      <c r="B168" s="38">
        <v>43706</v>
      </c>
      <c r="C168" s="36">
        <v>203.61</v>
      </c>
    </row>
    <row r="169" spans="2:3">
      <c r="B169" s="38">
        <v>43707</v>
      </c>
      <c r="C169" s="36">
        <v>203.74</v>
      </c>
    </row>
    <row r="170" spans="2:3">
      <c r="B170" s="38">
        <v>43711</v>
      </c>
      <c r="C170" s="36">
        <v>203.76</v>
      </c>
    </row>
    <row r="171" spans="2:3">
      <c r="B171" s="38">
        <v>43712</v>
      </c>
      <c r="C171" s="36">
        <v>204.58</v>
      </c>
    </row>
    <row r="172" spans="2:3">
      <c r="B172" s="38">
        <v>43713</v>
      </c>
      <c r="C172" s="36">
        <v>204.37</v>
      </c>
    </row>
    <row r="173" spans="2:3">
      <c r="B173" s="38">
        <v>43714</v>
      </c>
      <c r="C173" s="36">
        <v>204.57</v>
      </c>
    </row>
    <row r="174" spans="2:3">
      <c r="B174" s="38">
        <v>43717</v>
      </c>
      <c r="C174" s="36">
        <v>204.03</v>
      </c>
    </row>
    <row r="175" spans="2:3">
      <c r="B175" s="38">
        <v>43718</v>
      </c>
      <c r="C175" s="36">
        <v>203.25</v>
      </c>
    </row>
    <row r="176" spans="2:3">
      <c r="B176" s="38">
        <v>43719</v>
      </c>
      <c r="C176" s="36">
        <v>203.5</v>
      </c>
    </row>
    <row r="177" spans="2:3">
      <c r="B177" s="38">
        <v>43720</v>
      </c>
      <c r="C177" s="36">
        <v>203.26</v>
      </c>
    </row>
    <row r="178" spans="2:3">
      <c r="B178" s="38">
        <v>43721</v>
      </c>
      <c r="C178" s="36">
        <v>202.33</v>
      </c>
    </row>
    <row r="179" spans="2:3">
      <c r="B179" s="38">
        <v>43724</v>
      </c>
      <c r="C179" s="36">
        <v>202.59</v>
      </c>
    </row>
    <row r="180" spans="2:3">
      <c r="B180" s="38">
        <v>43725</v>
      </c>
      <c r="C180" s="36">
        <v>202.9</v>
      </c>
    </row>
    <row r="181" spans="2:3">
      <c r="B181" s="38">
        <v>43726</v>
      </c>
      <c r="C181" s="36">
        <v>202.99</v>
      </c>
    </row>
    <row r="182" spans="2:3">
      <c r="B182" s="38">
        <v>43727</v>
      </c>
      <c r="C182" s="36">
        <v>203.14</v>
      </c>
    </row>
    <row r="183" spans="2:3">
      <c r="B183" s="38">
        <v>43728</v>
      </c>
      <c r="C183" s="36">
        <v>202.82</v>
      </c>
    </row>
    <row r="184" spans="2:3">
      <c r="B184" s="38">
        <v>43731</v>
      </c>
      <c r="C184" s="36">
        <v>202.92</v>
      </c>
    </row>
    <row r="185" spans="2:3">
      <c r="B185" s="38">
        <v>43732</v>
      </c>
      <c r="C185" s="36">
        <v>202.5</v>
      </c>
    </row>
    <row r="186" spans="2:3">
      <c r="B186" s="38">
        <v>43733</v>
      </c>
      <c r="C186" s="36">
        <v>202.71</v>
      </c>
    </row>
    <row r="187" spans="2:3">
      <c r="B187" s="38">
        <v>43734</v>
      </c>
      <c r="C187" s="36">
        <v>202.59</v>
      </c>
    </row>
    <row r="188" spans="2:3">
      <c r="B188" s="38">
        <v>43735</v>
      </c>
      <c r="C188" s="36">
        <v>202.12</v>
      </c>
    </row>
    <row r="189" spans="2:3">
      <c r="B189" s="38">
        <v>43738</v>
      </c>
      <c r="C189" s="36">
        <v>202.69</v>
      </c>
    </row>
    <row r="190" spans="2:3">
      <c r="B190" s="38">
        <v>43739</v>
      </c>
      <c r="C190" s="36">
        <v>201.5</v>
      </c>
    </row>
    <row r="191" spans="2:3">
      <c r="B191" s="38">
        <v>43740</v>
      </c>
      <c r="C191" s="36">
        <v>199.64</v>
      </c>
    </row>
    <row r="192" spans="2:3">
      <c r="B192" s="38">
        <v>43741</v>
      </c>
      <c r="C192" s="36">
        <v>200.31</v>
      </c>
    </row>
    <row r="193" spans="2:3">
      <c r="B193" s="38">
        <v>43742</v>
      </c>
      <c r="C193" s="36">
        <v>201.62</v>
      </c>
    </row>
    <row r="194" spans="2:3">
      <c r="B194" s="38">
        <v>43745</v>
      </c>
      <c r="C194" s="36">
        <v>201.32</v>
      </c>
    </row>
    <row r="195" spans="2:3">
      <c r="B195" s="38">
        <v>43746</v>
      </c>
      <c r="C195" s="36">
        <v>200.12</v>
      </c>
    </row>
    <row r="196" spans="2:3">
      <c r="B196" s="38">
        <v>43747</v>
      </c>
      <c r="C196" s="36">
        <v>200.74</v>
      </c>
    </row>
    <row r="197" spans="2:3">
      <c r="B197" s="38">
        <v>43748</v>
      </c>
      <c r="C197" s="36">
        <v>201.13</v>
      </c>
    </row>
    <row r="198" spans="2:3">
      <c r="B198" s="38">
        <v>43749</v>
      </c>
      <c r="C198" s="36">
        <v>201.85</v>
      </c>
    </row>
    <row r="199" spans="2:3">
      <c r="B199" s="38">
        <v>43753</v>
      </c>
      <c r="C199" s="36">
        <v>202.45</v>
      </c>
    </row>
    <row r="200" spans="2:3">
      <c r="B200" s="38">
        <v>43754</v>
      </c>
      <c r="C200" s="36">
        <v>202.38</v>
      </c>
    </row>
    <row r="201" spans="2:3">
      <c r="B201" s="38">
        <v>43755</v>
      </c>
      <c r="C201" s="36">
        <v>202.56</v>
      </c>
    </row>
    <row r="202" spans="2:3">
      <c r="B202" s="38">
        <v>43756</v>
      </c>
      <c r="C202" s="36">
        <v>202.38</v>
      </c>
    </row>
    <row r="203" spans="2:3">
      <c r="B203" s="38">
        <v>43759</v>
      </c>
      <c r="C203" s="36">
        <v>202.79</v>
      </c>
    </row>
    <row r="204" spans="2:3">
      <c r="B204" s="38">
        <v>43760</v>
      </c>
      <c r="C204" s="36">
        <v>202.57</v>
      </c>
    </row>
    <row r="205" spans="2:3">
      <c r="B205" s="38">
        <v>43761</v>
      </c>
      <c r="C205" s="36">
        <v>202.71</v>
      </c>
    </row>
    <row r="206" spans="2:3">
      <c r="B206" s="38">
        <v>43762</v>
      </c>
      <c r="C206" s="36">
        <v>202.82</v>
      </c>
    </row>
    <row r="207" spans="2:3">
      <c r="B207" s="38">
        <v>43763</v>
      </c>
      <c r="C207" s="36">
        <v>203.14</v>
      </c>
    </row>
    <row r="208" spans="2:3">
      <c r="B208" s="38">
        <v>43766</v>
      </c>
      <c r="C208" s="36">
        <v>203.55</v>
      </c>
    </row>
    <row r="209" spans="2:3">
      <c r="B209" s="38">
        <v>43767</v>
      </c>
      <c r="C209" s="36">
        <v>203.4</v>
      </c>
    </row>
    <row r="210" spans="2:3">
      <c r="B210" s="38">
        <v>43768</v>
      </c>
      <c r="C210" s="36">
        <v>203.45</v>
      </c>
    </row>
    <row r="211" spans="2:3">
      <c r="B211" s="38">
        <v>43769</v>
      </c>
      <c r="C211" s="36">
        <v>202.87</v>
      </c>
    </row>
    <row r="212" spans="2:3">
      <c r="B212" s="38">
        <v>43770</v>
      </c>
      <c r="C212" s="36">
        <v>203.59</v>
      </c>
    </row>
    <row r="213" spans="2:3">
      <c r="B213" s="38">
        <v>43773</v>
      </c>
      <c r="C213" s="36">
        <v>204.09</v>
      </c>
    </row>
    <row r="214" spans="2:3">
      <c r="B214" s="38">
        <v>43774</v>
      </c>
      <c r="C214" s="36">
        <v>204.36</v>
      </c>
    </row>
    <row r="215" spans="2:3">
      <c r="B215" s="38">
        <v>43775</v>
      </c>
      <c r="C215" s="36">
        <v>204.15</v>
      </c>
    </row>
    <row r="216" spans="2:3">
      <c r="B216" s="38">
        <v>43776</v>
      </c>
      <c r="C216" s="36">
        <v>204.84</v>
      </c>
    </row>
    <row r="217" spans="2:3">
      <c r="B217" s="38">
        <v>43777</v>
      </c>
      <c r="C217" s="36">
        <v>204.96</v>
      </c>
    </row>
    <row r="218" spans="2:3">
      <c r="B218" s="38">
        <v>43781</v>
      </c>
      <c r="C218" s="36">
        <v>204.91</v>
      </c>
    </row>
    <row r="219" spans="2:3">
      <c r="B219" s="38">
        <v>43782</v>
      </c>
      <c r="C219" s="36">
        <v>204.78</v>
      </c>
    </row>
    <row r="220" spans="2:3">
      <c r="B220" s="38">
        <v>43783</v>
      </c>
      <c r="C220" s="36">
        <v>204.67</v>
      </c>
    </row>
    <row r="221" spans="2:3">
      <c r="B221" s="38">
        <v>43784</v>
      </c>
      <c r="C221" s="36">
        <v>205.44</v>
      </c>
    </row>
    <row r="222" spans="2:3">
      <c r="B222" s="38">
        <v>43787</v>
      </c>
      <c r="C222" s="36">
        <v>205.46</v>
      </c>
    </row>
    <row r="223" spans="2:3">
      <c r="B223" s="38">
        <v>43788</v>
      </c>
      <c r="C223" s="36">
        <v>205.37</v>
      </c>
    </row>
    <row r="224" spans="2:3">
      <c r="B224" s="38">
        <v>43789</v>
      </c>
      <c r="C224" s="36">
        <v>204.75</v>
      </c>
    </row>
    <row r="225" spans="2:3">
      <c r="B225" s="38">
        <v>43790</v>
      </c>
      <c r="C225" s="36">
        <v>204.75</v>
      </c>
    </row>
    <row r="226" spans="2:3">
      <c r="B226" s="38">
        <v>43791</v>
      </c>
      <c r="C226" s="36">
        <v>205.01</v>
      </c>
    </row>
    <row r="227" spans="2:3">
      <c r="B227" s="38">
        <v>43794</v>
      </c>
      <c r="C227" s="36">
        <v>206.01</v>
      </c>
    </row>
    <row r="228" spans="2:3">
      <c r="B228" s="38">
        <v>43795</v>
      </c>
      <c r="C228" s="36">
        <v>206.32</v>
      </c>
    </row>
    <row r="229" spans="2:3">
      <c r="B229" s="38">
        <v>43796</v>
      </c>
      <c r="C229" s="36">
        <v>206.95</v>
      </c>
    </row>
    <row r="230" spans="2:3">
      <c r="B230" s="38">
        <v>43798</v>
      </c>
      <c r="C230" s="36">
        <v>206.53</v>
      </c>
    </row>
    <row r="231" spans="2:3">
      <c r="B231" s="38">
        <v>43801</v>
      </c>
      <c r="C231" s="36">
        <v>205.14</v>
      </c>
    </row>
    <row r="232" spans="2:3">
      <c r="B232" s="38">
        <v>43802</v>
      </c>
      <c r="C232" s="36">
        <v>203.89</v>
      </c>
    </row>
    <row r="233" spans="2:3">
      <c r="B233" s="38">
        <v>43803</v>
      </c>
      <c r="C233" s="36">
        <v>204.96</v>
      </c>
    </row>
    <row r="234" spans="2:3">
      <c r="B234" s="38">
        <v>43804</v>
      </c>
      <c r="C234" s="36">
        <v>205.18</v>
      </c>
    </row>
    <row r="235" spans="2:3">
      <c r="B235" s="38">
        <v>43805</v>
      </c>
      <c r="C235" s="36">
        <v>206.56</v>
      </c>
    </row>
    <row r="236" spans="2:3">
      <c r="B236" s="38">
        <v>43808</v>
      </c>
      <c r="C236" s="36">
        <v>206.12</v>
      </c>
    </row>
    <row r="237" spans="2:3">
      <c r="B237" s="38">
        <v>43809</v>
      </c>
      <c r="C237" s="36">
        <v>206.02</v>
      </c>
    </row>
    <row r="238" spans="2:3">
      <c r="B238" s="38">
        <v>43810</v>
      </c>
      <c r="C238" s="36">
        <v>206.29</v>
      </c>
    </row>
    <row r="239" spans="2:3">
      <c r="B239" s="38">
        <v>43811</v>
      </c>
      <c r="C239" s="36">
        <v>207.5</v>
      </c>
    </row>
    <row r="240" spans="2:3">
      <c r="B240" s="38">
        <v>43812</v>
      </c>
      <c r="C240" s="36">
        <v>207.3</v>
      </c>
    </row>
    <row r="241" spans="2:3">
      <c r="B241" s="38">
        <v>43815</v>
      </c>
      <c r="C241" s="36">
        <v>208.32</v>
      </c>
    </row>
    <row r="242" spans="2:3">
      <c r="B242" s="38">
        <v>43816</v>
      </c>
      <c r="C242" s="36">
        <v>208.3</v>
      </c>
    </row>
    <row r="243" spans="2:3">
      <c r="B243" s="38">
        <v>43817</v>
      </c>
      <c r="C243" s="36">
        <v>208.45</v>
      </c>
    </row>
    <row r="244" spans="2:3">
      <c r="B244" s="38">
        <v>43818</v>
      </c>
      <c r="C244" s="36">
        <v>208.76</v>
      </c>
    </row>
    <row r="245" spans="2:3">
      <c r="B245" s="38">
        <v>43819</v>
      </c>
      <c r="C245" s="36">
        <v>209.2</v>
      </c>
    </row>
    <row r="246" spans="2:3">
      <c r="B246" s="38">
        <v>43822</v>
      </c>
      <c r="C246" s="36">
        <v>209.31</v>
      </c>
    </row>
    <row r="247" spans="2:3">
      <c r="B247" s="38">
        <v>43823</v>
      </c>
      <c r="C247" s="36">
        <v>209.25</v>
      </c>
    </row>
    <row r="248" spans="2:3">
      <c r="B248" s="38">
        <v>43825</v>
      </c>
      <c r="C248" s="36">
        <v>209.7</v>
      </c>
    </row>
    <row r="249" spans="2:3">
      <c r="B249" s="38">
        <v>43826</v>
      </c>
      <c r="C249" s="36">
        <v>209.59</v>
      </c>
    </row>
    <row r="250" spans="2:3">
      <c r="B250" s="38">
        <v>43829</v>
      </c>
      <c r="C250" s="36">
        <v>208.99</v>
      </c>
    </row>
    <row r="251" spans="2:3">
      <c r="B251" s="38">
        <v>43830</v>
      </c>
      <c r="C251" s="36">
        <v>209.34</v>
      </c>
    </row>
    <row r="252" spans="2:3">
      <c r="B252" s="38">
        <v>43832</v>
      </c>
      <c r="C252" s="36">
        <v>210.02</v>
      </c>
    </row>
    <row r="253" spans="2:3">
      <c r="B253" s="38">
        <v>43833</v>
      </c>
      <c r="C253" s="36">
        <v>209.13</v>
      </c>
    </row>
    <row r="254" spans="2:3">
      <c r="B254" s="38">
        <v>43836</v>
      </c>
      <c r="C254" s="36">
        <v>209.46</v>
      </c>
    </row>
    <row r="255" spans="2:3">
      <c r="B255" s="38">
        <v>43837</v>
      </c>
      <c r="C255" s="36">
        <v>209.16</v>
      </c>
    </row>
    <row r="256" spans="2:3">
      <c r="B256" s="38">
        <v>43838</v>
      </c>
      <c r="C256" s="36">
        <v>209.89</v>
      </c>
    </row>
    <row r="257" spans="2:3">
      <c r="B257" s="38">
        <v>43839</v>
      </c>
      <c r="C257" s="36">
        <v>210.69</v>
      </c>
    </row>
    <row r="258" spans="2:3">
      <c r="B258" s="38">
        <v>43840</v>
      </c>
      <c r="C258" s="36">
        <v>210.32</v>
      </c>
    </row>
    <row r="259" spans="2:3">
      <c r="B259" s="38">
        <v>43843</v>
      </c>
      <c r="C259" s="36">
        <v>211.23</v>
      </c>
    </row>
    <row r="260" spans="2:3">
      <c r="B260" s="38">
        <v>43844</v>
      </c>
      <c r="C260" s="36">
        <v>211</v>
      </c>
    </row>
    <row r="261" spans="2:3">
      <c r="B261" s="38">
        <v>43845</v>
      </c>
      <c r="C261" s="36">
        <v>211.29</v>
      </c>
    </row>
    <row r="262" spans="2:3">
      <c r="B262" s="38">
        <v>43846</v>
      </c>
      <c r="C262" s="36">
        <v>212.46</v>
      </c>
    </row>
    <row r="263" spans="2:3">
      <c r="B263" s="38">
        <v>43847</v>
      </c>
      <c r="C263" s="36">
        <v>212.95</v>
      </c>
    </row>
    <row r="264" spans="2:3">
      <c r="B264" s="38">
        <v>43851</v>
      </c>
      <c r="C264" s="36">
        <v>212.63</v>
      </c>
    </row>
    <row r="265" spans="2:3">
      <c r="B265" s="38">
        <v>43852</v>
      </c>
      <c r="C265" s="36">
        <v>212.71</v>
      </c>
    </row>
    <row r="266" spans="2:3">
      <c r="B266" s="38">
        <v>43853</v>
      </c>
      <c r="C266" s="36">
        <v>212.86</v>
      </c>
    </row>
    <row r="267" spans="2:3">
      <c r="B267" s="38">
        <v>43854</v>
      </c>
      <c r="C267" s="36">
        <v>211.59</v>
      </c>
    </row>
    <row r="268" spans="2:3">
      <c r="B268" s="38">
        <v>43857</v>
      </c>
      <c r="C268" s="36">
        <v>209.38</v>
      </c>
    </row>
    <row r="269" spans="2:3">
      <c r="B269" s="38">
        <v>43858</v>
      </c>
      <c r="C269" s="36">
        <v>210.75</v>
      </c>
    </row>
    <row r="270" spans="2:3">
      <c r="B270" s="38">
        <v>43859</v>
      </c>
      <c r="C270" s="36">
        <v>210.73</v>
      </c>
    </row>
    <row r="271" spans="2:3">
      <c r="B271" s="38">
        <v>43860</v>
      </c>
      <c r="C271" s="36">
        <v>211.22</v>
      </c>
    </row>
    <row r="272" spans="2:3">
      <c r="B272" s="38">
        <v>43861</v>
      </c>
      <c r="C272" s="36">
        <v>209.2</v>
      </c>
    </row>
    <row r="273" spans="2:3">
      <c r="B273" s="38">
        <v>43864</v>
      </c>
      <c r="C273" s="36">
        <v>209.97</v>
      </c>
    </row>
    <row r="274" spans="2:3">
      <c r="B274" s="38">
        <v>43865</v>
      </c>
      <c r="C274" s="36">
        <v>211.24</v>
      </c>
    </row>
    <row r="275" spans="2:3">
      <c r="B275" s="38">
        <v>43866</v>
      </c>
      <c r="C275" s="36">
        <v>212.2</v>
      </c>
    </row>
    <row r="276" spans="2:3">
      <c r="B276" s="38">
        <v>43867</v>
      </c>
      <c r="C276" s="36">
        <v>212.53</v>
      </c>
    </row>
    <row r="277" spans="2:3">
      <c r="B277" s="38">
        <v>43868</v>
      </c>
      <c r="C277" s="36">
        <v>212.42</v>
      </c>
    </row>
    <row r="278" spans="2:3">
      <c r="B278" s="38">
        <v>43871</v>
      </c>
      <c r="C278" s="36">
        <v>213.33</v>
      </c>
    </row>
    <row r="279" spans="2:3">
      <c r="B279" s="38">
        <v>43872</v>
      </c>
      <c r="C279" s="36">
        <v>213.25</v>
      </c>
    </row>
    <row r="280" spans="2:3">
      <c r="B280" s="38">
        <v>43873</v>
      </c>
      <c r="C280" s="36">
        <v>213.63</v>
      </c>
    </row>
    <row r="281" spans="2:3">
      <c r="B281" s="38">
        <v>43874</v>
      </c>
      <c r="C281" s="36">
        <v>213.55</v>
      </c>
    </row>
    <row r="282" spans="2:3">
      <c r="B282" s="38">
        <v>43875</v>
      </c>
      <c r="C282" s="36">
        <v>213.87</v>
      </c>
    </row>
    <row r="283" spans="2:3">
      <c r="B283" s="38">
        <v>43879</v>
      </c>
      <c r="C283" s="36">
        <v>213.77</v>
      </c>
    </row>
    <row r="284" spans="2:3">
      <c r="B284" s="38">
        <v>43880</v>
      </c>
      <c r="C284" s="36">
        <v>214.14</v>
      </c>
    </row>
    <row r="285" spans="2:3">
      <c r="B285" s="38">
        <v>43881</v>
      </c>
      <c r="C285" s="36">
        <v>213.99</v>
      </c>
    </row>
    <row r="286" spans="2:3">
      <c r="B286" s="38">
        <v>43882</v>
      </c>
      <c r="C286" s="36">
        <v>213.27</v>
      </c>
    </row>
    <row r="287" spans="2:3">
      <c r="B287" s="38">
        <v>43885</v>
      </c>
      <c r="C287" s="36">
        <v>210.64</v>
      </c>
    </row>
    <row r="288" spans="2:3">
      <c r="B288" s="38">
        <v>43886</v>
      </c>
      <c r="C288" s="36">
        <v>208.19</v>
      </c>
    </row>
    <row r="289" spans="2:3">
      <c r="B289" s="38">
        <v>43887</v>
      </c>
      <c r="C289" s="36">
        <v>207.94</v>
      </c>
    </row>
    <row r="290" spans="2:3">
      <c r="B290" s="38">
        <v>43888</v>
      </c>
      <c r="C290" s="36">
        <v>204.56</v>
      </c>
    </row>
    <row r="291" spans="2:3">
      <c r="B291" s="38">
        <v>43889</v>
      </c>
      <c r="C291" s="36">
        <v>204.96</v>
      </c>
    </row>
    <row r="292" spans="2:3">
      <c r="B292" s="38">
        <v>43892</v>
      </c>
      <c r="C292" s="36">
        <v>208.14</v>
      </c>
    </row>
    <row r="293" spans="2:3">
      <c r="B293" s="38">
        <v>43893</v>
      </c>
      <c r="C293" s="36">
        <v>207.23</v>
      </c>
    </row>
    <row r="294" spans="2:3">
      <c r="B294" s="38">
        <v>43894</v>
      </c>
      <c r="C294" s="36">
        <v>209.85</v>
      </c>
    </row>
    <row r="295" spans="2:3">
      <c r="B295" s="38">
        <v>43895</v>
      </c>
      <c r="C295" s="36">
        <v>208.52</v>
      </c>
    </row>
    <row r="296" spans="2:3">
      <c r="B296" s="38">
        <v>43896</v>
      </c>
      <c r="C296" s="36">
        <v>208.56</v>
      </c>
    </row>
    <row r="297" spans="2:3">
      <c r="B297" s="38">
        <v>43899</v>
      </c>
      <c r="C297" s="36">
        <v>206.35</v>
      </c>
    </row>
    <row r="298" spans="2:3">
      <c r="B298" s="38">
        <v>43900</v>
      </c>
      <c r="C298" s="36">
        <v>205.91</v>
      </c>
    </row>
    <row r="299" spans="2:3">
      <c r="B299" s="38">
        <v>43901</v>
      </c>
      <c r="C299" s="36">
        <v>204.27</v>
      </c>
    </row>
    <row r="300" spans="2:3">
      <c r="B300" s="38">
        <v>43902</v>
      </c>
      <c r="C300" s="36">
        <v>201.81</v>
      </c>
    </row>
    <row r="301" spans="2:3">
      <c r="B301" s="38">
        <v>43903</v>
      </c>
      <c r="C301" s="36">
        <v>202.51</v>
      </c>
    </row>
    <row r="302" spans="2:3">
      <c r="B302" s="38">
        <v>43906</v>
      </c>
      <c r="C302" s="36">
        <v>204.04</v>
      </c>
    </row>
    <row r="303" spans="2:3">
      <c r="B303" s="38">
        <v>43907</v>
      </c>
      <c r="C303" s="36">
        <v>201.85</v>
      </c>
    </row>
    <row r="304" spans="2:3">
      <c r="B304" s="38">
        <v>43908</v>
      </c>
      <c r="C304" s="36">
        <v>199.25</v>
      </c>
    </row>
    <row r="305" spans="2:3">
      <c r="B305" s="38">
        <v>43909</v>
      </c>
      <c r="C305" s="36">
        <v>200.81</v>
      </c>
    </row>
    <row r="306" spans="2:3">
      <c r="B306" s="38">
        <v>43910</v>
      </c>
      <c r="C306" s="36">
        <v>201.97</v>
      </c>
    </row>
    <row r="307" spans="2:3">
      <c r="B307" s="38">
        <v>43913</v>
      </c>
      <c r="C307" s="36">
        <v>204.02</v>
      </c>
    </row>
    <row r="308" spans="2:3">
      <c r="B308" s="38">
        <v>43914</v>
      </c>
      <c r="C308" s="36">
        <v>204.03</v>
      </c>
    </row>
    <row r="309" spans="2:3">
      <c r="B309" s="38">
        <v>43915</v>
      </c>
      <c r="C309" s="36">
        <v>204.35</v>
      </c>
    </row>
    <row r="310" spans="2:3">
      <c r="B310" s="38">
        <v>43916</v>
      </c>
      <c r="C310" s="36">
        <v>204.75</v>
      </c>
    </row>
    <row r="311" spans="2:3">
      <c r="B311" s="38">
        <v>43917</v>
      </c>
      <c r="C311" s="36">
        <v>204.7</v>
      </c>
    </row>
    <row r="312" spans="2:3">
      <c r="B312" s="38">
        <v>43920</v>
      </c>
      <c r="C312" s="36">
        <v>204.89</v>
      </c>
    </row>
    <row r="313" spans="2:3">
      <c r="B313" s="38">
        <v>43921</v>
      </c>
      <c r="C313" s="36">
        <v>204.77</v>
      </c>
    </row>
    <row r="314" spans="2:3">
      <c r="B314" s="38">
        <v>43922</v>
      </c>
      <c r="C314" s="36">
        <v>204.57</v>
      </c>
    </row>
    <row r="315" spans="2:3">
      <c r="B315" s="38">
        <v>43923</v>
      </c>
      <c r="C315" s="36">
        <v>204.53</v>
      </c>
    </row>
    <row r="316" spans="2:3">
      <c r="B316" s="38">
        <v>43924</v>
      </c>
      <c r="C316" s="36">
        <v>204.48</v>
      </c>
    </row>
    <row r="317" spans="2:3">
      <c r="B317" s="38">
        <v>43927</v>
      </c>
      <c r="C317" s="36">
        <v>204.42</v>
      </c>
    </row>
    <row r="318" spans="2:3">
      <c r="B318" s="38">
        <v>43928</v>
      </c>
      <c r="C318" s="36">
        <v>204.33</v>
      </c>
    </row>
    <row r="319" spans="2:3">
      <c r="B319" s="38">
        <v>43929</v>
      </c>
      <c r="C319" s="36">
        <v>204.54</v>
      </c>
    </row>
    <row r="320" spans="2:3">
      <c r="B320" s="38">
        <v>43930</v>
      </c>
      <c r="C320" s="36">
        <v>205.29</v>
      </c>
    </row>
    <row r="321" spans="2:3">
      <c r="B321" s="38">
        <v>43934</v>
      </c>
      <c r="C321" s="36">
        <v>205.13</v>
      </c>
    </row>
    <row r="322" spans="2:3">
      <c r="B322" s="38">
        <v>43935</v>
      </c>
      <c r="C322" s="36">
        <v>205.3</v>
      </c>
    </row>
    <row r="323" spans="2:3">
      <c r="B323" s="38">
        <v>43936</v>
      </c>
      <c r="C323" s="36">
        <v>205.6</v>
      </c>
    </row>
    <row r="324" spans="2:3">
      <c r="B324" s="38">
        <v>43937</v>
      </c>
      <c r="C324" s="36">
        <v>205.54</v>
      </c>
    </row>
    <row r="325" spans="2:3">
      <c r="B325" s="38">
        <v>43938</v>
      </c>
      <c r="C325" s="36">
        <v>205.44</v>
      </c>
    </row>
    <row r="326" spans="2:3">
      <c r="B326" s="38">
        <v>43941</v>
      </c>
      <c r="C326" s="36">
        <v>205.37</v>
      </c>
    </row>
    <row r="327" spans="2:3">
      <c r="B327" s="38">
        <v>43942</v>
      </c>
      <c r="C327" s="36">
        <v>205.38</v>
      </c>
    </row>
    <row r="328" spans="2:3">
      <c r="B328" s="38">
        <v>43943</v>
      </c>
      <c r="C328" s="36">
        <v>205.31</v>
      </c>
    </row>
    <row r="329" spans="2:3">
      <c r="B329" s="38">
        <v>43944</v>
      </c>
      <c r="C329" s="36">
        <v>205.35</v>
      </c>
    </row>
    <row r="330" spans="2:3">
      <c r="B330" s="38">
        <v>43945</v>
      </c>
      <c r="C330" s="36">
        <v>205.41</v>
      </c>
    </row>
    <row r="331" spans="2:3">
      <c r="B331" s="38">
        <v>43948</v>
      </c>
      <c r="C331" s="36">
        <v>205.15</v>
      </c>
    </row>
    <row r="332" spans="2:3">
      <c r="B332" s="38">
        <v>43949</v>
      </c>
      <c r="C332" s="36">
        <v>205.46</v>
      </c>
    </row>
    <row r="333" spans="2:3">
      <c r="B333" s="38">
        <v>43950</v>
      </c>
      <c r="C333" s="36">
        <v>205.77</v>
      </c>
    </row>
    <row r="334" spans="2:3">
      <c r="B334" s="38">
        <v>43951</v>
      </c>
      <c r="C334" s="36">
        <v>205.79</v>
      </c>
    </row>
    <row r="335" spans="2:3">
      <c r="B335" s="38">
        <v>43952</v>
      </c>
      <c r="C335" s="36">
        <v>205.35</v>
      </c>
    </row>
    <row r="336" spans="2:3">
      <c r="B336" s="38">
        <v>43955</v>
      </c>
      <c r="C336" s="36">
        <v>205.47</v>
      </c>
    </row>
    <row r="337" spans="2:3">
      <c r="B337" s="38">
        <v>43956</v>
      </c>
      <c r="C337" s="36">
        <v>205.53</v>
      </c>
    </row>
    <row r="338" spans="2:3">
      <c r="B338" s="38">
        <v>43957</v>
      </c>
      <c r="C338" s="36">
        <v>205.05</v>
      </c>
    </row>
    <row r="339" spans="2:3">
      <c r="B339" s="38">
        <v>43958</v>
      </c>
      <c r="C339" s="36">
        <v>205.96</v>
      </c>
    </row>
    <row r="340" spans="2:3">
      <c r="B340" s="38">
        <v>43959</v>
      </c>
      <c r="C340" s="36">
        <v>205.68</v>
      </c>
    </row>
    <row r="341" spans="2:3">
      <c r="B341" s="38">
        <v>43962</v>
      </c>
      <c r="C341" s="36">
        <v>205.3</v>
      </c>
    </row>
    <row r="342" spans="2:3">
      <c r="B342" s="38">
        <v>43963</v>
      </c>
      <c r="C342" s="36">
        <v>205.71</v>
      </c>
    </row>
    <row r="343" spans="2:3">
      <c r="B343" s="38">
        <v>43964</v>
      </c>
      <c r="C343" s="36">
        <v>205.55</v>
      </c>
    </row>
    <row r="344" spans="2:3">
      <c r="B344" s="38">
        <v>43965</v>
      </c>
      <c r="C344" s="36">
        <v>205.91</v>
      </c>
    </row>
    <row r="345" spans="2:3">
      <c r="B345" s="38">
        <v>43966</v>
      </c>
      <c r="C345" s="36">
        <v>205.96</v>
      </c>
    </row>
    <row r="346" spans="2:3">
      <c r="B346" s="38">
        <v>43969</v>
      </c>
      <c r="C346" s="36">
        <v>206.29</v>
      </c>
    </row>
    <row r="347" spans="2:3">
      <c r="B347" s="38">
        <v>43970</v>
      </c>
      <c r="C347" s="36">
        <v>206.41</v>
      </c>
    </row>
    <row r="348" spans="2:3">
      <c r="B348" s="38">
        <v>43971</v>
      </c>
      <c r="C348" s="36">
        <v>207.37</v>
      </c>
    </row>
    <row r="349" spans="2:3">
      <c r="B349" s="38">
        <v>43972</v>
      </c>
      <c r="C349" s="36">
        <v>207</v>
      </c>
    </row>
    <row r="350" spans="2:3">
      <c r="B350" s="38">
        <v>43973</v>
      </c>
      <c r="C350" s="36">
        <v>207.11</v>
      </c>
    </row>
    <row r="351" spans="2:3">
      <c r="B351" s="38">
        <v>43977</v>
      </c>
      <c r="C351" s="36">
        <v>207.54</v>
      </c>
    </row>
    <row r="352" spans="2:3">
      <c r="B352" s="38">
        <v>43978</v>
      </c>
      <c r="C352" s="36">
        <v>208.23</v>
      </c>
    </row>
    <row r="353" spans="2:3">
      <c r="B353" s="38">
        <v>43979</v>
      </c>
      <c r="C353" s="36">
        <v>208.18</v>
      </c>
    </row>
    <row r="354" spans="2:3">
      <c r="B354" s="38">
        <v>43980</v>
      </c>
      <c r="C354" s="36">
        <v>208.7</v>
      </c>
    </row>
    <row r="355" spans="2:3">
      <c r="B355" s="38">
        <v>43983</v>
      </c>
      <c r="C355" s="36">
        <v>208.78</v>
      </c>
    </row>
    <row r="356" spans="2:3">
      <c r="B356" s="38">
        <v>43984</v>
      </c>
      <c r="C356" s="36">
        <v>209.02</v>
      </c>
    </row>
    <row r="357" spans="2:3">
      <c r="B357" s="38">
        <v>43985</v>
      </c>
      <c r="C357" s="36">
        <v>208.96</v>
      </c>
    </row>
    <row r="358" spans="2:3">
      <c r="B358" s="38">
        <v>43986</v>
      </c>
      <c r="C358" s="36">
        <v>208.44</v>
      </c>
    </row>
    <row r="359" spans="2:3">
      <c r="B359" s="38">
        <v>43987</v>
      </c>
      <c r="C359" s="36">
        <v>209.26</v>
      </c>
    </row>
    <row r="360" spans="2:3">
      <c r="B360" s="38">
        <v>43990</v>
      </c>
      <c r="C360" s="36">
        <v>209.88</v>
      </c>
    </row>
    <row r="361" spans="2:3">
      <c r="B361" s="38">
        <v>43991</v>
      </c>
      <c r="C361" s="36">
        <v>209.75</v>
      </c>
    </row>
    <row r="362" spans="2:3">
      <c r="B362" s="38">
        <v>43992</v>
      </c>
      <c r="C362" s="36">
        <v>210.1</v>
      </c>
    </row>
    <row r="363" spans="2:3">
      <c r="B363" s="38">
        <v>43993</v>
      </c>
      <c r="C363" s="36">
        <v>207.31</v>
      </c>
    </row>
    <row r="364" spans="2:3">
      <c r="B364" s="38">
        <v>43994</v>
      </c>
      <c r="C364" s="36">
        <v>207.78</v>
      </c>
    </row>
    <row r="365" spans="2:3">
      <c r="B365" s="38">
        <v>43997</v>
      </c>
      <c r="C365" s="36">
        <v>208.55</v>
      </c>
    </row>
    <row r="366" spans="2:3">
      <c r="B366" s="38">
        <v>43998</v>
      </c>
      <c r="C366" s="36">
        <v>209.19</v>
      </c>
    </row>
    <row r="367" spans="2:3">
      <c r="B367" s="38">
        <v>43999</v>
      </c>
      <c r="C367" s="36">
        <v>209.09</v>
      </c>
    </row>
    <row r="368" spans="2:3">
      <c r="B368" s="38">
        <v>44000</v>
      </c>
      <c r="C368" s="36">
        <v>209.01</v>
      </c>
    </row>
    <row r="369" spans="2:3">
      <c r="B369" s="38">
        <v>44001</v>
      </c>
      <c r="C369" s="36">
        <v>208.69</v>
      </c>
    </row>
    <row r="370" spans="2:3">
      <c r="B370" s="38">
        <v>44004</v>
      </c>
      <c r="C370" s="36">
        <v>208.89</v>
      </c>
    </row>
    <row r="371" spans="2:3">
      <c r="B371" s="38">
        <v>44005</v>
      </c>
      <c r="C371" s="36">
        <v>209.21</v>
      </c>
    </row>
    <row r="372" spans="2:3">
      <c r="B372" s="38">
        <v>44006</v>
      </c>
      <c r="C372" s="36">
        <v>208.11</v>
      </c>
    </row>
    <row r="373" spans="2:3">
      <c r="B373" s="38">
        <v>44007</v>
      </c>
      <c r="C373" s="36">
        <v>208.52</v>
      </c>
    </row>
    <row r="374" spans="2:3">
      <c r="B374" s="38">
        <v>44008</v>
      </c>
      <c r="C374" s="36">
        <v>208.07</v>
      </c>
    </row>
    <row r="375" spans="2:3">
      <c r="B375" s="38">
        <v>44011</v>
      </c>
      <c r="C375" s="36">
        <v>208.73</v>
      </c>
    </row>
    <row r="376" spans="2:3">
      <c r="B376" s="38">
        <v>44012</v>
      </c>
      <c r="C376" s="36">
        <v>209.26</v>
      </c>
    </row>
    <row r="377" spans="2:3">
      <c r="B377" s="38">
        <v>44013</v>
      </c>
      <c r="C377" s="36">
        <v>209.27</v>
      </c>
    </row>
    <row r="378" spans="2:3">
      <c r="B378" s="38">
        <v>44014</v>
      </c>
      <c r="C378" s="36">
        <v>209.57</v>
      </c>
    </row>
    <row r="379" spans="2:3">
      <c r="B379" s="38">
        <v>44018</v>
      </c>
      <c r="C379" s="36">
        <v>210.05</v>
      </c>
    </row>
    <row r="380" spans="2:3">
      <c r="B380" s="38">
        <v>44019</v>
      </c>
      <c r="C380" s="36">
        <v>209.89</v>
      </c>
    </row>
    <row r="381" spans="2:3">
      <c r="B381" s="38">
        <v>44020</v>
      </c>
      <c r="C381" s="36">
        <v>210.09</v>
      </c>
    </row>
    <row r="382" spans="2:3">
      <c r="B382" s="38">
        <v>44021</v>
      </c>
      <c r="C382" s="36">
        <v>210.18</v>
      </c>
    </row>
    <row r="383" spans="2:3">
      <c r="B383" s="38">
        <v>44022</v>
      </c>
      <c r="C383" s="36">
        <v>210.2</v>
      </c>
    </row>
    <row r="384" spans="2:3">
      <c r="B384" s="38">
        <v>44025</v>
      </c>
      <c r="C384" s="36">
        <v>210.06</v>
      </c>
    </row>
    <row r="385" spans="2:3">
      <c r="B385" s="38">
        <v>44026</v>
      </c>
      <c r="C385" s="36">
        <v>210.55</v>
      </c>
    </row>
    <row r="386" spans="2:3">
      <c r="B386" s="38">
        <v>44027</v>
      </c>
      <c r="C386" s="36">
        <v>210.94</v>
      </c>
    </row>
    <row r="387" spans="2:3">
      <c r="B387" s="38">
        <v>44028</v>
      </c>
      <c r="C387" s="36">
        <v>210.91</v>
      </c>
    </row>
    <row r="388" spans="2:3">
      <c r="B388" s="38">
        <v>44029</v>
      </c>
      <c r="C388" s="36">
        <v>211</v>
      </c>
    </row>
    <row r="389" spans="2:3">
      <c r="B389" s="38">
        <v>44032</v>
      </c>
      <c r="C389" s="36">
        <v>211.57</v>
      </c>
    </row>
    <row r="390" spans="2:3">
      <c r="B390" s="38">
        <v>44033</v>
      </c>
      <c r="C390" s="36">
        <v>211.77</v>
      </c>
    </row>
    <row r="391" spans="2:3">
      <c r="B391" s="38">
        <v>44034</v>
      </c>
      <c r="C391" s="36">
        <v>212.09</v>
      </c>
    </row>
    <row r="392" spans="2:3">
      <c r="B392" s="38">
        <v>44035</v>
      </c>
      <c r="C392" s="36">
        <v>211.53</v>
      </c>
    </row>
    <row r="393" spans="2:3">
      <c r="B393" s="38">
        <v>44036</v>
      </c>
      <c r="C393" s="36">
        <v>211.14</v>
      </c>
    </row>
    <row r="394" spans="2:3">
      <c r="B394" s="38">
        <v>44039</v>
      </c>
      <c r="C394" s="36">
        <v>211.37</v>
      </c>
    </row>
    <row r="395" spans="2:3">
      <c r="B395" s="38">
        <v>44040</v>
      </c>
      <c r="C395" s="36">
        <v>211.26</v>
      </c>
    </row>
    <row r="396" spans="2:3">
      <c r="B396" s="38">
        <v>44041</v>
      </c>
      <c r="C396" s="36">
        <v>212.07</v>
      </c>
    </row>
    <row r="397" spans="2:3">
      <c r="B397" s="38">
        <v>44042</v>
      </c>
      <c r="C397" s="36">
        <v>212.04</v>
      </c>
    </row>
    <row r="398" spans="2:3">
      <c r="B398" s="38">
        <v>44043</v>
      </c>
      <c r="C398" s="36">
        <v>212.65</v>
      </c>
    </row>
    <row r="399" spans="2:3">
      <c r="B399" s="38">
        <v>44046</v>
      </c>
      <c r="C399" s="36">
        <v>213.23</v>
      </c>
    </row>
    <row r="400" spans="2:3">
      <c r="B400" s="38">
        <v>44047</v>
      </c>
      <c r="C400" s="36">
        <v>213.8</v>
      </c>
    </row>
    <row r="401" spans="2:3">
      <c r="B401" s="38">
        <v>44048</v>
      </c>
      <c r="C401" s="36">
        <v>214.18</v>
      </c>
    </row>
    <row r="402" spans="2:3">
      <c r="B402" s="38">
        <v>44049</v>
      </c>
      <c r="C402" s="36">
        <v>214.81</v>
      </c>
    </row>
    <row r="403" spans="2:3">
      <c r="B403" s="38">
        <v>44050</v>
      </c>
      <c r="C403" s="36">
        <v>214.66</v>
      </c>
    </row>
    <row r="404" spans="2:3">
      <c r="B404" s="38">
        <v>44053</v>
      </c>
      <c r="C404" s="36">
        <v>214.84</v>
      </c>
    </row>
    <row r="405" spans="2:3">
      <c r="B405" s="38">
        <v>44054</v>
      </c>
      <c r="C405" s="36">
        <v>213.7</v>
      </c>
    </row>
    <row r="406" spans="2:3">
      <c r="B406" s="38">
        <v>44055</v>
      </c>
      <c r="C406" s="36">
        <v>214.86</v>
      </c>
    </row>
    <row r="407" spans="2:3">
      <c r="B407" s="38">
        <v>44056</v>
      </c>
      <c r="C407" s="36">
        <v>214.44</v>
      </c>
    </row>
    <row r="408" spans="2:3">
      <c r="B408" s="38">
        <v>44057</v>
      </c>
      <c r="C408" s="36">
        <v>214.54</v>
      </c>
    </row>
    <row r="409" spans="2:3">
      <c r="B409" s="38">
        <v>44060</v>
      </c>
      <c r="C409" s="36">
        <v>215</v>
      </c>
    </row>
    <row r="410" spans="2:3">
      <c r="B410" s="38">
        <v>44061</v>
      </c>
      <c r="C410" s="36">
        <v>215.25</v>
      </c>
    </row>
    <row r="411" spans="2:3">
      <c r="B411" s="38">
        <v>44062</v>
      </c>
      <c r="C411" s="36">
        <v>214.9</v>
      </c>
    </row>
    <row r="412" spans="2:3">
      <c r="B412" s="38">
        <v>44063</v>
      </c>
      <c r="C412" s="36">
        <v>215.23</v>
      </c>
    </row>
    <row r="413" spans="2:3">
      <c r="B413" s="38">
        <v>44064</v>
      </c>
      <c r="C413" s="36">
        <v>215.52</v>
      </c>
    </row>
    <row r="414" spans="2:3">
      <c r="B414" s="38">
        <v>44067</v>
      </c>
      <c r="C414" s="36">
        <v>216.38</v>
      </c>
    </row>
    <row r="415" spans="2:3">
      <c r="B415" s="38">
        <v>44068</v>
      </c>
      <c r="C415" s="36">
        <v>216.66</v>
      </c>
    </row>
    <row r="416" spans="2:3">
      <c r="B416" s="38">
        <v>44069</v>
      </c>
      <c r="C416" s="36">
        <v>217.62</v>
      </c>
    </row>
    <row r="417" spans="2:3">
      <c r="B417" s="38">
        <v>44070</v>
      </c>
      <c r="C417" s="36">
        <v>217.66</v>
      </c>
    </row>
    <row r="418" spans="2:3">
      <c r="B418" s="38">
        <v>44071</v>
      </c>
      <c r="C418" s="36">
        <v>218.49</v>
      </c>
    </row>
    <row r="419" spans="2:3">
      <c r="B419" s="38">
        <v>44074</v>
      </c>
      <c r="C419" s="36">
        <v>218.49</v>
      </c>
    </row>
    <row r="420" spans="2:3">
      <c r="B420" s="38">
        <v>44075</v>
      </c>
      <c r="C420" s="36">
        <v>219.41</v>
      </c>
    </row>
    <row r="421" spans="2:3">
      <c r="B421" s="38">
        <v>44076</v>
      </c>
      <c r="C421" s="36">
        <v>221.26</v>
      </c>
    </row>
    <row r="422" spans="2:3">
      <c r="B422" s="38">
        <v>44077</v>
      </c>
      <c r="C422" s="36">
        <v>217.05</v>
      </c>
    </row>
    <row r="423" spans="2:3">
      <c r="B423" s="38">
        <v>44078</v>
      </c>
      <c r="C423" s="36">
        <v>215.89</v>
      </c>
    </row>
    <row r="424" spans="2:3">
      <c r="B424" s="38">
        <v>44082</v>
      </c>
      <c r="C424" s="36">
        <v>212.99</v>
      </c>
    </row>
    <row r="425" spans="2:3">
      <c r="B425" s="38">
        <v>44083</v>
      </c>
      <c r="C425" s="36">
        <v>214.98</v>
      </c>
    </row>
    <row r="426" spans="2:3">
      <c r="B426" s="38">
        <v>44084</v>
      </c>
      <c r="C426" s="36">
        <v>213.37</v>
      </c>
    </row>
    <row r="427" spans="2:3">
      <c r="B427" s="38">
        <v>44085</v>
      </c>
      <c r="C427" s="36">
        <v>213.5</v>
      </c>
    </row>
    <row r="428" spans="2:3">
      <c r="B428" s="38">
        <v>44088</v>
      </c>
      <c r="C428" s="36">
        <v>214.57</v>
      </c>
    </row>
    <row r="429" spans="2:3">
      <c r="B429" s="38">
        <v>44089</v>
      </c>
      <c r="C429" s="36">
        <v>214.91</v>
      </c>
    </row>
    <row r="430" spans="2:3">
      <c r="B430" s="38">
        <v>44090</v>
      </c>
      <c r="C430" s="36">
        <v>214.62</v>
      </c>
    </row>
    <row r="431" spans="2:3">
      <c r="B431" s="38">
        <v>44091</v>
      </c>
      <c r="C431" s="36">
        <v>213.99</v>
      </c>
    </row>
    <row r="432" spans="2:3">
      <c r="B432" s="38">
        <v>44092</v>
      </c>
      <c r="C432" s="36">
        <v>213.29</v>
      </c>
    </row>
    <row r="433" spans="2:3">
      <c r="B433" s="38">
        <v>44095</v>
      </c>
      <c r="C433" s="36">
        <v>212.56</v>
      </c>
    </row>
    <row r="434" spans="2:3">
      <c r="B434" s="38">
        <v>44096</v>
      </c>
      <c r="C434" s="36">
        <v>212.99</v>
      </c>
    </row>
    <row r="435" spans="2:3">
      <c r="B435" s="38">
        <v>44097</v>
      </c>
      <c r="C435" s="36">
        <v>211.66</v>
      </c>
    </row>
    <row r="436" spans="2:3">
      <c r="B436" s="38">
        <v>44098</v>
      </c>
      <c r="C436" s="36">
        <v>211.81</v>
      </c>
    </row>
    <row r="437" spans="2:3">
      <c r="B437" s="38">
        <v>44099</v>
      </c>
      <c r="C437" s="36">
        <v>212.36</v>
      </c>
    </row>
    <row r="438" spans="2:3">
      <c r="B438" s="38">
        <v>44102</v>
      </c>
      <c r="C438" s="36">
        <v>213.02</v>
      </c>
    </row>
    <row r="439" spans="2:3">
      <c r="B439" s="38">
        <v>44103</v>
      </c>
      <c r="C439" s="36">
        <v>212.86</v>
      </c>
    </row>
    <row r="440" spans="2:3">
      <c r="B440" s="38">
        <v>44104</v>
      </c>
      <c r="C440" s="36">
        <v>212.98</v>
      </c>
    </row>
    <row r="441" spans="2:3">
      <c r="B441" s="38">
        <v>44105</v>
      </c>
      <c r="C441" s="36">
        <v>213.11</v>
      </c>
    </row>
    <row r="442" spans="2:3">
      <c r="B442" s="38">
        <v>44106</v>
      </c>
      <c r="C442" s="36">
        <v>212.67</v>
      </c>
    </row>
    <row r="443" spans="2:3">
      <c r="B443" s="38">
        <v>44109</v>
      </c>
      <c r="C443" s="36">
        <v>212.89</v>
      </c>
    </row>
    <row r="444" spans="2:3">
      <c r="B444" s="38">
        <v>44110</v>
      </c>
      <c r="C444" s="36">
        <v>212.45</v>
      </c>
    </row>
    <row r="445" spans="2:3">
      <c r="B445" s="38">
        <v>44111</v>
      </c>
      <c r="C445" s="36">
        <v>212.91</v>
      </c>
    </row>
    <row r="446" spans="2:3">
      <c r="B446" s="38">
        <v>44112</v>
      </c>
      <c r="C446" s="36">
        <v>213.5</v>
      </c>
    </row>
    <row r="447" spans="2:3">
      <c r="B447" s="38">
        <v>44113</v>
      </c>
      <c r="C447" s="36">
        <v>213.86</v>
      </c>
    </row>
    <row r="448" spans="2:3">
      <c r="B448" s="38">
        <v>44117</v>
      </c>
      <c r="C448" s="36">
        <v>214.51</v>
      </c>
    </row>
    <row r="449" spans="2:3">
      <c r="B449" s="38">
        <v>44118</v>
      </c>
      <c r="C449" s="36">
        <v>214.17</v>
      </c>
    </row>
    <row r="450" spans="2:3">
      <c r="B450" s="38">
        <v>44119</v>
      </c>
      <c r="C450" s="36">
        <v>214.01</v>
      </c>
    </row>
    <row r="451" spans="2:3">
      <c r="B451" s="38">
        <v>44120</v>
      </c>
      <c r="C451" s="36">
        <v>214.06</v>
      </c>
    </row>
    <row r="452" spans="2:3">
      <c r="B452" s="38">
        <v>44123</v>
      </c>
      <c r="C452" s="36">
        <v>213.11</v>
      </c>
    </row>
    <row r="453" spans="2:3">
      <c r="B453" s="38">
        <v>44124</v>
      </c>
      <c r="C453" s="36">
        <v>213.32</v>
      </c>
    </row>
    <row r="454" spans="2:3">
      <c r="B454" s="38">
        <v>44125</v>
      </c>
      <c r="C454" s="36">
        <v>213.19</v>
      </c>
    </row>
    <row r="455" spans="2:3">
      <c r="B455" s="38">
        <v>44126</v>
      </c>
      <c r="C455" s="36">
        <v>213.33</v>
      </c>
    </row>
    <row r="456" spans="2:3">
      <c r="B456" s="38">
        <v>44127</v>
      </c>
      <c r="C456" s="36">
        <v>213.51</v>
      </c>
    </row>
    <row r="457" spans="2:3">
      <c r="B457" s="38">
        <v>44130</v>
      </c>
      <c r="C457" s="36">
        <v>212.6</v>
      </c>
    </row>
    <row r="458" spans="2:3">
      <c r="B458" s="38">
        <v>44131</v>
      </c>
      <c r="C458" s="36">
        <v>212.39</v>
      </c>
    </row>
    <row r="459" spans="2:3">
      <c r="B459" s="38">
        <v>44132</v>
      </c>
      <c r="C459" s="36">
        <v>210.44</v>
      </c>
    </row>
    <row r="460" spans="2:3">
      <c r="B460" s="38">
        <v>44133</v>
      </c>
      <c r="C460" s="36">
        <v>211.13</v>
      </c>
    </row>
    <row r="461" spans="2:3">
      <c r="B461" s="38">
        <v>44134</v>
      </c>
      <c r="C461" s="36">
        <v>210.5</v>
      </c>
    </row>
    <row r="462" spans="2:3">
      <c r="B462" s="38">
        <v>44137</v>
      </c>
      <c r="C462" s="36">
        <v>211.04</v>
      </c>
    </row>
    <row r="463" spans="2:3">
      <c r="B463" s="38">
        <v>44138</v>
      </c>
      <c r="C463" s="36">
        <v>211.99</v>
      </c>
    </row>
    <row r="464" spans="2:3">
      <c r="B464" s="38">
        <v>44139</v>
      </c>
      <c r="C464" s="36">
        <v>212.6</v>
      </c>
    </row>
    <row r="465" spans="2:3">
      <c r="B465" s="38">
        <v>44140</v>
      </c>
      <c r="C465" s="36">
        <v>213.49</v>
      </c>
    </row>
    <row r="466" spans="2:3">
      <c r="B466" s="38">
        <v>44141</v>
      </c>
      <c r="C466" s="36">
        <v>213.67</v>
      </c>
    </row>
    <row r="467" spans="2:3">
      <c r="B467" s="38">
        <v>44144</v>
      </c>
      <c r="C467" s="36">
        <v>214.7</v>
      </c>
    </row>
    <row r="468" spans="2:3">
      <c r="B468" s="38">
        <v>44145</v>
      </c>
      <c r="C468" s="36">
        <v>214.64</v>
      </c>
    </row>
    <row r="469" spans="2:3">
      <c r="B469" s="38">
        <v>44147</v>
      </c>
      <c r="C469" s="36">
        <v>214.01</v>
      </c>
    </row>
    <row r="470" spans="2:3">
      <c r="B470" s="38">
        <v>44148</v>
      </c>
      <c r="C470" s="36">
        <v>214.6</v>
      </c>
    </row>
    <row r="471" spans="2:3">
      <c r="B471" s="38">
        <v>44151</v>
      </c>
      <c r="C471" s="36">
        <v>215.1</v>
      </c>
    </row>
    <row r="472" spans="2:3">
      <c r="B472" s="38">
        <v>44152</v>
      </c>
      <c r="C472" s="36">
        <v>214.82</v>
      </c>
    </row>
    <row r="473" spans="2:3">
      <c r="B473" s="38">
        <v>44153</v>
      </c>
      <c r="C473" s="36">
        <v>214.5</v>
      </c>
    </row>
    <row r="474" spans="2:3">
      <c r="B474" s="38">
        <v>44154</v>
      </c>
      <c r="C474" s="36">
        <v>214.54</v>
      </c>
    </row>
    <row r="475" spans="2:3">
      <c r="B475" s="38">
        <v>44155</v>
      </c>
      <c r="C475" s="36">
        <v>214.02</v>
      </c>
    </row>
    <row r="476" spans="2:3">
      <c r="B476" s="38">
        <v>44158</v>
      </c>
      <c r="C476" s="36">
        <v>214.46</v>
      </c>
    </row>
    <row r="477" spans="2:3">
      <c r="B477" s="38">
        <v>44159</v>
      </c>
      <c r="C477" s="36">
        <v>215.12</v>
      </c>
    </row>
    <row r="478" spans="2:3">
      <c r="B478" s="38">
        <v>44160</v>
      </c>
      <c r="C478" s="36">
        <v>215.02</v>
      </c>
    </row>
    <row r="479" spans="2:3">
      <c r="B479" s="38">
        <v>44162</v>
      </c>
      <c r="C479" s="36">
        <v>215.03</v>
      </c>
    </row>
    <row r="480" spans="2:3">
      <c r="B480" s="38">
        <v>44165</v>
      </c>
      <c r="C480" s="36">
        <v>214.98</v>
      </c>
    </row>
    <row r="481" spans="2:3">
      <c r="B481" s="38">
        <v>44166</v>
      </c>
      <c r="C481" s="36">
        <v>215.77</v>
      </c>
    </row>
    <row r="482" spans="2:3">
      <c r="B482" s="38">
        <v>44167</v>
      </c>
      <c r="C482" s="36">
        <v>215.8</v>
      </c>
    </row>
    <row r="483" spans="2:3">
      <c r="B483" s="38">
        <v>44168</v>
      </c>
      <c r="C483" s="36">
        <v>215.68</v>
      </c>
    </row>
    <row r="484" spans="2:3">
      <c r="B484" s="38">
        <v>44169</v>
      </c>
      <c r="C484" s="36">
        <v>216.21</v>
      </c>
    </row>
    <row r="485" spans="2:3">
      <c r="B485" s="38">
        <v>44172</v>
      </c>
      <c r="C485" s="36">
        <v>215.9</v>
      </c>
    </row>
    <row r="486" spans="2:3">
      <c r="B486" s="38">
        <v>44173</v>
      </c>
      <c r="C486" s="36">
        <v>216.03</v>
      </c>
    </row>
    <row r="487" spans="2:3">
      <c r="B487" s="38">
        <v>44174</v>
      </c>
      <c r="C487" s="36">
        <v>215.65</v>
      </c>
    </row>
    <row r="488" spans="2:3">
      <c r="B488" s="38">
        <v>44175</v>
      </c>
      <c r="C488" s="36">
        <v>215.4</v>
      </c>
    </row>
    <row r="489" spans="2:3">
      <c r="B489" s="38">
        <v>44176</v>
      </c>
      <c r="C489" s="36">
        <v>215.14</v>
      </c>
    </row>
    <row r="490" spans="2:3">
      <c r="B490" s="38">
        <v>44179</v>
      </c>
      <c r="C490" s="36">
        <v>214.95</v>
      </c>
    </row>
    <row r="491" spans="2:3">
      <c r="B491" s="38">
        <v>44180</v>
      </c>
      <c r="C491" s="36">
        <v>215.91</v>
      </c>
    </row>
    <row r="492" spans="2:3">
      <c r="B492" s="38">
        <v>44181</v>
      </c>
      <c r="C492" s="36">
        <v>216.05</v>
      </c>
    </row>
    <row r="493" spans="2:3">
      <c r="B493" s="38">
        <v>44182</v>
      </c>
      <c r="C493" s="36">
        <v>216.46</v>
      </c>
    </row>
    <row r="494" spans="2:3">
      <c r="B494" s="38">
        <v>44183</v>
      </c>
      <c r="C494" s="36">
        <v>216.27</v>
      </c>
    </row>
    <row r="495" spans="2:3">
      <c r="B495" s="38">
        <v>44186</v>
      </c>
      <c r="C495" s="36">
        <v>215.77</v>
      </c>
    </row>
    <row r="496" spans="2:3">
      <c r="B496" s="38">
        <v>44187</v>
      </c>
      <c r="C496" s="36">
        <v>215.51</v>
      </c>
    </row>
    <row r="497" spans="2:3">
      <c r="B497" s="38">
        <v>44188</v>
      </c>
      <c r="C497" s="36">
        <v>215.71</v>
      </c>
    </row>
    <row r="498" spans="2:3">
      <c r="B498" s="38">
        <v>44189</v>
      </c>
      <c r="C498" s="36">
        <v>216.05</v>
      </c>
    </row>
    <row r="499" spans="2:3">
      <c r="B499" s="38">
        <v>44193</v>
      </c>
      <c r="C499" s="36">
        <v>217.03</v>
      </c>
    </row>
    <row r="500" spans="2:3">
      <c r="B500" s="38">
        <v>44194</v>
      </c>
      <c r="C500" s="36">
        <v>216.79</v>
      </c>
    </row>
    <row r="501" spans="2:3">
      <c r="B501" s="38">
        <v>44195</v>
      </c>
      <c r="C501" s="36">
        <v>216.95</v>
      </c>
    </row>
    <row r="502" spans="2:3" ht="15" thickBot="1">
      <c r="B502" s="38">
        <v>44196</v>
      </c>
      <c r="C502" s="37">
        <v>217.85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C4626-4F3B-4069-A91F-4ECE12497A3C}">
  <sheetPr codeName="Sheet18"/>
  <dimension ref="B1:P4158"/>
  <sheetViews>
    <sheetView workbookViewId="0">
      <selection activeCell="N1" sqref="N1:P1048576"/>
    </sheetView>
  </sheetViews>
  <sheetFormatPr defaultColWidth="8.69140625" defaultRowHeight="14.6"/>
  <cols>
    <col min="2" max="2" width="10.69140625" bestFit="1" customWidth="1"/>
    <col min="5" max="5" width="12" bestFit="1" customWidth="1"/>
    <col min="6" max="6" width="6.69140625" bestFit="1" customWidth="1"/>
    <col min="7" max="7" width="10.69140625" bestFit="1" customWidth="1"/>
    <col min="8" max="8" width="8" customWidth="1"/>
    <col min="9" max="9" width="12.3046875" bestFit="1" customWidth="1"/>
    <col min="10" max="10" width="10.3046875" bestFit="1" customWidth="1"/>
    <col min="11" max="11" width="9.3046875" style="33"/>
    <col min="12" max="12" width="7.69140625" style="33" bestFit="1" customWidth="1"/>
  </cols>
  <sheetData>
    <row r="1" spans="2:16">
      <c r="B1" t="s">
        <v>103</v>
      </c>
      <c r="C1" t="s">
        <v>1218</v>
      </c>
      <c r="E1" t="s">
        <v>105</v>
      </c>
      <c r="F1" t="s">
        <v>102</v>
      </c>
      <c r="G1" t="s">
        <v>103</v>
      </c>
      <c r="H1" t="s">
        <v>104</v>
      </c>
      <c r="I1" s="33"/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2:16">
      <c r="B2" s="30">
        <v>38139</v>
      </c>
      <c r="C2">
        <v>100</v>
      </c>
      <c r="E2">
        <v>10</v>
      </c>
      <c r="F2" s="43"/>
      <c r="G2" s="30">
        <f t="shared" ref="G2:G10" si="0">DATE(YEAR(G3)-1,MONTH(G3),DAY(G3))</f>
        <v>40563</v>
      </c>
      <c r="H2">
        <f>VLOOKUP(G2,B:C,2,TRUE)</f>
        <v>133.02189999999999</v>
      </c>
      <c r="I2" s="30"/>
      <c r="J2">
        <v>1</v>
      </c>
      <c r="K2" s="33">
        <f>H2</f>
        <v>133.02189999999999</v>
      </c>
      <c r="L2" s="58">
        <f>(K3-K2)/K2</f>
        <v>5.9633789624114593E-2</v>
      </c>
      <c r="N2">
        <v>1</v>
      </c>
      <c r="O2">
        <f>K2</f>
        <v>133.02189999999999</v>
      </c>
      <c r="P2">
        <f>0</f>
        <v>0</v>
      </c>
    </row>
    <row r="3" spans="2:16">
      <c r="B3" s="30">
        <v>38140</v>
      </c>
      <c r="C3">
        <v>99.9435</v>
      </c>
      <c r="E3">
        <v>9</v>
      </c>
      <c r="F3" s="43"/>
      <c r="G3" s="30">
        <f t="shared" si="0"/>
        <v>40928</v>
      </c>
      <c r="H3">
        <f t="shared" ref="H3:H12" si="1">VLOOKUP(G3,B:C,2,TRUE)</f>
        <v>140.9545</v>
      </c>
      <c r="I3" s="30"/>
      <c r="J3">
        <v>2</v>
      </c>
      <c r="K3" s="33">
        <f t="shared" ref="K3:K12" si="2">H3</f>
        <v>140.9545</v>
      </c>
      <c r="L3" s="58">
        <f t="shared" ref="L3:L66" si="3">(K4-K3)/K3</f>
        <v>7.3492509994359967E-2</v>
      </c>
      <c r="N3">
        <v>2</v>
      </c>
      <c r="O3">
        <f t="shared" ref="O3:O66" si="4">K3</f>
        <v>140.9545</v>
      </c>
      <c r="P3">
        <f>(O4-O2)/O2</f>
        <v>0.13750893649842635</v>
      </c>
    </row>
    <row r="4" spans="2:16">
      <c r="B4" s="30">
        <v>38141</v>
      </c>
      <c r="C4">
        <v>99.802899999999994</v>
      </c>
      <c r="E4">
        <v>8</v>
      </c>
      <c r="F4" s="43"/>
      <c r="G4" s="30">
        <f t="shared" si="0"/>
        <v>41294</v>
      </c>
      <c r="H4">
        <f t="shared" si="1"/>
        <v>151.31360000000001</v>
      </c>
      <c r="I4" s="30"/>
      <c r="J4">
        <v>3</v>
      </c>
      <c r="K4" s="33">
        <f t="shared" si="2"/>
        <v>151.31360000000001</v>
      </c>
      <c r="L4" s="58">
        <f t="shared" si="3"/>
        <v>6.8652784680292983E-2</v>
      </c>
      <c r="N4">
        <v>3</v>
      </c>
      <c r="O4">
        <f t="shared" si="4"/>
        <v>151.31360000000001</v>
      </c>
      <c r="P4">
        <f>0</f>
        <v>0</v>
      </c>
    </row>
    <row r="5" spans="2:16">
      <c r="B5" s="30">
        <v>38142</v>
      </c>
      <c r="C5">
        <v>99.738299999999995</v>
      </c>
      <c r="E5">
        <v>7</v>
      </c>
      <c r="F5" s="43"/>
      <c r="G5" s="30">
        <f t="shared" si="0"/>
        <v>41659</v>
      </c>
      <c r="H5">
        <f t="shared" si="1"/>
        <v>161.70169999999999</v>
      </c>
      <c r="I5" s="30"/>
      <c r="J5">
        <v>4</v>
      </c>
      <c r="K5" s="33">
        <f t="shared" si="2"/>
        <v>161.70169999999999</v>
      </c>
      <c r="L5" s="58">
        <f t="shared" si="3"/>
        <v>7.1704873851048082E-2</v>
      </c>
      <c r="N5">
        <v>4</v>
      </c>
      <c r="O5">
        <f t="shared" si="4"/>
        <v>161.70169999999999</v>
      </c>
      <c r="P5">
        <f>(O6-O4)/O4</f>
        <v>0.14528039779636465</v>
      </c>
    </row>
    <row r="6" spans="2:16">
      <c r="B6" s="30">
        <v>38145</v>
      </c>
      <c r="C6">
        <v>100.1926</v>
      </c>
      <c r="E6">
        <v>6</v>
      </c>
      <c r="F6" s="43"/>
      <c r="G6" s="30">
        <f t="shared" si="0"/>
        <v>42024</v>
      </c>
      <c r="H6">
        <f t="shared" si="1"/>
        <v>173.29650000000001</v>
      </c>
      <c r="I6" s="30"/>
      <c r="J6">
        <v>5</v>
      </c>
      <c r="K6" s="33">
        <f t="shared" si="2"/>
        <v>173.29650000000001</v>
      </c>
      <c r="L6" s="58">
        <f t="shared" si="3"/>
        <v>-3.1721933218501211E-2</v>
      </c>
      <c r="N6">
        <v>5</v>
      </c>
      <c r="O6">
        <f t="shared" si="4"/>
        <v>173.29650000000001</v>
      </c>
      <c r="P6">
        <f>0</f>
        <v>0</v>
      </c>
    </row>
    <row r="7" spans="2:16">
      <c r="B7" s="30">
        <v>38146</v>
      </c>
      <c r="C7">
        <v>100.2351</v>
      </c>
      <c r="E7">
        <v>5</v>
      </c>
      <c r="F7" s="43"/>
      <c r="G7" s="30">
        <f t="shared" si="0"/>
        <v>42389</v>
      </c>
      <c r="H7">
        <f t="shared" si="1"/>
        <v>167.79920000000001</v>
      </c>
      <c r="J7">
        <v>6</v>
      </c>
      <c r="K7" s="33">
        <f t="shared" si="2"/>
        <v>167.79920000000001</v>
      </c>
      <c r="L7" s="58">
        <f t="shared" si="3"/>
        <v>7.194968748361126E-2</v>
      </c>
      <c r="N7">
        <v>6</v>
      </c>
      <c r="O7">
        <f t="shared" si="4"/>
        <v>167.79920000000001</v>
      </c>
      <c r="P7">
        <f t="shared" ref="P7" si="5">(O8-O6)/O6</f>
        <v>3.7945371083662895E-2</v>
      </c>
    </row>
    <row r="8" spans="2:16">
      <c r="B8" s="30">
        <v>38147</v>
      </c>
      <c r="C8">
        <v>99.863100000000003</v>
      </c>
      <c r="E8">
        <v>4</v>
      </c>
      <c r="F8" s="43"/>
      <c r="G8" s="30">
        <f t="shared" si="0"/>
        <v>42755</v>
      </c>
      <c r="H8">
        <f t="shared" si="1"/>
        <v>179.8723</v>
      </c>
      <c r="J8">
        <v>7</v>
      </c>
      <c r="K8" s="33">
        <f t="shared" si="2"/>
        <v>179.8723</v>
      </c>
      <c r="L8" s="58">
        <f t="shared" si="3"/>
        <v>0.17857724619076987</v>
      </c>
      <c r="N8">
        <v>7</v>
      </c>
      <c r="O8">
        <f t="shared" si="4"/>
        <v>179.8723</v>
      </c>
      <c r="P8">
        <f>0</f>
        <v>0</v>
      </c>
    </row>
    <row r="9" spans="2:16">
      <c r="B9" s="30">
        <v>38148</v>
      </c>
      <c r="C9">
        <v>100.0284</v>
      </c>
      <c r="E9">
        <v>3</v>
      </c>
      <c r="F9" s="43"/>
      <c r="G9" s="30">
        <f t="shared" si="0"/>
        <v>43120</v>
      </c>
      <c r="H9">
        <f t="shared" si="1"/>
        <v>211.99340000000001</v>
      </c>
      <c r="J9">
        <v>8</v>
      </c>
      <c r="K9" s="33">
        <f t="shared" si="2"/>
        <v>211.99340000000001</v>
      </c>
      <c r="L9" s="58">
        <f t="shared" si="3"/>
        <v>-3.0647180525431517E-2</v>
      </c>
      <c r="N9">
        <v>8</v>
      </c>
      <c r="O9">
        <f t="shared" si="4"/>
        <v>211.99340000000001</v>
      </c>
      <c r="P9">
        <f t="shared" ref="P9" si="6">(O10-O8)/O8</f>
        <v>0.14245717656359538</v>
      </c>
    </row>
    <row r="10" spans="2:16">
      <c r="B10" s="30">
        <v>38152</v>
      </c>
      <c r="C10">
        <v>99.477199999999996</v>
      </c>
      <c r="E10">
        <v>2</v>
      </c>
      <c r="F10" s="43"/>
      <c r="G10" s="30">
        <f t="shared" si="0"/>
        <v>43485</v>
      </c>
      <c r="H10">
        <f t="shared" si="1"/>
        <v>205.49639999999999</v>
      </c>
      <c r="J10">
        <v>9</v>
      </c>
      <c r="K10" s="33">
        <f t="shared" si="2"/>
        <v>205.49639999999999</v>
      </c>
      <c r="L10" s="58">
        <f t="shared" si="3"/>
        <v>0.1408233915533314</v>
      </c>
      <c r="N10">
        <v>9</v>
      </c>
      <c r="O10">
        <f t="shared" si="4"/>
        <v>205.49639999999999</v>
      </c>
      <c r="P10">
        <f>0</f>
        <v>0</v>
      </c>
    </row>
    <row r="11" spans="2:16">
      <c r="B11" s="30">
        <v>38153</v>
      </c>
      <c r="C11">
        <v>100.33580000000001</v>
      </c>
      <c r="E11">
        <v>1</v>
      </c>
      <c r="F11" s="43"/>
      <c r="G11" s="30">
        <f>DATE(YEAR(G12)-1,MONTH(G12),DAY(G12))</f>
        <v>43850</v>
      </c>
      <c r="H11">
        <f t="shared" si="1"/>
        <v>234.43510000000001</v>
      </c>
      <c r="J11">
        <v>10</v>
      </c>
      <c r="K11" s="33">
        <f t="shared" si="2"/>
        <v>234.43510000000001</v>
      </c>
      <c r="L11" s="58">
        <f t="shared" si="3"/>
        <v>2.7254877789204764E-2</v>
      </c>
      <c r="N11">
        <v>10</v>
      </c>
      <c r="O11">
        <f t="shared" si="4"/>
        <v>234.43510000000001</v>
      </c>
      <c r="P11">
        <f t="shared" ref="P11" si="7">(O12-O10)/O10</f>
        <v>0.17191639366918354</v>
      </c>
    </row>
    <row r="12" spans="2:16">
      <c r="B12" s="30">
        <v>38154</v>
      </c>
      <c r="C12">
        <v>100.15949999999999</v>
      </c>
      <c r="E12">
        <v>0</v>
      </c>
      <c r="F12" s="43"/>
      <c r="G12" s="30">
        <f>MAX(B:B)</f>
        <v>44216</v>
      </c>
      <c r="H12">
        <f t="shared" si="1"/>
        <v>240.8246</v>
      </c>
      <c r="J12">
        <v>11</v>
      </c>
      <c r="K12" s="33">
        <f t="shared" si="2"/>
        <v>240.8246</v>
      </c>
      <c r="L12" s="58">
        <f t="shared" si="3"/>
        <v>-0.4476399005749413</v>
      </c>
      <c r="N12">
        <v>11</v>
      </c>
      <c r="O12">
        <f t="shared" si="4"/>
        <v>240.8246</v>
      </c>
      <c r="P12">
        <f>0</f>
        <v>0</v>
      </c>
    </row>
    <row r="13" spans="2:16">
      <c r="B13" s="30">
        <v>38155</v>
      </c>
      <c r="C13">
        <v>100.2957</v>
      </c>
      <c r="F13" s="43"/>
      <c r="G13" s="30"/>
      <c r="J13">
        <v>12</v>
      </c>
      <c r="K13" s="33">
        <f>K2</f>
        <v>133.02189999999999</v>
      </c>
      <c r="L13" s="58">
        <f t="shared" si="3"/>
        <v>5.9633789624114593E-2</v>
      </c>
      <c r="N13">
        <v>12</v>
      </c>
      <c r="O13">
        <f t="shared" si="4"/>
        <v>133.02189999999999</v>
      </c>
      <c r="P13">
        <f t="shared" ref="P13" si="8">(O14-O12)/O12</f>
        <v>-0.41470057460907234</v>
      </c>
    </row>
    <row r="14" spans="2:16">
      <c r="B14" s="30">
        <v>38156</v>
      </c>
      <c r="C14">
        <v>100.28919999999999</v>
      </c>
      <c r="F14" s="43"/>
      <c r="G14" s="30"/>
      <c r="J14">
        <v>13</v>
      </c>
      <c r="K14" s="33">
        <f t="shared" ref="K14:K77" si="9">K3</f>
        <v>140.9545</v>
      </c>
      <c r="L14" s="58">
        <f t="shared" si="3"/>
        <v>7.3492509994359967E-2</v>
      </c>
      <c r="N14">
        <v>13</v>
      </c>
      <c r="O14">
        <f t="shared" si="4"/>
        <v>140.9545</v>
      </c>
      <c r="P14">
        <f>0</f>
        <v>0</v>
      </c>
    </row>
    <row r="15" spans="2:16">
      <c r="B15" s="30">
        <v>38159</v>
      </c>
      <c r="C15">
        <v>100.3407</v>
      </c>
      <c r="J15">
        <v>14</v>
      </c>
      <c r="K15" s="33">
        <f t="shared" si="9"/>
        <v>151.31360000000001</v>
      </c>
      <c r="L15" s="58">
        <f t="shared" si="3"/>
        <v>6.8652784680292983E-2</v>
      </c>
      <c r="N15">
        <v>14</v>
      </c>
      <c r="O15">
        <f t="shared" si="4"/>
        <v>151.31360000000001</v>
      </c>
      <c r="P15">
        <f t="shared" ref="P15" si="10">(O16-O14)/O14</f>
        <v>0.14719076013891003</v>
      </c>
    </row>
    <row r="16" spans="2:16">
      <c r="B16" s="30">
        <v>38160</v>
      </c>
      <c r="C16">
        <v>100.3869</v>
      </c>
      <c r="J16">
        <v>15</v>
      </c>
      <c r="K16" s="33">
        <f t="shared" si="9"/>
        <v>161.70169999999999</v>
      </c>
      <c r="L16" s="58">
        <f t="shared" si="3"/>
        <v>7.1704873851048082E-2</v>
      </c>
      <c r="N16">
        <v>15</v>
      </c>
      <c r="O16">
        <f t="shared" si="4"/>
        <v>161.70169999999999</v>
      </c>
      <c r="P16">
        <f>0</f>
        <v>0</v>
      </c>
    </row>
    <row r="17" spans="2:16">
      <c r="B17" s="30">
        <v>38161</v>
      </c>
      <c r="C17">
        <v>100.5881</v>
      </c>
      <c r="J17">
        <v>16</v>
      </c>
      <c r="K17" s="33">
        <f t="shared" si="9"/>
        <v>173.29650000000001</v>
      </c>
      <c r="L17" s="58">
        <f t="shared" si="3"/>
        <v>-3.1721933218501211E-2</v>
      </c>
      <c r="N17">
        <v>16</v>
      </c>
      <c r="O17">
        <f t="shared" si="4"/>
        <v>173.29650000000001</v>
      </c>
      <c r="P17">
        <f t="shared" ref="P17" si="11">(O18-O16)/O16</f>
        <v>3.770832341280287E-2</v>
      </c>
    </row>
    <row r="18" spans="2:16">
      <c r="B18" s="30">
        <v>38162</v>
      </c>
      <c r="C18">
        <v>100.7529</v>
      </c>
      <c r="J18">
        <v>17</v>
      </c>
      <c r="K18" s="33">
        <f t="shared" si="9"/>
        <v>167.79920000000001</v>
      </c>
      <c r="L18" s="58">
        <f t="shared" si="3"/>
        <v>7.194968748361126E-2</v>
      </c>
      <c r="N18">
        <v>17</v>
      </c>
      <c r="O18">
        <f t="shared" si="4"/>
        <v>167.79920000000001</v>
      </c>
      <c r="P18">
        <f>0</f>
        <v>0</v>
      </c>
    </row>
    <row r="19" spans="2:16">
      <c r="B19" s="30">
        <v>38163</v>
      </c>
      <c r="C19">
        <v>100.66719999999999</v>
      </c>
      <c r="J19">
        <v>18</v>
      </c>
      <c r="K19" s="33">
        <f t="shared" si="9"/>
        <v>179.8723</v>
      </c>
      <c r="L19" s="58">
        <f t="shared" si="3"/>
        <v>0.17857724619076987</v>
      </c>
      <c r="N19">
        <v>18</v>
      </c>
      <c r="O19">
        <f t="shared" si="4"/>
        <v>179.8723</v>
      </c>
      <c r="P19">
        <f t="shared" ref="P19" si="12">(O20-O18)/O18</f>
        <v>0.26337551072949089</v>
      </c>
    </row>
    <row r="20" spans="2:16">
      <c r="B20" s="30">
        <v>38166</v>
      </c>
      <c r="C20">
        <v>100.2261</v>
      </c>
      <c r="J20">
        <v>19</v>
      </c>
      <c r="K20" s="33">
        <f t="shared" si="9"/>
        <v>211.99340000000001</v>
      </c>
      <c r="L20" s="58">
        <f t="shared" si="3"/>
        <v>-3.0647180525431517E-2</v>
      </c>
      <c r="N20">
        <v>19</v>
      </c>
      <c r="O20">
        <f t="shared" si="4"/>
        <v>211.99340000000001</v>
      </c>
      <c r="P20">
        <f>0</f>
        <v>0</v>
      </c>
    </row>
    <row r="21" spans="2:16">
      <c r="B21" s="30">
        <v>38167</v>
      </c>
      <c r="C21">
        <v>100.46080000000001</v>
      </c>
      <c r="J21">
        <v>20</v>
      </c>
      <c r="K21" s="33">
        <f t="shared" si="9"/>
        <v>205.49639999999999</v>
      </c>
      <c r="L21" s="58">
        <f t="shared" si="3"/>
        <v>0.1408233915533314</v>
      </c>
      <c r="N21">
        <v>20</v>
      </c>
      <c r="O21">
        <f t="shared" si="4"/>
        <v>205.49639999999999</v>
      </c>
      <c r="P21">
        <f t="shared" ref="P21" si="13">(O22-O20)/O20</f>
        <v>0.10586037112476142</v>
      </c>
    </row>
    <row r="22" spans="2:16">
      <c r="B22" s="30">
        <v>38168</v>
      </c>
      <c r="C22">
        <v>100.91030000000001</v>
      </c>
      <c r="J22">
        <v>21</v>
      </c>
      <c r="K22" s="33">
        <f t="shared" si="9"/>
        <v>234.43510000000001</v>
      </c>
      <c r="L22" s="58">
        <f t="shared" si="3"/>
        <v>2.7254877789204764E-2</v>
      </c>
      <c r="N22">
        <v>21</v>
      </c>
      <c r="O22">
        <f t="shared" si="4"/>
        <v>234.43510000000001</v>
      </c>
      <c r="P22">
        <f>0</f>
        <v>0</v>
      </c>
    </row>
    <row r="23" spans="2:16">
      <c r="B23" s="30">
        <v>38169</v>
      </c>
      <c r="C23">
        <v>100.84739999999999</v>
      </c>
      <c r="J23">
        <v>22</v>
      </c>
      <c r="K23" s="33">
        <f t="shared" si="9"/>
        <v>240.8246</v>
      </c>
      <c r="L23" s="58">
        <f t="shared" si="3"/>
        <v>-0.4476399005749413</v>
      </c>
      <c r="N23">
        <v>22</v>
      </c>
      <c r="O23">
        <f t="shared" si="4"/>
        <v>240.8246</v>
      </c>
      <c r="P23">
        <f t="shared" ref="P23" si="14">(O24-O22)/O22</f>
        <v>-0.43258539356947834</v>
      </c>
    </row>
    <row r="24" spans="2:16">
      <c r="B24" s="30">
        <v>38170</v>
      </c>
      <c r="C24">
        <v>101.25579999999999</v>
      </c>
      <c r="J24">
        <v>23</v>
      </c>
      <c r="K24" s="33">
        <f t="shared" si="9"/>
        <v>133.02189999999999</v>
      </c>
      <c r="L24" s="58">
        <f t="shared" si="3"/>
        <v>5.9633789624114593E-2</v>
      </c>
      <c r="N24">
        <v>23</v>
      </c>
      <c r="O24">
        <f t="shared" si="4"/>
        <v>133.02189999999999</v>
      </c>
      <c r="P24">
        <f>0</f>
        <v>0</v>
      </c>
    </row>
    <row r="25" spans="2:16">
      <c r="B25" s="30">
        <v>38174</v>
      </c>
      <c r="C25">
        <v>101.01900000000001</v>
      </c>
      <c r="J25">
        <v>24</v>
      </c>
      <c r="K25" s="33">
        <f t="shared" si="9"/>
        <v>140.9545</v>
      </c>
      <c r="L25" s="58">
        <f t="shared" si="3"/>
        <v>7.3492509994359967E-2</v>
      </c>
      <c r="N25">
        <v>24</v>
      </c>
      <c r="O25">
        <f t="shared" si="4"/>
        <v>140.9545</v>
      </c>
      <c r="P25">
        <f t="shared" ref="P25" si="15">(O26-O24)/O24</f>
        <v>0.13750893649842635</v>
      </c>
    </row>
    <row r="26" spans="2:16">
      <c r="B26" s="30">
        <v>38175</v>
      </c>
      <c r="C26">
        <v>101.07559999999999</v>
      </c>
      <c r="J26">
        <v>25</v>
      </c>
      <c r="K26" s="33">
        <f t="shared" si="9"/>
        <v>151.31360000000001</v>
      </c>
      <c r="L26" s="58">
        <f t="shared" si="3"/>
        <v>6.8652784680292983E-2</v>
      </c>
      <c r="N26">
        <v>25</v>
      </c>
      <c r="O26">
        <f t="shared" si="4"/>
        <v>151.31360000000001</v>
      </c>
      <c r="P26">
        <f>0</f>
        <v>0</v>
      </c>
    </row>
    <row r="27" spans="2:16">
      <c r="B27" s="30">
        <v>38176</v>
      </c>
      <c r="C27">
        <v>101.00790000000001</v>
      </c>
      <c r="J27">
        <v>26</v>
      </c>
      <c r="K27" s="33">
        <f t="shared" si="9"/>
        <v>161.70169999999999</v>
      </c>
      <c r="L27" s="58">
        <f t="shared" si="3"/>
        <v>7.1704873851048082E-2</v>
      </c>
      <c r="N27">
        <v>26</v>
      </c>
      <c r="O27">
        <f t="shared" si="4"/>
        <v>161.70169999999999</v>
      </c>
      <c r="P27">
        <f t="shared" ref="P27" si="16">(O28-O26)/O26</f>
        <v>0.14528039779636465</v>
      </c>
    </row>
    <row r="28" spans="2:16">
      <c r="B28" s="30">
        <v>38177</v>
      </c>
      <c r="C28">
        <v>101.0819</v>
      </c>
      <c r="J28">
        <v>27</v>
      </c>
      <c r="K28" s="33">
        <f t="shared" si="9"/>
        <v>173.29650000000001</v>
      </c>
      <c r="L28" s="58">
        <f t="shared" si="3"/>
        <v>-3.1721933218501211E-2</v>
      </c>
      <c r="N28">
        <v>27</v>
      </c>
      <c r="O28">
        <f t="shared" si="4"/>
        <v>173.29650000000001</v>
      </c>
      <c r="P28">
        <f>0</f>
        <v>0</v>
      </c>
    </row>
    <row r="29" spans="2:16">
      <c r="B29" s="30">
        <v>38180</v>
      </c>
      <c r="C29">
        <v>101.1544</v>
      </c>
      <c r="J29">
        <v>28</v>
      </c>
      <c r="K29" s="33">
        <f t="shared" si="9"/>
        <v>167.79920000000001</v>
      </c>
      <c r="L29" s="58">
        <f t="shared" si="3"/>
        <v>7.194968748361126E-2</v>
      </c>
      <c r="N29">
        <v>28</v>
      </c>
      <c r="O29">
        <f t="shared" si="4"/>
        <v>167.79920000000001</v>
      </c>
      <c r="P29">
        <f t="shared" ref="P29" si="17">(O30-O28)/O28</f>
        <v>3.7945371083662895E-2</v>
      </c>
    </row>
    <row r="30" spans="2:16">
      <c r="B30" s="30">
        <v>38181</v>
      </c>
      <c r="C30">
        <v>101.0517</v>
      </c>
      <c r="J30">
        <v>29</v>
      </c>
      <c r="K30" s="33">
        <f t="shared" si="9"/>
        <v>179.8723</v>
      </c>
      <c r="L30" s="58">
        <f t="shared" si="3"/>
        <v>0.17857724619076987</v>
      </c>
      <c r="N30">
        <v>29</v>
      </c>
      <c r="O30">
        <f t="shared" si="4"/>
        <v>179.8723</v>
      </c>
      <c r="P30">
        <f>0</f>
        <v>0</v>
      </c>
    </row>
    <row r="31" spans="2:16">
      <c r="B31" s="30">
        <v>38182</v>
      </c>
      <c r="C31">
        <v>100.949</v>
      </c>
      <c r="J31">
        <v>30</v>
      </c>
      <c r="K31" s="33">
        <f t="shared" si="9"/>
        <v>211.99340000000001</v>
      </c>
      <c r="L31" s="58">
        <f t="shared" si="3"/>
        <v>-3.0647180525431517E-2</v>
      </c>
      <c r="N31">
        <v>30</v>
      </c>
      <c r="O31">
        <f t="shared" si="4"/>
        <v>211.99340000000001</v>
      </c>
      <c r="P31">
        <f t="shared" ref="P31" si="18">(O32-O30)/O30</f>
        <v>0.14245717656359538</v>
      </c>
    </row>
    <row r="32" spans="2:16">
      <c r="B32" s="30">
        <v>38183</v>
      </c>
      <c r="C32">
        <v>100.7189</v>
      </c>
      <c r="J32">
        <v>31</v>
      </c>
      <c r="K32" s="33">
        <f t="shared" si="9"/>
        <v>205.49639999999999</v>
      </c>
      <c r="L32" s="58">
        <f t="shared" si="3"/>
        <v>0.1408233915533314</v>
      </c>
      <c r="N32">
        <v>31</v>
      </c>
      <c r="O32">
        <f t="shared" si="4"/>
        <v>205.49639999999999</v>
      </c>
      <c r="P32">
        <f>0</f>
        <v>0</v>
      </c>
    </row>
    <row r="33" spans="2:16">
      <c r="B33" s="30">
        <v>38184</v>
      </c>
      <c r="C33">
        <v>101.0939</v>
      </c>
      <c r="J33">
        <v>32</v>
      </c>
      <c r="K33" s="33">
        <f t="shared" si="9"/>
        <v>234.43510000000001</v>
      </c>
      <c r="L33" s="58">
        <f t="shared" si="3"/>
        <v>2.7254877789204764E-2</v>
      </c>
      <c r="N33">
        <v>32</v>
      </c>
      <c r="O33">
        <f t="shared" si="4"/>
        <v>234.43510000000001</v>
      </c>
      <c r="P33">
        <f t="shared" ref="P33" si="19">(O34-O32)/O32</f>
        <v>0.17191639366918354</v>
      </c>
    </row>
    <row r="34" spans="2:16">
      <c r="B34" s="30">
        <v>38187</v>
      </c>
      <c r="C34">
        <v>100.9391</v>
      </c>
      <c r="J34">
        <v>33</v>
      </c>
      <c r="K34" s="33">
        <f t="shared" si="9"/>
        <v>240.8246</v>
      </c>
      <c r="L34" s="58">
        <f t="shared" si="3"/>
        <v>-0.4476399005749413</v>
      </c>
      <c r="N34">
        <v>33</v>
      </c>
      <c r="O34">
        <f t="shared" si="4"/>
        <v>240.8246</v>
      </c>
      <c r="P34">
        <f>0</f>
        <v>0</v>
      </c>
    </row>
    <row r="35" spans="2:16">
      <c r="B35" s="30">
        <v>38188</v>
      </c>
      <c r="C35">
        <v>101.05070000000001</v>
      </c>
      <c r="J35">
        <v>34</v>
      </c>
      <c r="K35" s="33">
        <f t="shared" si="9"/>
        <v>133.02189999999999</v>
      </c>
      <c r="L35" s="58">
        <f t="shared" si="3"/>
        <v>5.9633789624114593E-2</v>
      </c>
      <c r="N35">
        <v>34</v>
      </c>
      <c r="O35">
        <f t="shared" si="4"/>
        <v>133.02189999999999</v>
      </c>
      <c r="P35">
        <f t="shared" ref="P35" si="20">(O36-O34)/O34</f>
        <v>-0.41470057460907234</v>
      </c>
    </row>
    <row r="36" spans="2:16">
      <c r="B36" s="30">
        <v>38189</v>
      </c>
      <c r="C36">
        <v>100.2458</v>
      </c>
      <c r="J36">
        <v>35</v>
      </c>
      <c r="K36" s="33">
        <f t="shared" si="9"/>
        <v>140.9545</v>
      </c>
      <c r="L36" s="58">
        <f t="shared" si="3"/>
        <v>7.3492509994359967E-2</v>
      </c>
      <c r="N36">
        <v>35</v>
      </c>
      <c r="O36">
        <f t="shared" si="4"/>
        <v>140.9545</v>
      </c>
      <c r="P36">
        <f>0</f>
        <v>0</v>
      </c>
    </row>
    <row r="37" spans="2:16">
      <c r="B37" s="30">
        <v>38190</v>
      </c>
      <c r="C37">
        <v>100.4131</v>
      </c>
      <c r="J37">
        <v>36</v>
      </c>
      <c r="K37" s="33">
        <f t="shared" si="9"/>
        <v>151.31360000000001</v>
      </c>
      <c r="L37" s="58">
        <f t="shared" si="3"/>
        <v>6.8652784680292983E-2</v>
      </c>
      <c r="N37">
        <v>36</v>
      </c>
      <c r="O37">
        <f t="shared" si="4"/>
        <v>151.31360000000001</v>
      </c>
      <c r="P37">
        <f t="shared" ref="P37" si="21">(O38-O36)/O36</f>
        <v>0.14719076013891003</v>
      </c>
    </row>
    <row r="38" spans="2:16">
      <c r="B38" s="30">
        <v>38191</v>
      </c>
      <c r="C38">
        <v>100.2277</v>
      </c>
      <c r="J38">
        <v>37</v>
      </c>
      <c r="K38" s="33">
        <f t="shared" si="9"/>
        <v>161.70169999999999</v>
      </c>
      <c r="L38" s="58">
        <f t="shared" si="3"/>
        <v>7.1704873851048082E-2</v>
      </c>
      <c r="N38">
        <v>37</v>
      </c>
      <c r="O38">
        <f t="shared" si="4"/>
        <v>161.70169999999999</v>
      </c>
      <c r="P38">
        <f>0</f>
        <v>0</v>
      </c>
    </row>
    <row r="39" spans="2:16">
      <c r="B39" s="30">
        <v>38194</v>
      </c>
      <c r="C39">
        <v>100.0416</v>
      </c>
      <c r="J39">
        <v>38</v>
      </c>
      <c r="K39" s="33">
        <f t="shared" si="9"/>
        <v>173.29650000000001</v>
      </c>
      <c r="L39" s="58">
        <f t="shared" si="3"/>
        <v>-3.1721933218501211E-2</v>
      </c>
      <c r="N39">
        <v>38</v>
      </c>
      <c r="O39">
        <f t="shared" si="4"/>
        <v>173.29650000000001</v>
      </c>
      <c r="P39">
        <f t="shared" ref="P39" si="22">(O40-O38)/O38</f>
        <v>3.770832341280287E-2</v>
      </c>
    </row>
    <row r="40" spans="2:16">
      <c r="B40" s="30">
        <v>38195</v>
      </c>
      <c r="C40">
        <v>99.978899999999996</v>
      </c>
      <c r="J40">
        <v>39</v>
      </c>
      <c r="K40" s="33">
        <f t="shared" si="9"/>
        <v>167.79920000000001</v>
      </c>
      <c r="L40" s="58">
        <f t="shared" si="3"/>
        <v>7.194968748361126E-2</v>
      </c>
      <c r="N40">
        <v>39</v>
      </c>
      <c r="O40">
        <f t="shared" si="4"/>
        <v>167.79920000000001</v>
      </c>
      <c r="P40">
        <f>0</f>
        <v>0</v>
      </c>
    </row>
    <row r="41" spans="2:16">
      <c r="B41" s="30">
        <v>38196</v>
      </c>
      <c r="C41">
        <v>100.14019999999999</v>
      </c>
      <c r="J41">
        <v>40</v>
      </c>
      <c r="K41" s="33">
        <f t="shared" si="9"/>
        <v>179.8723</v>
      </c>
      <c r="L41" s="58">
        <f t="shared" si="3"/>
        <v>0.17857724619076987</v>
      </c>
      <c r="N41">
        <v>40</v>
      </c>
      <c r="O41">
        <f t="shared" si="4"/>
        <v>179.8723</v>
      </c>
      <c r="P41">
        <f t="shared" ref="P41" si="23">(O42-O40)/O40</f>
        <v>0.26337551072949089</v>
      </c>
    </row>
    <row r="42" spans="2:16">
      <c r="B42" s="30">
        <v>38197</v>
      </c>
      <c r="C42">
        <v>100.34990000000001</v>
      </c>
      <c r="J42">
        <v>41</v>
      </c>
      <c r="K42" s="33">
        <f t="shared" si="9"/>
        <v>211.99340000000001</v>
      </c>
      <c r="L42" s="58">
        <f t="shared" si="3"/>
        <v>-3.0647180525431517E-2</v>
      </c>
      <c r="N42">
        <v>41</v>
      </c>
      <c r="O42">
        <f t="shared" si="4"/>
        <v>211.99340000000001</v>
      </c>
      <c r="P42">
        <f>0</f>
        <v>0</v>
      </c>
    </row>
    <row r="43" spans="2:16">
      <c r="B43" s="30">
        <v>38198</v>
      </c>
      <c r="C43">
        <v>100.6648</v>
      </c>
      <c r="J43">
        <v>42</v>
      </c>
      <c r="K43" s="33">
        <f t="shared" si="9"/>
        <v>205.49639999999999</v>
      </c>
      <c r="L43" s="58">
        <f t="shared" si="3"/>
        <v>0.1408233915533314</v>
      </c>
      <c r="N43">
        <v>42</v>
      </c>
      <c r="O43">
        <f t="shared" si="4"/>
        <v>205.49639999999999</v>
      </c>
      <c r="P43">
        <f t="shared" ref="P43" si="24">(O44-O42)/O42</f>
        <v>0.10586037112476142</v>
      </c>
    </row>
    <row r="44" spans="2:16">
      <c r="B44" s="30">
        <v>38201</v>
      </c>
      <c r="C44">
        <v>100.8716</v>
      </c>
      <c r="J44">
        <v>43</v>
      </c>
      <c r="K44" s="33">
        <f t="shared" si="9"/>
        <v>234.43510000000001</v>
      </c>
      <c r="L44" s="58">
        <f t="shared" si="3"/>
        <v>2.7254877789204764E-2</v>
      </c>
      <c r="N44">
        <v>43</v>
      </c>
      <c r="O44">
        <f t="shared" si="4"/>
        <v>234.43510000000001</v>
      </c>
      <c r="P44">
        <f>0</f>
        <v>0</v>
      </c>
    </row>
    <row r="45" spans="2:16">
      <c r="B45" s="30">
        <v>38202</v>
      </c>
      <c r="C45">
        <v>100.6927</v>
      </c>
      <c r="J45">
        <v>44</v>
      </c>
      <c r="K45" s="33">
        <f t="shared" si="9"/>
        <v>240.8246</v>
      </c>
      <c r="L45" s="58">
        <f t="shared" si="3"/>
        <v>-0.4476399005749413</v>
      </c>
      <c r="N45">
        <v>44</v>
      </c>
      <c r="O45">
        <f t="shared" si="4"/>
        <v>240.8246</v>
      </c>
      <c r="P45">
        <f t="shared" ref="P45" si="25">(O46-O44)/O44</f>
        <v>-0.43258539356947834</v>
      </c>
    </row>
    <row r="46" spans="2:16">
      <c r="B46" s="30">
        <v>38203</v>
      </c>
      <c r="C46">
        <v>100.6735</v>
      </c>
      <c r="J46">
        <v>45</v>
      </c>
      <c r="K46" s="33">
        <f t="shared" si="9"/>
        <v>133.02189999999999</v>
      </c>
      <c r="L46" s="58">
        <f t="shared" si="3"/>
        <v>5.9633789624114593E-2</v>
      </c>
      <c r="N46">
        <v>45</v>
      </c>
      <c r="O46">
        <f t="shared" si="4"/>
        <v>133.02189999999999</v>
      </c>
      <c r="P46">
        <f>0</f>
        <v>0</v>
      </c>
    </row>
    <row r="47" spans="2:16">
      <c r="B47" s="30">
        <v>38204</v>
      </c>
      <c r="C47">
        <v>100.1525</v>
      </c>
      <c r="J47">
        <v>46</v>
      </c>
      <c r="K47" s="33">
        <f t="shared" si="9"/>
        <v>140.9545</v>
      </c>
      <c r="L47" s="58">
        <f t="shared" si="3"/>
        <v>7.3492509994359967E-2</v>
      </c>
      <c r="N47">
        <v>46</v>
      </c>
      <c r="O47">
        <f t="shared" si="4"/>
        <v>140.9545</v>
      </c>
      <c r="P47">
        <f t="shared" ref="P47" si="26">(O48-O46)/O46</f>
        <v>0.13750893649842635</v>
      </c>
    </row>
    <row r="48" spans="2:16">
      <c r="B48" s="30">
        <v>38205</v>
      </c>
      <c r="C48">
        <v>100.20780000000001</v>
      </c>
      <c r="J48">
        <v>47</v>
      </c>
      <c r="K48" s="33">
        <f t="shared" si="9"/>
        <v>151.31360000000001</v>
      </c>
      <c r="L48" s="58">
        <f t="shared" si="3"/>
        <v>6.8652784680292983E-2</v>
      </c>
      <c r="N48">
        <v>47</v>
      </c>
      <c r="O48">
        <f t="shared" si="4"/>
        <v>151.31360000000001</v>
      </c>
      <c r="P48">
        <f>0</f>
        <v>0</v>
      </c>
    </row>
    <row r="49" spans="2:16">
      <c r="B49" s="30">
        <v>38208</v>
      </c>
      <c r="C49">
        <v>100.1478</v>
      </c>
      <c r="J49">
        <v>48</v>
      </c>
      <c r="K49" s="33">
        <f t="shared" si="9"/>
        <v>161.70169999999999</v>
      </c>
      <c r="L49" s="58">
        <f t="shared" si="3"/>
        <v>7.1704873851048082E-2</v>
      </c>
      <c r="N49">
        <v>48</v>
      </c>
      <c r="O49">
        <f t="shared" si="4"/>
        <v>161.70169999999999</v>
      </c>
      <c r="P49">
        <f t="shared" ref="P49" si="27">(O50-O48)/O48</f>
        <v>0.14528039779636465</v>
      </c>
    </row>
    <row r="50" spans="2:16">
      <c r="B50" s="30">
        <v>38209</v>
      </c>
      <c r="C50">
        <v>100.334</v>
      </c>
      <c r="J50">
        <v>49</v>
      </c>
      <c r="K50" s="33">
        <f t="shared" si="9"/>
        <v>173.29650000000001</v>
      </c>
      <c r="L50" s="58">
        <f t="shared" si="3"/>
        <v>-3.1721933218501211E-2</v>
      </c>
      <c r="N50">
        <v>49</v>
      </c>
      <c r="O50">
        <f t="shared" si="4"/>
        <v>173.29650000000001</v>
      </c>
      <c r="P50">
        <f>0</f>
        <v>0</v>
      </c>
    </row>
    <row r="51" spans="2:16">
      <c r="B51" s="30">
        <v>38210</v>
      </c>
      <c r="C51">
        <v>100.38120000000001</v>
      </c>
      <c r="J51">
        <v>50</v>
      </c>
      <c r="K51" s="33">
        <f t="shared" si="9"/>
        <v>167.79920000000001</v>
      </c>
      <c r="L51" s="58">
        <f t="shared" si="3"/>
        <v>7.194968748361126E-2</v>
      </c>
      <c r="N51">
        <v>50</v>
      </c>
      <c r="O51">
        <f t="shared" si="4"/>
        <v>167.79920000000001</v>
      </c>
      <c r="P51">
        <f t="shared" ref="P51" si="28">(O52-O50)/O50</f>
        <v>3.7945371083662895E-2</v>
      </c>
    </row>
    <row r="52" spans="2:16">
      <c r="B52" s="30">
        <v>38211</v>
      </c>
      <c r="C52">
        <v>100.1001</v>
      </c>
      <c r="J52">
        <v>51</v>
      </c>
      <c r="K52" s="33">
        <f t="shared" si="9"/>
        <v>179.8723</v>
      </c>
      <c r="L52" s="58">
        <f t="shared" si="3"/>
        <v>0.17857724619076987</v>
      </c>
      <c r="N52">
        <v>51</v>
      </c>
      <c r="O52">
        <f t="shared" si="4"/>
        <v>179.8723</v>
      </c>
      <c r="P52">
        <f>0</f>
        <v>0</v>
      </c>
    </row>
    <row r="53" spans="2:16">
      <c r="B53" s="30">
        <v>38212</v>
      </c>
      <c r="C53">
        <v>100.33499999999999</v>
      </c>
      <c r="J53">
        <v>52</v>
      </c>
      <c r="K53" s="33">
        <f t="shared" si="9"/>
        <v>211.99340000000001</v>
      </c>
      <c r="L53" s="58">
        <f t="shared" si="3"/>
        <v>-3.0647180525431517E-2</v>
      </c>
      <c r="N53">
        <v>52</v>
      </c>
      <c r="O53">
        <f t="shared" si="4"/>
        <v>211.99340000000001</v>
      </c>
      <c r="P53">
        <f t="shared" ref="P53" si="29">(O54-O52)/O52</f>
        <v>0.14245717656359538</v>
      </c>
    </row>
    <row r="54" spans="2:16">
      <c r="B54" s="30">
        <v>38215</v>
      </c>
      <c r="C54">
        <v>100.6176</v>
      </c>
      <c r="J54">
        <v>53</v>
      </c>
      <c r="K54" s="33">
        <f t="shared" si="9"/>
        <v>205.49639999999999</v>
      </c>
      <c r="L54" s="58">
        <f t="shared" si="3"/>
        <v>0.1408233915533314</v>
      </c>
      <c r="N54">
        <v>53</v>
      </c>
      <c r="O54">
        <f t="shared" si="4"/>
        <v>205.49639999999999</v>
      </c>
      <c r="P54">
        <f>0</f>
        <v>0</v>
      </c>
    </row>
    <row r="55" spans="2:16">
      <c r="B55" s="30">
        <v>38216</v>
      </c>
      <c r="C55">
        <v>100.9576</v>
      </c>
      <c r="J55">
        <v>54</v>
      </c>
      <c r="K55" s="33">
        <f t="shared" si="9"/>
        <v>234.43510000000001</v>
      </c>
      <c r="L55" s="58">
        <f t="shared" si="3"/>
        <v>2.7254877789204764E-2</v>
      </c>
      <c r="N55">
        <v>54</v>
      </c>
      <c r="O55">
        <f t="shared" si="4"/>
        <v>234.43510000000001</v>
      </c>
      <c r="P55">
        <f t="shared" ref="P55" si="30">(O56-O54)/O54</f>
        <v>0.17191639366918354</v>
      </c>
    </row>
    <row r="56" spans="2:16">
      <c r="B56" s="30">
        <v>38217</v>
      </c>
      <c r="C56">
        <v>101.2978</v>
      </c>
      <c r="J56">
        <v>55</v>
      </c>
      <c r="K56" s="33">
        <f t="shared" si="9"/>
        <v>240.8246</v>
      </c>
      <c r="L56" s="58">
        <f t="shared" si="3"/>
        <v>-0.4476399005749413</v>
      </c>
      <c r="N56">
        <v>55</v>
      </c>
      <c r="O56">
        <f t="shared" si="4"/>
        <v>240.8246</v>
      </c>
      <c r="P56">
        <f>0</f>
        <v>0</v>
      </c>
    </row>
    <row r="57" spans="2:16">
      <c r="B57" s="30">
        <v>38218</v>
      </c>
      <c r="C57">
        <v>101.2527</v>
      </c>
      <c r="J57">
        <v>56</v>
      </c>
      <c r="K57" s="33">
        <f t="shared" si="9"/>
        <v>133.02189999999999</v>
      </c>
      <c r="L57" s="58">
        <f t="shared" si="3"/>
        <v>5.9633789624114593E-2</v>
      </c>
      <c r="N57">
        <v>56</v>
      </c>
      <c r="O57">
        <f t="shared" si="4"/>
        <v>133.02189999999999</v>
      </c>
      <c r="P57">
        <f t="shared" ref="P57" si="31">(O58-O56)/O56</f>
        <v>-0.41470057460907234</v>
      </c>
    </row>
    <row r="58" spans="2:16">
      <c r="B58" s="30">
        <v>38219</v>
      </c>
      <c r="C58">
        <v>101.462</v>
      </c>
      <c r="J58">
        <v>57</v>
      </c>
      <c r="K58" s="33">
        <f t="shared" si="9"/>
        <v>140.9545</v>
      </c>
      <c r="L58" s="58">
        <f t="shared" si="3"/>
        <v>7.3492509994359967E-2</v>
      </c>
      <c r="N58">
        <v>57</v>
      </c>
      <c r="O58">
        <f t="shared" si="4"/>
        <v>140.9545</v>
      </c>
      <c r="P58">
        <f>0</f>
        <v>0</v>
      </c>
    </row>
    <row r="59" spans="2:16">
      <c r="B59" s="30">
        <v>38222</v>
      </c>
      <c r="C59">
        <v>101.2471</v>
      </c>
      <c r="J59">
        <v>58</v>
      </c>
      <c r="K59" s="33">
        <f t="shared" si="9"/>
        <v>151.31360000000001</v>
      </c>
      <c r="L59" s="58">
        <f t="shared" si="3"/>
        <v>6.8652784680292983E-2</v>
      </c>
      <c r="N59">
        <v>58</v>
      </c>
      <c r="O59">
        <f t="shared" si="4"/>
        <v>151.31360000000001</v>
      </c>
      <c r="P59">
        <f t="shared" ref="P59" si="32">(O60-O58)/O58</f>
        <v>0.14719076013891003</v>
      </c>
    </row>
    <row r="60" spans="2:16">
      <c r="B60" s="30">
        <v>38223</v>
      </c>
      <c r="C60">
        <v>101.3064</v>
      </c>
      <c r="J60">
        <v>59</v>
      </c>
      <c r="K60" s="33">
        <f t="shared" si="9"/>
        <v>161.70169999999999</v>
      </c>
      <c r="L60" s="58">
        <f t="shared" si="3"/>
        <v>7.1704873851048082E-2</v>
      </c>
      <c r="N60">
        <v>59</v>
      </c>
      <c r="O60">
        <f t="shared" si="4"/>
        <v>161.70169999999999</v>
      </c>
      <c r="P60">
        <f>0</f>
        <v>0</v>
      </c>
    </row>
    <row r="61" spans="2:16">
      <c r="B61" s="30">
        <v>38224</v>
      </c>
      <c r="C61">
        <v>101.5866</v>
      </c>
      <c r="J61">
        <v>60</v>
      </c>
      <c r="K61" s="33">
        <f t="shared" si="9"/>
        <v>173.29650000000001</v>
      </c>
      <c r="L61" s="58">
        <f t="shared" si="3"/>
        <v>-3.1721933218501211E-2</v>
      </c>
      <c r="N61">
        <v>60</v>
      </c>
      <c r="O61">
        <f t="shared" si="4"/>
        <v>173.29650000000001</v>
      </c>
      <c r="P61">
        <f t="shared" ref="P61" si="33">(O62-O60)/O60</f>
        <v>3.770832341280287E-2</v>
      </c>
    </row>
    <row r="62" spans="2:16">
      <c r="B62" s="30">
        <v>38225</v>
      </c>
      <c r="C62">
        <v>101.70140000000001</v>
      </c>
      <c r="J62">
        <v>61</v>
      </c>
      <c r="K62" s="33">
        <f t="shared" si="9"/>
        <v>167.79920000000001</v>
      </c>
      <c r="L62" s="58">
        <f t="shared" si="3"/>
        <v>7.194968748361126E-2</v>
      </c>
      <c r="N62">
        <v>61</v>
      </c>
      <c r="O62">
        <f t="shared" si="4"/>
        <v>167.79920000000001</v>
      </c>
      <c r="P62">
        <f>0</f>
        <v>0</v>
      </c>
    </row>
    <row r="63" spans="2:16">
      <c r="B63" s="30">
        <v>38226</v>
      </c>
      <c r="C63">
        <v>101.8574</v>
      </c>
      <c r="J63">
        <v>62</v>
      </c>
      <c r="K63" s="33">
        <f t="shared" si="9"/>
        <v>179.8723</v>
      </c>
      <c r="L63" s="58">
        <f t="shared" si="3"/>
        <v>0.17857724619076987</v>
      </c>
      <c r="N63">
        <v>62</v>
      </c>
      <c r="O63">
        <f t="shared" si="4"/>
        <v>179.8723</v>
      </c>
      <c r="P63">
        <f t="shared" ref="P63" si="34">(O64-O62)/O62</f>
        <v>0.26337551072949089</v>
      </c>
    </row>
    <row r="64" spans="2:16">
      <c r="B64" s="30">
        <v>38229</v>
      </c>
      <c r="C64">
        <v>101.5791</v>
      </c>
      <c r="J64">
        <v>63</v>
      </c>
      <c r="K64" s="33">
        <f t="shared" si="9"/>
        <v>211.99340000000001</v>
      </c>
      <c r="L64" s="58">
        <f t="shared" si="3"/>
        <v>-3.0647180525431517E-2</v>
      </c>
      <c r="N64">
        <v>63</v>
      </c>
      <c r="O64">
        <f t="shared" si="4"/>
        <v>211.99340000000001</v>
      </c>
      <c r="P64">
        <f>0</f>
        <v>0</v>
      </c>
    </row>
    <row r="65" spans="2:16">
      <c r="B65" s="30">
        <v>38230</v>
      </c>
      <c r="C65">
        <v>101.9361</v>
      </c>
      <c r="J65">
        <v>64</v>
      </c>
      <c r="K65" s="33">
        <f t="shared" si="9"/>
        <v>205.49639999999999</v>
      </c>
      <c r="L65" s="58">
        <f t="shared" si="3"/>
        <v>0.1408233915533314</v>
      </c>
      <c r="N65">
        <v>64</v>
      </c>
      <c r="O65">
        <f t="shared" si="4"/>
        <v>205.49639999999999</v>
      </c>
      <c r="P65">
        <f t="shared" ref="P65" si="35">(O66-O64)/O64</f>
        <v>0.10586037112476142</v>
      </c>
    </row>
    <row r="66" spans="2:16">
      <c r="B66" s="30">
        <v>38231</v>
      </c>
      <c r="C66">
        <v>102.0853</v>
      </c>
      <c r="J66">
        <v>65</v>
      </c>
      <c r="K66" s="33">
        <f t="shared" si="9"/>
        <v>234.43510000000001</v>
      </c>
      <c r="L66" s="58">
        <f t="shared" si="3"/>
        <v>2.7254877789204764E-2</v>
      </c>
      <c r="N66">
        <v>65</v>
      </c>
      <c r="O66">
        <f t="shared" si="4"/>
        <v>234.43510000000001</v>
      </c>
      <c r="P66">
        <f>0</f>
        <v>0</v>
      </c>
    </row>
    <row r="67" spans="2:16">
      <c r="B67" s="30">
        <v>38232</v>
      </c>
      <c r="C67">
        <v>102.45910000000001</v>
      </c>
      <c r="J67">
        <v>66</v>
      </c>
      <c r="K67" s="33">
        <f t="shared" si="9"/>
        <v>240.8246</v>
      </c>
      <c r="L67" s="58">
        <f t="shared" ref="L67:L104" si="36">(K68-K67)/K67</f>
        <v>-0.4476399005749413</v>
      </c>
      <c r="N67">
        <v>66</v>
      </c>
      <c r="O67">
        <f t="shared" ref="O67:O104" si="37">K67</f>
        <v>240.8246</v>
      </c>
      <c r="P67">
        <f t="shared" ref="P67" si="38">(O68-O66)/O66</f>
        <v>-0.43258539356947834</v>
      </c>
    </row>
    <row r="68" spans="2:16">
      <c r="B68" s="30">
        <v>38233</v>
      </c>
      <c r="C68">
        <v>101.9954</v>
      </c>
      <c r="J68">
        <v>67</v>
      </c>
      <c r="K68" s="33">
        <f t="shared" si="9"/>
        <v>133.02189999999999</v>
      </c>
      <c r="L68" s="58">
        <f t="shared" si="36"/>
        <v>5.9633789624114593E-2</v>
      </c>
      <c r="N68">
        <v>67</v>
      </c>
      <c r="O68">
        <f t="shared" si="37"/>
        <v>133.02189999999999</v>
      </c>
      <c r="P68">
        <f>0</f>
        <v>0</v>
      </c>
    </row>
    <row r="69" spans="2:16">
      <c r="B69" s="30">
        <v>38237</v>
      </c>
      <c r="C69">
        <v>102.42870000000001</v>
      </c>
      <c r="J69">
        <v>68</v>
      </c>
      <c r="K69" s="33">
        <f t="shared" si="9"/>
        <v>140.9545</v>
      </c>
      <c r="L69" s="58">
        <f t="shared" si="36"/>
        <v>7.3492509994359967E-2</v>
      </c>
      <c r="N69">
        <v>68</v>
      </c>
      <c r="O69">
        <f t="shared" si="37"/>
        <v>140.9545</v>
      </c>
      <c r="P69">
        <f t="shared" ref="P69" si="39">(O70-O68)/O68</f>
        <v>0.13750893649842635</v>
      </c>
    </row>
    <row r="70" spans="2:16">
      <c r="B70" s="30">
        <v>38238</v>
      </c>
      <c r="C70">
        <v>102.51900000000001</v>
      </c>
      <c r="J70">
        <v>69</v>
      </c>
      <c r="K70" s="33">
        <f t="shared" si="9"/>
        <v>151.31360000000001</v>
      </c>
      <c r="L70" s="58">
        <f t="shared" si="36"/>
        <v>6.8652784680292983E-2</v>
      </c>
      <c r="N70">
        <v>69</v>
      </c>
      <c r="O70">
        <f t="shared" si="37"/>
        <v>151.31360000000001</v>
      </c>
      <c r="P70">
        <f>0</f>
        <v>0</v>
      </c>
    </row>
    <row r="71" spans="2:16">
      <c r="B71" s="30">
        <v>38239</v>
      </c>
      <c r="C71">
        <v>102.4145</v>
      </c>
      <c r="J71">
        <v>70</v>
      </c>
      <c r="K71" s="33">
        <f t="shared" si="9"/>
        <v>161.70169999999999</v>
      </c>
      <c r="L71" s="58">
        <f t="shared" si="36"/>
        <v>7.1704873851048082E-2</v>
      </c>
      <c r="N71">
        <v>70</v>
      </c>
      <c r="O71">
        <f t="shared" si="37"/>
        <v>161.70169999999999</v>
      </c>
      <c r="P71">
        <f t="shared" ref="P71" si="40">(O72-O70)/O70</f>
        <v>0.14528039779636465</v>
      </c>
    </row>
    <row r="72" spans="2:16">
      <c r="B72" s="30">
        <v>38240</v>
      </c>
      <c r="C72">
        <v>102.6981</v>
      </c>
      <c r="J72">
        <v>71</v>
      </c>
      <c r="K72" s="33">
        <f t="shared" si="9"/>
        <v>173.29650000000001</v>
      </c>
      <c r="L72" s="58">
        <f t="shared" si="36"/>
        <v>-3.1721933218501211E-2</v>
      </c>
      <c r="N72">
        <v>71</v>
      </c>
      <c r="O72">
        <f t="shared" si="37"/>
        <v>173.29650000000001</v>
      </c>
      <c r="P72">
        <f>0</f>
        <v>0</v>
      </c>
    </row>
    <row r="73" spans="2:16">
      <c r="B73" s="30">
        <v>38243</v>
      </c>
      <c r="C73">
        <v>102.93470000000001</v>
      </c>
      <c r="J73">
        <v>72</v>
      </c>
      <c r="K73" s="33">
        <f t="shared" si="9"/>
        <v>167.79920000000001</v>
      </c>
      <c r="L73" s="58">
        <f t="shared" si="36"/>
        <v>7.194968748361126E-2</v>
      </c>
      <c r="N73">
        <v>72</v>
      </c>
      <c r="O73">
        <f t="shared" si="37"/>
        <v>167.79920000000001</v>
      </c>
      <c r="P73">
        <f t="shared" ref="P73" si="41">(O74-O72)/O72</f>
        <v>3.7945371083662895E-2</v>
      </c>
    </row>
    <row r="74" spans="2:16">
      <c r="B74" s="30">
        <v>38244</v>
      </c>
      <c r="C74">
        <v>103.0727</v>
      </c>
      <c r="J74">
        <v>73</v>
      </c>
      <c r="K74" s="33">
        <f t="shared" si="9"/>
        <v>179.8723</v>
      </c>
      <c r="L74" s="58">
        <f t="shared" si="36"/>
        <v>0.17857724619076987</v>
      </c>
      <c r="N74">
        <v>73</v>
      </c>
      <c r="O74">
        <f t="shared" si="37"/>
        <v>179.8723</v>
      </c>
      <c r="P74">
        <f>0</f>
        <v>0</v>
      </c>
    </row>
    <row r="75" spans="2:16">
      <c r="B75" s="30">
        <v>38245</v>
      </c>
      <c r="C75">
        <v>102.6018</v>
      </c>
      <c r="J75">
        <v>74</v>
      </c>
      <c r="K75" s="33">
        <f t="shared" si="9"/>
        <v>211.99340000000001</v>
      </c>
      <c r="L75" s="58">
        <f t="shared" si="36"/>
        <v>-3.0647180525431517E-2</v>
      </c>
      <c r="N75">
        <v>74</v>
      </c>
      <c r="O75">
        <f t="shared" si="37"/>
        <v>211.99340000000001</v>
      </c>
      <c r="P75">
        <f t="shared" ref="P75" si="42">(O76-O74)/O74</f>
        <v>0.14245717656359538</v>
      </c>
    </row>
    <row r="76" spans="2:16">
      <c r="B76" s="30">
        <v>38246</v>
      </c>
      <c r="C76">
        <v>103.00190000000001</v>
      </c>
      <c r="J76">
        <v>75</v>
      </c>
      <c r="K76" s="33">
        <f t="shared" si="9"/>
        <v>205.49639999999999</v>
      </c>
      <c r="L76" s="58">
        <f t="shared" si="36"/>
        <v>0.1408233915533314</v>
      </c>
      <c r="N76">
        <v>75</v>
      </c>
      <c r="O76">
        <f t="shared" si="37"/>
        <v>205.49639999999999</v>
      </c>
      <c r="P76">
        <f>0</f>
        <v>0</v>
      </c>
    </row>
    <row r="77" spans="2:16">
      <c r="B77" s="30">
        <v>38247</v>
      </c>
      <c r="C77">
        <v>103.03019999999999</v>
      </c>
      <c r="J77">
        <v>76</v>
      </c>
      <c r="K77" s="33">
        <f t="shared" si="9"/>
        <v>234.43510000000001</v>
      </c>
      <c r="L77" s="58">
        <f t="shared" si="36"/>
        <v>2.7254877789204764E-2</v>
      </c>
      <c r="N77">
        <v>76</v>
      </c>
      <c r="O77">
        <f t="shared" si="37"/>
        <v>234.43510000000001</v>
      </c>
      <c r="P77">
        <f t="shared" ref="P77" si="43">(O78-O76)/O76</f>
        <v>0.17191639366918354</v>
      </c>
    </row>
    <row r="78" spans="2:16">
      <c r="B78" s="30">
        <v>38250</v>
      </c>
      <c r="C78">
        <v>102.92700000000001</v>
      </c>
      <c r="J78">
        <v>77</v>
      </c>
      <c r="K78" s="33">
        <f t="shared" ref="K78:K104" si="44">K67</f>
        <v>240.8246</v>
      </c>
      <c r="L78" s="58">
        <f t="shared" si="36"/>
        <v>-0.4476399005749413</v>
      </c>
      <c r="N78">
        <v>77</v>
      </c>
      <c r="O78">
        <f t="shared" si="37"/>
        <v>240.8246</v>
      </c>
      <c r="P78">
        <f>0</f>
        <v>0</v>
      </c>
    </row>
    <row r="79" spans="2:16">
      <c r="B79" s="30">
        <v>38251</v>
      </c>
      <c r="C79">
        <v>103.1677</v>
      </c>
      <c r="J79">
        <v>78</v>
      </c>
      <c r="K79" s="33">
        <f t="shared" si="44"/>
        <v>133.02189999999999</v>
      </c>
      <c r="L79" s="58">
        <f t="shared" si="36"/>
        <v>5.9633789624114593E-2</v>
      </c>
      <c r="N79">
        <v>78</v>
      </c>
      <c r="O79">
        <f t="shared" si="37"/>
        <v>133.02189999999999</v>
      </c>
      <c r="P79">
        <f t="shared" ref="P79" si="45">(O80-O78)/O78</f>
        <v>-0.41470057460907234</v>
      </c>
    </row>
    <row r="80" spans="2:16">
      <c r="B80" s="30">
        <v>38252</v>
      </c>
      <c r="C80">
        <v>102.58110000000001</v>
      </c>
      <c r="J80">
        <v>79</v>
      </c>
      <c r="K80" s="33">
        <f t="shared" si="44"/>
        <v>140.9545</v>
      </c>
      <c r="L80" s="58">
        <f t="shared" si="36"/>
        <v>7.3492509994359967E-2</v>
      </c>
      <c r="N80">
        <v>79</v>
      </c>
      <c r="O80">
        <f t="shared" si="37"/>
        <v>140.9545</v>
      </c>
      <c r="P80">
        <f>0</f>
        <v>0</v>
      </c>
    </row>
    <row r="81" spans="2:16">
      <c r="B81" s="30">
        <v>38253</v>
      </c>
      <c r="C81">
        <v>102.1979</v>
      </c>
      <c r="J81">
        <v>80</v>
      </c>
      <c r="K81" s="33">
        <f t="shared" si="44"/>
        <v>151.31360000000001</v>
      </c>
      <c r="L81" s="58">
        <f t="shared" si="36"/>
        <v>6.8652784680292983E-2</v>
      </c>
      <c r="N81">
        <v>80</v>
      </c>
      <c r="O81">
        <f t="shared" si="37"/>
        <v>151.31360000000001</v>
      </c>
      <c r="P81">
        <f t="shared" ref="P81" si="46">(O82-O80)/O80</f>
        <v>0.14719076013891003</v>
      </c>
    </row>
    <row r="82" spans="2:16">
      <c r="B82" s="30">
        <v>38254</v>
      </c>
      <c r="C82">
        <v>102.3623</v>
      </c>
      <c r="J82">
        <v>81</v>
      </c>
      <c r="K82" s="33">
        <f t="shared" si="44"/>
        <v>161.70169999999999</v>
      </c>
      <c r="L82" s="58">
        <f t="shared" si="36"/>
        <v>7.1704873851048082E-2</v>
      </c>
      <c r="N82">
        <v>81</v>
      </c>
      <c r="O82">
        <f t="shared" si="37"/>
        <v>161.70169999999999</v>
      </c>
      <c r="P82">
        <f>0</f>
        <v>0</v>
      </c>
    </row>
    <row r="83" spans="2:16">
      <c r="B83" s="30">
        <v>38257</v>
      </c>
      <c r="C83">
        <v>102.1728</v>
      </c>
      <c r="J83">
        <v>82</v>
      </c>
      <c r="K83" s="33">
        <f t="shared" si="44"/>
        <v>173.29650000000001</v>
      </c>
      <c r="L83" s="58">
        <f t="shared" si="36"/>
        <v>-3.1721933218501211E-2</v>
      </c>
      <c r="N83">
        <v>82</v>
      </c>
      <c r="O83">
        <f t="shared" si="37"/>
        <v>173.29650000000001</v>
      </c>
      <c r="P83">
        <f t="shared" ref="P83" si="47">(O84-O82)/O82</f>
        <v>3.770832341280287E-2</v>
      </c>
    </row>
    <row r="84" spans="2:16">
      <c r="B84" s="30">
        <v>38258</v>
      </c>
      <c r="C84">
        <v>102.3613</v>
      </c>
      <c r="J84">
        <v>83</v>
      </c>
      <c r="K84" s="33">
        <f t="shared" si="44"/>
        <v>167.79920000000001</v>
      </c>
      <c r="L84" s="58">
        <f t="shared" si="36"/>
        <v>7.194968748361126E-2</v>
      </c>
      <c r="N84">
        <v>83</v>
      </c>
      <c r="O84">
        <f t="shared" si="37"/>
        <v>167.79920000000001</v>
      </c>
      <c r="P84">
        <f>0</f>
        <v>0</v>
      </c>
    </row>
    <row r="85" spans="2:16">
      <c r="B85" s="30">
        <v>38259</v>
      </c>
      <c r="C85">
        <v>102.43380000000001</v>
      </c>
      <c r="J85">
        <v>84</v>
      </c>
      <c r="K85" s="33">
        <f t="shared" si="44"/>
        <v>179.8723</v>
      </c>
      <c r="L85" s="58">
        <f t="shared" si="36"/>
        <v>0.17857724619076987</v>
      </c>
      <c r="N85">
        <v>84</v>
      </c>
      <c r="O85">
        <f t="shared" si="37"/>
        <v>179.8723</v>
      </c>
      <c r="P85">
        <f t="shared" ref="P85" si="48">(O86-O84)/O84</f>
        <v>0.26337551072949089</v>
      </c>
    </row>
    <row r="86" spans="2:16">
      <c r="B86" s="30">
        <v>38260</v>
      </c>
      <c r="C86">
        <v>102.3951</v>
      </c>
      <c r="J86">
        <v>85</v>
      </c>
      <c r="K86" s="33">
        <f t="shared" si="44"/>
        <v>211.99340000000001</v>
      </c>
      <c r="L86" s="58">
        <f t="shared" si="36"/>
        <v>-3.0647180525431517E-2</v>
      </c>
      <c r="N86">
        <v>85</v>
      </c>
      <c r="O86">
        <f t="shared" si="37"/>
        <v>211.99340000000001</v>
      </c>
      <c r="P86">
        <f>0</f>
        <v>0</v>
      </c>
    </row>
    <row r="87" spans="2:16">
      <c r="B87" s="30">
        <v>38261</v>
      </c>
      <c r="C87">
        <v>103.0972</v>
      </c>
      <c r="J87">
        <v>86</v>
      </c>
      <c r="K87" s="33">
        <f t="shared" si="44"/>
        <v>205.49639999999999</v>
      </c>
      <c r="L87" s="58">
        <f t="shared" si="36"/>
        <v>0.1408233915533314</v>
      </c>
      <c r="N87">
        <v>86</v>
      </c>
      <c r="O87">
        <f t="shared" si="37"/>
        <v>205.49639999999999</v>
      </c>
      <c r="P87">
        <f t="shared" ref="P87" si="49">(O88-O86)/O86</f>
        <v>0.10586037112476142</v>
      </c>
    </row>
    <row r="88" spans="2:16">
      <c r="B88" s="30">
        <v>38264</v>
      </c>
      <c r="C88">
        <v>103.2201</v>
      </c>
      <c r="J88">
        <v>87</v>
      </c>
      <c r="K88" s="33">
        <f t="shared" si="44"/>
        <v>234.43510000000001</v>
      </c>
      <c r="L88" s="58">
        <f t="shared" si="36"/>
        <v>2.7254877789204764E-2</v>
      </c>
      <c r="N88">
        <v>87</v>
      </c>
      <c r="O88">
        <f t="shared" si="37"/>
        <v>234.43510000000001</v>
      </c>
      <c r="P88">
        <f>0</f>
        <v>0</v>
      </c>
    </row>
    <row r="89" spans="2:16">
      <c r="B89" s="30">
        <v>38265</v>
      </c>
      <c r="C89">
        <v>103.2757</v>
      </c>
      <c r="J89">
        <v>88</v>
      </c>
      <c r="K89" s="33">
        <f t="shared" si="44"/>
        <v>240.8246</v>
      </c>
      <c r="L89" s="58">
        <f t="shared" si="36"/>
        <v>-0.4476399005749413</v>
      </c>
      <c r="N89">
        <v>88</v>
      </c>
      <c r="O89">
        <f t="shared" si="37"/>
        <v>240.8246</v>
      </c>
      <c r="P89">
        <f t="shared" ref="P89" si="50">(O90-O88)/O88</f>
        <v>-0.43258539356947834</v>
      </c>
    </row>
    <row r="90" spans="2:16">
      <c r="B90" s="30">
        <v>38266</v>
      </c>
      <c r="C90">
        <v>103.45529999999999</v>
      </c>
      <c r="J90">
        <v>89</v>
      </c>
      <c r="K90" s="33">
        <f t="shared" si="44"/>
        <v>133.02189999999999</v>
      </c>
      <c r="L90" s="58">
        <f t="shared" si="36"/>
        <v>5.9633789624114593E-2</v>
      </c>
      <c r="N90">
        <v>89</v>
      </c>
      <c r="O90">
        <f t="shared" si="37"/>
        <v>133.02189999999999</v>
      </c>
      <c r="P90">
        <f>0</f>
        <v>0</v>
      </c>
    </row>
    <row r="91" spans="2:16">
      <c r="B91" s="30">
        <v>38267</v>
      </c>
      <c r="C91">
        <v>102.89879999999999</v>
      </c>
      <c r="J91">
        <v>90</v>
      </c>
      <c r="K91" s="33">
        <f t="shared" si="44"/>
        <v>140.9545</v>
      </c>
      <c r="L91" s="58">
        <f t="shared" si="36"/>
        <v>7.3492509994359967E-2</v>
      </c>
      <c r="N91">
        <v>90</v>
      </c>
      <c r="O91">
        <f t="shared" si="37"/>
        <v>140.9545</v>
      </c>
      <c r="P91">
        <f t="shared" ref="P91" si="51">(O92-O90)/O90</f>
        <v>0.13750893649842635</v>
      </c>
    </row>
    <row r="92" spans="2:16">
      <c r="B92" s="30">
        <v>38268</v>
      </c>
      <c r="C92">
        <v>102.7158</v>
      </c>
      <c r="J92">
        <v>91</v>
      </c>
      <c r="K92" s="33">
        <f t="shared" si="44"/>
        <v>151.31360000000001</v>
      </c>
      <c r="L92" s="58">
        <f t="shared" si="36"/>
        <v>6.8652784680292983E-2</v>
      </c>
      <c r="N92">
        <v>91</v>
      </c>
      <c r="O92">
        <f t="shared" si="37"/>
        <v>151.31360000000001</v>
      </c>
      <c r="P92">
        <f>0</f>
        <v>0</v>
      </c>
    </row>
    <row r="93" spans="2:16">
      <c r="B93" s="30">
        <v>38272</v>
      </c>
      <c r="C93">
        <v>102.8075</v>
      </c>
      <c r="J93">
        <v>92</v>
      </c>
      <c r="K93" s="33">
        <f t="shared" si="44"/>
        <v>161.70169999999999</v>
      </c>
      <c r="L93" s="58">
        <f t="shared" si="36"/>
        <v>7.1704873851048082E-2</v>
      </c>
      <c r="N93">
        <v>92</v>
      </c>
      <c r="O93">
        <f t="shared" si="37"/>
        <v>161.70169999999999</v>
      </c>
      <c r="P93">
        <f t="shared" ref="P93" si="52">(O94-O92)/O92</f>
        <v>0.14528039779636465</v>
      </c>
    </row>
    <row r="94" spans="2:16">
      <c r="B94" s="30">
        <v>38273</v>
      </c>
      <c r="C94">
        <v>102.443</v>
      </c>
      <c r="J94">
        <v>93</v>
      </c>
      <c r="K94" s="33">
        <f t="shared" si="44"/>
        <v>173.29650000000001</v>
      </c>
      <c r="L94" s="58">
        <f t="shared" si="36"/>
        <v>-3.1721933218501211E-2</v>
      </c>
      <c r="N94">
        <v>93</v>
      </c>
      <c r="O94">
        <f t="shared" si="37"/>
        <v>173.29650000000001</v>
      </c>
      <c r="P94">
        <f>0</f>
        <v>0</v>
      </c>
    </row>
    <row r="95" spans="2:16">
      <c r="B95" s="30">
        <v>38274</v>
      </c>
      <c r="C95">
        <v>102.18040000000001</v>
      </c>
      <c r="J95">
        <v>94</v>
      </c>
      <c r="K95" s="33">
        <f t="shared" si="44"/>
        <v>167.79920000000001</v>
      </c>
      <c r="L95" s="58">
        <f t="shared" si="36"/>
        <v>7.194968748361126E-2</v>
      </c>
      <c r="N95">
        <v>94</v>
      </c>
      <c r="O95">
        <f t="shared" si="37"/>
        <v>167.79920000000001</v>
      </c>
      <c r="P95">
        <f t="shared" ref="P95" si="53">(O96-O94)/O94</f>
        <v>3.7945371083662895E-2</v>
      </c>
    </row>
    <row r="96" spans="2:16">
      <c r="B96" s="30">
        <v>38275</v>
      </c>
      <c r="C96">
        <v>102.29859999999999</v>
      </c>
      <c r="J96">
        <v>95</v>
      </c>
      <c r="K96" s="33">
        <f t="shared" si="44"/>
        <v>179.8723</v>
      </c>
      <c r="L96" s="58">
        <f t="shared" si="36"/>
        <v>0.17857724619076987</v>
      </c>
      <c r="N96">
        <v>95</v>
      </c>
      <c r="O96">
        <f t="shared" si="37"/>
        <v>179.8723</v>
      </c>
      <c r="P96">
        <f>0</f>
        <v>0</v>
      </c>
    </row>
    <row r="97" spans="2:16">
      <c r="B97" s="30">
        <v>38278</v>
      </c>
      <c r="C97">
        <v>102.5051</v>
      </c>
      <c r="J97">
        <v>96</v>
      </c>
      <c r="K97" s="33">
        <f t="shared" si="44"/>
        <v>211.99340000000001</v>
      </c>
      <c r="L97" s="58">
        <f t="shared" si="36"/>
        <v>-3.0647180525431517E-2</v>
      </c>
      <c r="N97">
        <v>96</v>
      </c>
      <c r="O97">
        <f t="shared" si="37"/>
        <v>211.99340000000001</v>
      </c>
      <c r="P97">
        <f t="shared" ref="P97" si="54">(O98-O96)/O96</f>
        <v>0.14245717656359538</v>
      </c>
    </row>
    <row r="98" spans="2:16">
      <c r="B98" s="30">
        <v>38279</v>
      </c>
      <c r="C98">
        <v>102.10550000000001</v>
      </c>
      <c r="J98">
        <v>97</v>
      </c>
      <c r="K98" s="33">
        <f t="shared" si="44"/>
        <v>205.49639999999999</v>
      </c>
      <c r="L98" s="58">
        <f t="shared" si="36"/>
        <v>0.1408233915533314</v>
      </c>
      <c r="N98">
        <v>97</v>
      </c>
      <c r="O98">
        <f t="shared" si="37"/>
        <v>205.49639999999999</v>
      </c>
      <c r="P98">
        <f>0</f>
        <v>0</v>
      </c>
    </row>
    <row r="99" spans="2:16">
      <c r="B99" s="30">
        <v>38280</v>
      </c>
      <c r="C99">
        <v>102.1337</v>
      </c>
      <c r="J99">
        <v>98</v>
      </c>
      <c r="K99" s="33">
        <f t="shared" si="44"/>
        <v>234.43510000000001</v>
      </c>
      <c r="L99" s="58">
        <f t="shared" si="36"/>
        <v>2.7254877789204764E-2</v>
      </c>
      <c r="N99">
        <v>98</v>
      </c>
      <c r="O99">
        <f t="shared" si="37"/>
        <v>234.43510000000001</v>
      </c>
      <c r="P99">
        <f t="shared" ref="P99" si="55">(O100-O98)/O98</f>
        <v>0.17191639366918354</v>
      </c>
    </row>
    <row r="100" spans="2:16">
      <c r="B100" s="30">
        <v>38281</v>
      </c>
      <c r="C100">
        <v>102.36409999999999</v>
      </c>
      <c r="J100">
        <v>99</v>
      </c>
      <c r="K100" s="33">
        <f t="shared" si="44"/>
        <v>240.8246</v>
      </c>
      <c r="L100" s="58">
        <f t="shared" si="36"/>
        <v>-0.4476399005749413</v>
      </c>
      <c r="N100">
        <v>99</v>
      </c>
      <c r="O100">
        <f t="shared" si="37"/>
        <v>240.8246</v>
      </c>
      <c r="P100">
        <f>0</f>
        <v>0</v>
      </c>
    </row>
    <row r="101" spans="2:16">
      <c r="B101" s="30">
        <v>38282</v>
      </c>
      <c r="C101">
        <v>101.8853</v>
      </c>
      <c r="J101">
        <v>100</v>
      </c>
      <c r="K101" s="33">
        <f t="shared" si="44"/>
        <v>133.02189999999999</v>
      </c>
      <c r="L101" s="58">
        <f t="shared" si="36"/>
        <v>5.9633789624114593E-2</v>
      </c>
      <c r="N101">
        <v>100</v>
      </c>
      <c r="O101">
        <f t="shared" si="37"/>
        <v>133.02189999999999</v>
      </c>
      <c r="P101">
        <f t="shared" ref="P101" si="56">(O102-O100)/O100</f>
        <v>-0.41470057460907234</v>
      </c>
    </row>
    <row r="102" spans="2:16">
      <c r="B102" s="30">
        <v>38285</v>
      </c>
      <c r="C102">
        <v>101.8879</v>
      </c>
      <c r="J102">
        <v>101</v>
      </c>
      <c r="K102" s="33">
        <f t="shared" si="44"/>
        <v>140.9545</v>
      </c>
      <c r="L102" s="58">
        <f t="shared" si="36"/>
        <v>7.3492509994359967E-2</v>
      </c>
      <c r="N102">
        <v>101</v>
      </c>
      <c r="O102">
        <f t="shared" si="37"/>
        <v>140.9545</v>
      </c>
      <c r="P102">
        <f>0</f>
        <v>0</v>
      </c>
    </row>
    <row r="103" spans="2:16">
      <c r="B103" s="30">
        <v>38286</v>
      </c>
      <c r="C103">
        <v>102.5967</v>
      </c>
      <c r="J103">
        <v>102</v>
      </c>
      <c r="K103" s="33">
        <f t="shared" si="44"/>
        <v>151.31360000000001</v>
      </c>
      <c r="L103" s="58">
        <f t="shared" si="36"/>
        <v>6.8652784680292983E-2</v>
      </c>
      <c r="N103">
        <v>102</v>
      </c>
      <c r="O103">
        <f t="shared" si="37"/>
        <v>151.31360000000001</v>
      </c>
      <c r="P103">
        <f t="shared" ref="P103" si="57">(O104-O102)/O102</f>
        <v>0.14719076013891003</v>
      </c>
    </row>
    <row r="104" spans="2:16">
      <c r="B104" s="30">
        <v>38287</v>
      </c>
      <c r="C104">
        <v>102.9811</v>
      </c>
      <c r="J104">
        <v>103</v>
      </c>
      <c r="K104" s="33">
        <f t="shared" si="44"/>
        <v>161.70169999999999</v>
      </c>
      <c r="L104" s="58">
        <f t="shared" si="36"/>
        <v>-1</v>
      </c>
      <c r="N104">
        <v>103</v>
      </c>
      <c r="O104">
        <f t="shared" si="37"/>
        <v>161.70169999999999</v>
      </c>
      <c r="P104">
        <f>0</f>
        <v>0</v>
      </c>
    </row>
    <row r="105" spans="2:16">
      <c r="B105" s="30">
        <v>38288</v>
      </c>
      <c r="C105">
        <v>103.1339</v>
      </c>
    </row>
    <row r="106" spans="2:16">
      <c r="B106" s="30">
        <v>38289</v>
      </c>
      <c r="C106">
        <v>103.37220000000001</v>
      </c>
    </row>
    <row r="107" spans="2:16">
      <c r="B107" s="30">
        <v>38292</v>
      </c>
      <c r="C107">
        <v>103.24809999999999</v>
      </c>
    </row>
    <row r="108" spans="2:16">
      <c r="B108" s="30">
        <v>38293</v>
      </c>
      <c r="C108">
        <v>103.2745</v>
      </c>
    </row>
    <row r="109" spans="2:16">
      <c r="B109" s="30">
        <v>38294</v>
      </c>
      <c r="C109">
        <v>103.9354</v>
      </c>
    </row>
    <row r="110" spans="2:16">
      <c r="B110" s="30">
        <v>38295</v>
      </c>
      <c r="C110">
        <v>104.592</v>
      </c>
    </row>
    <row r="111" spans="2:16">
      <c r="B111" s="30">
        <v>38296</v>
      </c>
      <c r="C111">
        <v>104.55670000000001</v>
      </c>
    </row>
    <row r="112" spans="2:16">
      <c r="B112" s="30">
        <v>38299</v>
      </c>
      <c r="C112">
        <v>104.45010000000001</v>
      </c>
    </row>
    <row r="113" spans="2:3">
      <c r="B113" s="30">
        <v>38300</v>
      </c>
      <c r="C113">
        <v>104.36539999999999</v>
      </c>
    </row>
    <row r="114" spans="2:3">
      <c r="B114" s="30">
        <v>38301</v>
      </c>
      <c r="C114">
        <v>104.2915</v>
      </c>
    </row>
    <row r="115" spans="2:3">
      <c r="B115" s="30">
        <v>38303</v>
      </c>
      <c r="C115">
        <v>105.13209999999999</v>
      </c>
    </row>
    <row r="116" spans="2:3">
      <c r="B116" s="30">
        <v>38306</v>
      </c>
      <c r="C116">
        <v>105.271</v>
      </c>
    </row>
    <row r="117" spans="2:3">
      <c r="B117" s="30">
        <v>38307</v>
      </c>
      <c r="C117">
        <v>104.88720000000001</v>
      </c>
    </row>
    <row r="118" spans="2:3">
      <c r="B118" s="30">
        <v>38308</v>
      </c>
      <c r="C118">
        <v>105.3258</v>
      </c>
    </row>
    <row r="119" spans="2:3">
      <c r="B119" s="30">
        <v>38309</v>
      </c>
      <c r="C119">
        <v>105.3905</v>
      </c>
    </row>
    <row r="120" spans="2:3">
      <c r="B120" s="30">
        <v>38310</v>
      </c>
      <c r="C120">
        <v>104.6922</v>
      </c>
    </row>
    <row r="121" spans="2:3">
      <c r="B121" s="30">
        <v>38313</v>
      </c>
      <c r="C121">
        <v>104.9769</v>
      </c>
    </row>
    <row r="122" spans="2:3">
      <c r="B122" s="30">
        <v>38314</v>
      </c>
      <c r="C122">
        <v>104.99590000000001</v>
      </c>
    </row>
    <row r="123" spans="2:3">
      <c r="B123" s="30">
        <v>38315</v>
      </c>
      <c r="C123">
        <v>105.057</v>
      </c>
    </row>
    <row r="124" spans="2:3">
      <c r="B124" s="30">
        <v>38317</v>
      </c>
      <c r="C124">
        <v>104.92910000000001</v>
      </c>
    </row>
    <row r="125" spans="2:3">
      <c r="B125" s="30">
        <v>38320</v>
      </c>
      <c r="C125">
        <v>104.5655</v>
      </c>
    </row>
    <row r="126" spans="2:3">
      <c r="B126" s="30">
        <v>38321</v>
      </c>
      <c r="C126">
        <v>104.4905</v>
      </c>
    </row>
    <row r="127" spans="2:3">
      <c r="B127" s="30">
        <v>38322</v>
      </c>
      <c r="C127">
        <v>105.15309999999999</v>
      </c>
    </row>
    <row r="128" spans="2:3">
      <c r="B128" s="30">
        <v>38323</v>
      </c>
      <c r="C128">
        <v>105.14</v>
      </c>
    </row>
    <row r="129" spans="2:3">
      <c r="B129" s="30">
        <v>38324</v>
      </c>
      <c r="C129">
        <v>105.41549999999999</v>
      </c>
    </row>
    <row r="130" spans="2:3">
      <c r="B130" s="30">
        <v>38327</v>
      </c>
      <c r="C130">
        <v>105.4833</v>
      </c>
    </row>
    <row r="131" spans="2:3">
      <c r="B131" s="30">
        <v>38328</v>
      </c>
      <c r="C131">
        <v>105.0209</v>
      </c>
    </row>
    <row r="132" spans="2:3">
      <c r="B132" s="30">
        <v>38329</v>
      </c>
      <c r="C132">
        <v>105.5033</v>
      </c>
    </row>
    <row r="133" spans="2:3">
      <c r="B133" s="30">
        <v>38330</v>
      </c>
      <c r="C133">
        <v>105.63039999999999</v>
      </c>
    </row>
    <row r="134" spans="2:3">
      <c r="B134" s="30">
        <v>38331</v>
      </c>
      <c r="C134">
        <v>105.6827</v>
      </c>
    </row>
    <row r="135" spans="2:3">
      <c r="B135" s="30">
        <v>38334</v>
      </c>
      <c r="C135">
        <v>106.0993</v>
      </c>
    </row>
    <row r="136" spans="2:3">
      <c r="B136" s="30">
        <v>38335</v>
      </c>
      <c r="C136">
        <v>106.3081</v>
      </c>
    </row>
    <row r="137" spans="2:3">
      <c r="B137" s="30">
        <v>38336</v>
      </c>
      <c r="C137">
        <v>106.4542</v>
      </c>
    </row>
    <row r="138" spans="2:3">
      <c r="B138" s="30">
        <v>38337</v>
      </c>
      <c r="C138">
        <v>106.1875</v>
      </c>
    </row>
    <row r="139" spans="2:3">
      <c r="B139" s="30">
        <v>38338</v>
      </c>
      <c r="C139">
        <v>105.8232</v>
      </c>
    </row>
    <row r="140" spans="2:3">
      <c r="B140" s="30">
        <v>38341</v>
      </c>
      <c r="C140">
        <v>105.85039999999999</v>
      </c>
    </row>
    <row r="141" spans="2:3">
      <c r="B141" s="30">
        <v>38342</v>
      </c>
      <c r="C141">
        <v>106.26949999999999</v>
      </c>
    </row>
    <row r="142" spans="2:3">
      <c r="B142" s="30">
        <v>38343</v>
      </c>
      <c r="C142">
        <v>106.3519</v>
      </c>
    </row>
    <row r="143" spans="2:3">
      <c r="B143" s="30">
        <v>38344</v>
      </c>
      <c r="C143">
        <v>106.36839999999999</v>
      </c>
    </row>
    <row r="144" spans="2:3">
      <c r="B144" s="30">
        <v>38348</v>
      </c>
      <c r="C144">
        <v>106.0723</v>
      </c>
    </row>
    <row r="145" spans="2:3">
      <c r="B145" s="30">
        <v>38349</v>
      </c>
      <c r="C145">
        <v>106.3776</v>
      </c>
    </row>
    <row r="146" spans="2:3">
      <c r="B146" s="30">
        <v>38350</v>
      </c>
      <c r="C146">
        <v>106.3556</v>
      </c>
    </row>
    <row r="147" spans="2:3">
      <c r="B147" s="30">
        <v>38351</v>
      </c>
      <c r="C147">
        <v>106.3844</v>
      </c>
    </row>
    <row r="148" spans="2:3">
      <c r="B148" s="30">
        <v>38352</v>
      </c>
      <c r="C148">
        <v>106.4491</v>
      </c>
    </row>
    <row r="149" spans="2:3">
      <c r="B149" s="30">
        <v>38355</v>
      </c>
      <c r="C149">
        <v>106.11109999999999</v>
      </c>
    </row>
    <row r="150" spans="2:3">
      <c r="B150" s="30">
        <v>38356</v>
      </c>
      <c r="C150">
        <v>105.26390000000001</v>
      </c>
    </row>
    <row r="151" spans="2:3">
      <c r="B151" s="30">
        <v>38357</v>
      </c>
      <c r="C151">
        <v>104.9007</v>
      </c>
    </row>
    <row r="152" spans="2:3">
      <c r="B152" s="30">
        <v>38358</v>
      </c>
      <c r="C152">
        <v>105.1555</v>
      </c>
    </row>
    <row r="153" spans="2:3">
      <c r="B153" s="30">
        <v>38359</v>
      </c>
      <c r="C153">
        <v>105.0317</v>
      </c>
    </row>
    <row r="154" spans="2:3">
      <c r="B154" s="30">
        <v>38362</v>
      </c>
      <c r="C154">
        <v>105.2701</v>
      </c>
    </row>
    <row r="155" spans="2:3">
      <c r="B155" s="30">
        <v>38363</v>
      </c>
      <c r="C155">
        <v>105.0022</v>
      </c>
    </row>
    <row r="156" spans="2:3">
      <c r="B156" s="30">
        <v>38364</v>
      </c>
      <c r="C156">
        <v>105.17659999999999</v>
      </c>
    </row>
    <row r="157" spans="2:3">
      <c r="B157" s="30">
        <v>38365</v>
      </c>
      <c r="C157">
        <v>104.8526</v>
      </c>
    </row>
    <row r="158" spans="2:3">
      <c r="B158" s="30">
        <v>38366</v>
      </c>
      <c r="C158">
        <v>105.04040000000001</v>
      </c>
    </row>
    <row r="159" spans="2:3">
      <c r="B159" s="30">
        <v>38370</v>
      </c>
      <c r="C159">
        <v>105.6071</v>
      </c>
    </row>
    <row r="160" spans="2:3">
      <c r="B160" s="30">
        <v>38371</v>
      </c>
      <c r="C160">
        <v>105.03570000000001</v>
      </c>
    </row>
    <row r="161" spans="2:3">
      <c r="B161" s="30">
        <v>38372</v>
      </c>
      <c r="C161">
        <v>104.78360000000001</v>
      </c>
    </row>
    <row r="162" spans="2:3">
      <c r="B162" s="30">
        <v>38373</v>
      </c>
      <c r="C162">
        <v>104.52379999999999</v>
      </c>
    </row>
    <row r="163" spans="2:3">
      <c r="B163" s="30">
        <v>38376</v>
      </c>
      <c r="C163">
        <v>104.4346</v>
      </c>
    </row>
    <row r="164" spans="2:3">
      <c r="B164" s="30">
        <v>38377</v>
      </c>
      <c r="C164">
        <v>104.4727</v>
      </c>
    </row>
    <row r="165" spans="2:3">
      <c r="B165" s="30">
        <v>38378</v>
      </c>
      <c r="C165">
        <v>104.59059999999999</v>
      </c>
    </row>
    <row r="166" spans="2:3">
      <c r="B166" s="30">
        <v>38379</v>
      </c>
      <c r="C166">
        <v>104.6345</v>
      </c>
    </row>
    <row r="167" spans="2:3">
      <c r="B167" s="30">
        <v>38380</v>
      </c>
      <c r="C167">
        <v>104.77070000000001</v>
      </c>
    </row>
    <row r="168" spans="2:3">
      <c r="B168" s="30">
        <v>38383</v>
      </c>
      <c r="C168">
        <v>105.0737</v>
      </c>
    </row>
    <row r="169" spans="2:3">
      <c r="B169" s="30">
        <v>38384</v>
      </c>
      <c r="C169">
        <v>105.4118</v>
      </c>
    </row>
    <row r="170" spans="2:3">
      <c r="B170" s="30">
        <v>38385</v>
      </c>
      <c r="C170">
        <v>105.5791</v>
      </c>
    </row>
    <row r="171" spans="2:3">
      <c r="B171" s="30">
        <v>38386</v>
      </c>
      <c r="C171">
        <v>105.3634</v>
      </c>
    </row>
    <row r="172" spans="2:3">
      <c r="B172" s="30">
        <v>38387</v>
      </c>
      <c r="C172">
        <v>106.1198</v>
      </c>
    </row>
    <row r="173" spans="2:3">
      <c r="B173" s="30">
        <v>38390</v>
      </c>
      <c r="C173">
        <v>106.0929</v>
      </c>
    </row>
    <row r="174" spans="2:3">
      <c r="B174" s="30">
        <v>38391</v>
      </c>
      <c r="C174">
        <v>106.1683</v>
      </c>
    </row>
    <row r="175" spans="2:3">
      <c r="B175" s="30">
        <v>38392</v>
      </c>
      <c r="C175">
        <v>105.91030000000001</v>
      </c>
    </row>
    <row r="176" spans="2:3">
      <c r="B176" s="30">
        <v>38393</v>
      </c>
      <c r="C176">
        <v>105.9101</v>
      </c>
    </row>
    <row r="177" spans="2:3">
      <c r="B177" s="30">
        <v>38394</v>
      </c>
      <c r="C177">
        <v>106.3227</v>
      </c>
    </row>
    <row r="178" spans="2:3">
      <c r="B178" s="30">
        <v>38397</v>
      </c>
      <c r="C178">
        <v>106.3189</v>
      </c>
    </row>
    <row r="179" spans="2:3">
      <c r="B179" s="30">
        <v>38398</v>
      </c>
      <c r="C179">
        <v>106.4832</v>
      </c>
    </row>
    <row r="180" spans="2:3">
      <c r="B180" s="30">
        <v>38399</v>
      </c>
      <c r="C180">
        <v>106.3426</v>
      </c>
    </row>
    <row r="181" spans="2:3">
      <c r="B181" s="30">
        <v>38400</v>
      </c>
      <c r="C181">
        <v>105.85509999999999</v>
      </c>
    </row>
    <row r="182" spans="2:3">
      <c r="B182" s="30">
        <v>38401</v>
      </c>
      <c r="C182">
        <v>105.7897</v>
      </c>
    </row>
    <row r="183" spans="2:3">
      <c r="B183" s="30">
        <v>38405</v>
      </c>
      <c r="C183">
        <v>104.89490000000001</v>
      </c>
    </row>
    <row r="184" spans="2:3">
      <c r="B184" s="30">
        <v>38406</v>
      </c>
      <c r="C184">
        <v>105.3081</v>
      </c>
    </row>
    <row r="185" spans="2:3">
      <c r="B185" s="30">
        <v>38407</v>
      </c>
      <c r="C185">
        <v>105.6469</v>
      </c>
    </row>
    <row r="186" spans="2:3">
      <c r="B186" s="30">
        <v>38408</v>
      </c>
      <c r="C186">
        <v>106.16</v>
      </c>
    </row>
    <row r="187" spans="2:3">
      <c r="B187" s="30">
        <v>38411</v>
      </c>
      <c r="C187">
        <v>105.6435</v>
      </c>
    </row>
    <row r="188" spans="2:3">
      <c r="B188" s="30">
        <v>38412</v>
      </c>
      <c r="C188">
        <v>105.8813</v>
      </c>
    </row>
    <row r="189" spans="2:3">
      <c r="B189" s="30">
        <v>38413</v>
      </c>
      <c r="C189">
        <v>105.87050000000001</v>
      </c>
    </row>
    <row r="190" spans="2:3">
      <c r="B190" s="30">
        <v>38414</v>
      </c>
      <c r="C190">
        <v>105.8737</v>
      </c>
    </row>
    <row r="191" spans="2:3">
      <c r="B191" s="30">
        <v>38415</v>
      </c>
      <c r="C191">
        <v>106.6163</v>
      </c>
    </row>
    <row r="192" spans="2:3">
      <c r="B192" s="30">
        <v>38418</v>
      </c>
      <c r="C192">
        <v>106.66930000000001</v>
      </c>
    </row>
    <row r="193" spans="2:3">
      <c r="B193" s="30">
        <v>38419</v>
      </c>
      <c r="C193">
        <v>106.325</v>
      </c>
    </row>
    <row r="194" spans="2:3">
      <c r="B194" s="30">
        <v>38420</v>
      </c>
      <c r="C194">
        <v>105.4992</v>
      </c>
    </row>
    <row r="195" spans="2:3">
      <c r="B195" s="30">
        <v>38421</v>
      </c>
      <c r="C195">
        <v>105.6799</v>
      </c>
    </row>
    <row r="196" spans="2:3">
      <c r="B196" s="30">
        <v>38422</v>
      </c>
      <c r="C196">
        <v>105.172</v>
      </c>
    </row>
    <row r="197" spans="2:3">
      <c r="B197" s="30">
        <v>38425</v>
      </c>
      <c r="C197">
        <v>105.4278</v>
      </c>
    </row>
    <row r="198" spans="2:3">
      <c r="B198" s="30">
        <v>38426</v>
      </c>
      <c r="C198">
        <v>105.0629</v>
      </c>
    </row>
    <row r="199" spans="2:3">
      <c r="B199" s="30">
        <v>38427</v>
      </c>
      <c r="C199">
        <v>104.76439999999999</v>
      </c>
    </row>
    <row r="200" spans="2:3">
      <c r="B200" s="30">
        <v>38428</v>
      </c>
      <c r="C200">
        <v>104.9556</v>
      </c>
    </row>
    <row r="201" spans="2:3">
      <c r="B201" s="30">
        <v>38429</v>
      </c>
      <c r="C201">
        <v>104.7719</v>
      </c>
    </row>
    <row r="202" spans="2:3">
      <c r="B202" s="30">
        <v>38432</v>
      </c>
      <c r="C202">
        <v>104.60720000000001</v>
      </c>
    </row>
    <row r="203" spans="2:3">
      <c r="B203" s="30">
        <v>38433</v>
      </c>
      <c r="C203">
        <v>103.9487</v>
      </c>
    </row>
    <row r="204" spans="2:3">
      <c r="B204" s="30">
        <v>38434</v>
      </c>
      <c r="C204">
        <v>103.9387</v>
      </c>
    </row>
    <row r="205" spans="2:3">
      <c r="B205" s="30">
        <v>38435</v>
      </c>
      <c r="C205">
        <v>104.0057</v>
      </c>
    </row>
    <row r="206" spans="2:3">
      <c r="B206" s="30">
        <v>38439</v>
      </c>
      <c r="C206">
        <v>103.98139999999999</v>
      </c>
    </row>
    <row r="207" spans="2:3">
      <c r="B207" s="30">
        <v>38440</v>
      </c>
      <c r="C207">
        <v>103.8145</v>
      </c>
    </row>
    <row r="208" spans="2:3">
      <c r="B208" s="30">
        <v>38441</v>
      </c>
      <c r="C208">
        <v>104.4599</v>
      </c>
    </row>
    <row r="209" spans="2:3">
      <c r="B209" s="30">
        <v>38442</v>
      </c>
      <c r="C209">
        <v>104.6015</v>
      </c>
    </row>
    <row r="210" spans="2:3">
      <c r="B210" s="30">
        <v>38443</v>
      </c>
      <c r="C210">
        <v>104.5163</v>
      </c>
    </row>
    <row r="211" spans="2:3">
      <c r="B211" s="30">
        <v>38446</v>
      </c>
      <c r="C211">
        <v>104.5943</v>
      </c>
    </row>
    <row r="212" spans="2:3">
      <c r="B212" s="30">
        <v>38447</v>
      </c>
      <c r="C212">
        <v>104.74</v>
      </c>
    </row>
    <row r="213" spans="2:3">
      <c r="B213" s="30">
        <v>38448</v>
      </c>
      <c r="C213">
        <v>104.97539999999999</v>
      </c>
    </row>
    <row r="214" spans="2:3">
      <c r="B214" s="30">
        <v>38449</v>
      </c>
      <c r="C214">
        <v>105.1031</v>
      </c>
    </row>
    <row r="215" spans="2:3">
      <c r="B215" s="30">
        <v>38450</v>
      </c>
      <c r="C215">
        <v>104.5985</v>
      </c>
    </row>
    <row r="216" spans="2:3">
      <c r="B216" s="30">
        <v>38453</v>
      </c>
      <c r="C216">
        <v>104.7158</v>
      </c>
    </row>
    <row r="217" spans="2:3">
      <c r="B217" s="30">
        <v>38454</v>
      </c>
      <c r="C217">
        <v>105.17059999999999</v>
      </c>
    </row>
    <row r="218" spans="2:3">
      <c r="B218" s="30">
        <v>38455</v>
      </c>
      <c r="C218">
        <v>104.684</v>
      </c>
    </row>
    <row r="219" spans="2:3">
      <c r="B219" s="30">
        <v>38456</v>
      </c>
      <c r="C219">
        <v>104.19</v>
      </c>
    </row>
    <row r="220" spans="2:3">
      <c r="B220" s="30">
        <v>38457</v>
      </c>
      <c r="C220">
        <v>103.854</v>
      </c>
    </row>
    <row r="221" spans="2:3">
      <c r="B221" s="30">
        <v>38460</v>
      </c>
      <c r="C221">
        <v>104.0295</v>
      </c>
    </row>
    <row r="222" spans="2:3">
      <c r="B222" s="30">
        <v>38461</v>
      </c>
      <c r="C222">
        <v>104.4828</v>
      </c>
    </row>
    <row r="223" spans="2:3">
      <c r="B223" s="30">
        <v>38462</v>
      </c>
      <c r="C223">
        <v>103.9521</v>
      </c>
    </row>
    <row r="224" spans="2:3">
      <c r="B224" s="30">
        <v>38463</v>
      </c>
      <c r="C224">
        <v>104.3232</v>
      </c>
    </row>
    <row r="225" spans="2:3">
      <c r="B225" s="30">
        <v>38464</v>
      </c>
      <c r="C225">
        <v>104.3122</v>
      </c>
    </row>
    <row r="226" spans="2:3">
      <c r="B226" s="30">
        <v>38467</v>
      </c>
      <c r="C226">
        <v>104.48180000000001</v>
      </c>
    </row>
    <row r="227" spans="2:3">
      <c r="B227" s="30">
        <v>38468</v>
      </c>
      <c r="C227">
        <v>104.1758</v>
      </c>
    </row>
    <row r="228" spans="2:3">
      <c r="B228" s="30">
        <v>38469</v>
      </c>
      <c r="C228">
        <v>104.34990000000001</v>
      </c>
    </row>
    <row r="229" spans="2:3">
      <c r="B229" s="30">
        <v>38470</v>
      </c>
      <c r="C229">
        <v>104.185</v>
      </c>
    </row>
    <row r="230" spans="2:3">
      <c r="B230" s="30">
        <v>38471</v>
      </c>
      <c r="C230">
        <v>104.4705</v>
      </c>
    </row>
    <row r="231" spans="2:3">
      <c r="B231" s="30">
        <v>38474</v>
      </c>
      <c r="C231">
        <v>104.6399</v>
      </c>
    </row>
    <row r="232" spans="2:3">
      <c r="B232" s="30">
        <v>38475</v>
      </c>
      <c r="C232">
        <v>104.6579</v>
      </c>
    </row>
    <row r="233" spans="2:3">
      <c r="B233" s="30">
        <v>38476</v>
      </c>
      <c r="C233">
        <v>105.00879999999999</v>
      </c>
    </row>
    <row r="234" spans="2:3">
      <c r="B234" s="30">
        <v>38477</v>
      </c>
      <c r="C234">
        <v>105.10590000000001</v>
      </c>
    </row>
    <row r="235" spans="2:3">
      <c r="B235" s="30">
        <v>38478</v>
      </c>
      <c r="C235">
        <v>104.5904</v>
      </c>
    </row>
    <row r="236" spans="2:3">
      <c r="B236" s="30">
        <v>38481</v>
      </c>
      <c r="C236">
        <v>104.7328</v>
      </c>
    </row>
    <row r="237" spans="2:3">
      <c r="B237" s="30">
        <v>38482</v>
      </c>
      <c r="C237">
        <v>104.5441</v>
      </c>
    </row>
    <row r="238" spans="2:3">
      <c r="B238" s="30">
        <v>38483</v>
      </c>
      <c r="C238">
        <v>104.7779</v>
      </c>
    </row>
    <row r="239" spans="2:3">
      <c r="B239" s="30">
        <v>38484</v>
      </c>
      <c r="C239">
        <v>104.4743</v>
      </c>
    </row>
    <row r="240" spans="2:3">
      <c r="B240" s="30">
        <v>38485</v>
      </c>
      <c r="C240">
        <v>104.5415</v>
      </c>
    </row>
    <row r="241" spans="2:3">
      <c r="B241" s="30">
        <v>38488</v>
      </c>
      <c r="C241">
        <v>104.8368</v>
      </c>
    </row>
    <row r="242" spans="2:3">
      <c r="B242" s="30">
        <v>38489</v>
      </c>
      <c r="C242">
        <v>105.1082</v>
      </c>
    </row>
    <row r="243" spans="2:3">
      <c r="B243" s="30">
        <v>38490</v>
      </c>
      <c r="C243">
        <v>105.6434</v>
      </c>
    </row>
    <row r="244" spans="2:3">
      <c r="B244" s="30">
        <v>38491</v>
      </c>
      <c r="C244">
        <v>105.705</v>
      </c>
    </row>
    <row r="245" spans="2:3">
      <c r="B245" s="30">
        <v>38492</v>
      </c>
      <c r="C245">
        <v>105.61799999999999</v>
      </c>
    </row>
    <row r="246" spans="2:3">
      <c r="B246" s="30">
        <v>38495</v>
      </c>
      <c r="C246">
        <v>105.99160000000001</v>
      </c>
    </row>
    <row r="247" spans="2:3">
      <c r="B247" s="30">
        <v>38496</v>
      </c>
      <c r="C247">
        <v>106.0192</v>
      </c>
    </row>
    <row r="248" spans="2:3">
      <c r="B248" s="30">
        <v>38497</v>
      </c>
      <c r="C248">
        <v>105.9123</v>
      </c>
    </row>
    <row r="249" spans="2:3">
      <c r="B249" s="30">
        <v>38498</v>
      </c>
      <c r="C249">
        <v>106.0775</v>
      </c>
    </row>
    <row r="250" spans="2:3">
      <c r="B250" s="30">
        <v>38499</v>
      </c>
      <c r="C250">
        <v>106.16030000000001</v>
      </c>
    </row>
    <row r="251" spans="2:3">
      <c r="B251" s="30">
        <v>38503</v>
      </c>
      <c r="C251">
        <v>106.0364</v>
      </c>
    </row>
    <row r="252" spans="2:3">
      <c r="B252" s="30">
        <v>38504</v>
      </c>
      <c r="C252">
        <v>106.6352</v>
      </c>
    </row>
    <row r="253" spans="2:3">
      <c r="B253" s="30">
        <v>38505</v>
      </c>
      <c r="C253">
        <v>106.8197</v>
      </c>
    </row>
    <row r="254" spans="2:3">
      <c r="B254" s="30">
        <v>38506</v>
      </c>
      <c r="C254">
        <v>106.37090000000001</v>
      </c>
    </row>
    <row r="255" spans="2:3">
      <c r="B255" s="30">
        <v>38509</v>
      </c>
      <c r="C255">
        <v>106.38079999999999</v>
      </c>
    </row>
    <row r="256" spans="2:3">
      <c r="B256" s="30">
        <v>38510</v>
      </c>
      <c r="C256">
        <v>106.54649999999999</v>
      </c>
    </row>
    <row r="257" spans="2:3">
      <c r="B257" s="30">
        <v>38511</v>
      </c>
      <c r="C257">
        <v>106.3442</v>
      </c>
    </row>
    <row r="258" spans="2:3">
      <c r="B258" s="30">
        <v>38512</v>
      </c>
      <c r="C258">
        <v>106.4414</v>
      </c>
    </row>
    <row r="259" spans="2:3">
      <c r="B259" s="30">
        <v>38513</v>
      </c>
      <c r="C259">
        <v>106.1657</v>
      </c>
    </row>
    <row r="260" spans="2:3">
      <c r="B260" s="30">
        <v>38516</v>
      </c>
      <c r="C260">
        <v>106.21550000000001</v>
      </c>
    </row>
    <row r="261" spans="2:3">
      <c r="B261" s="30">
        <v>38517</v>
      </c>
      <c r="C261">
        <v>106.2332</v>
      </c>
    </row>
    <row r="262" spans="2:3">
      <c r="B262" s="30">
        <v>38518</v>
      </c>
      <c r="C262">
        <v>106.30589999999999</v>
      </c>
    </row>
    <row r="263" spans="2:3">
      <c r="B263" s="30">
        <v>38519</v>
      </c>
      <c r="C263">
        <v>106.55119999999999</v>
      </c>
    </row>
    <row r="264" spans="2:3">
      <c r="B264" s="30">
        <v>38520</v>
      </c>
      <c r="C264">
        <v>106.7171</v>
      </c>
    </row>
    <row r="265" spans="2:3">
      <c r="B265" s="30">
        <v>38523</v>
      </c>
      <c r="C265">
        <v>106.64319999999999</v>
      </c>
    </row>
    <row r="266" spans="2:3">
      <c r="B266" s="30">
        <v>38524</v>
      </c>
      <c r="C266">
        <v>106.798</v>
      </c>
    </row>
    <row r="267" spans="2:3">
      <c r="B267" s="30">
        <v>38525</v>
      </c>
      <c r="C267">
        <v>107.01430000000001</v>
      </c>
    </row>
    <row r="268" spans="2:3">
      <c r="B268" s="30">
        <v>38526</v>
      </c>
      <c r="C268">
        <v>106.2058</v>
      </c>
    </row>
    <row r="269" spans="2:3">
      <c r="B269" s="30">
        <v>38527</v>
      </c>
      <c r="C269">
        <v>105.9175</v>
      </c>
    </row>
    <row r="270" spans="2:3">
      <c r="B270" s="30">
        <v>38530</v>
      </c>
      <c r="C270">
        <v>105.9605</v>
      </c>
    </row>
    <row r="271" spans="2:3">
      <c r="B271" s="30">
        <v>38531</v>
      </c>
      <c r="C271">
        <v>106.3087</v>
      </c>
    </row>
    <row r="272" spans="2:3">
      <c r="B272" s="30">
        <v>38532</v>
      </c>
      <c r="C272">
        <v>106.07680000000001</v>
      </c>
    </row>
    <row r="273" spans="2:3">
      <c r="B273" s="30">
        <v>38533</v>
      </c>
      <c r="C273">
        <v>105.7895</v>
      </c>
    </row>
    <row r="274" spans="2:3">
      <c r="B274" s="30">
        <v>38534</v>
      </c>
      <c r="C274">
        <v>105.80929999999999</v>
      </c>
    </row>
    <row r="275" spans="2:3">
      <c r="B275" s="30">
        <v>38538</v>
      </c>
      <c r="C275">
        <v>106.1161</v>
      </c>
    </row>
    <row r="276" spans="2:3">
      <c r="B276" s="30">
        <v>38539</v>
      </c>
      <c r="C276">
        <v>105.6704</v>
      </c>
    </row>
    <row r="277" spans="2:3">
      <c r="B277" s="30">
        <v>38540</v>
      </c>
      <c r="C277">
        <v>105.93899999999999</v>
      </c>
    </row>
    <row r="278" spans="2:3">
      <c r="B278" s="30">
        <v>38541</v>
      </c>
      <c r="C278">
        <v>106.4808</v>
      </c>
    </row>
    <row r="279" spans="2:3">
      <c r="B279" s="30">
        <v>38544</v>
      </c>
      <c r="C279">
        <v>106.8383</v>
      </c>
    </row>
    <row r="280" spans="2:3">
      <c r="B280" s="30">
        <v>38545</v>
      </c>
      <c r="C280">
        <v>106.858</v>
      </c>
    </row>
    <row r="281" spans="2:3">
      <c r="B281" s="30">
        <v>38546</v>
      </c>
      <c r="C281">
        <v>106.93859999999999</v>
      </c>
    </row>
    <row r="282" spans="2:3">
      <c r="B282" s="30">
        <v>38547</v>
      </c>
      <c r="C282">
        <v>107.0868</v>
      </c>
    </row>
    <row r="283" spans="2:3">
      <c r="B283" s="30">
        <v>38548</v>
      </c>
      <c r="C283">
        <v>107.0765</v>
      </c>
    </row>
    <row r="284" spans="2:3">
      <c r="B284" s="30">
        <v>38551</v>
      </c>
      <c r="C284">
        <v>106.7882</v>
      </c>
    </row>
    <row r="285" spans="2:3">
      <c r="B285" s="30">
        <v>38552</v>
      </c>
      <c r="C285">
        <v>107.1482</v>
      </c>
    </row>
    <row r="286" spans="2:3">
      <c r="B286" s="30">
        <v>38553</v>
      </c>
      <c r="C286">
        <v>107.3396</v>
      </c>
    </row>
    <row r="287" spans="2:3">
      <c r="B287" s="30">
        <v>38554</v>
      </c>
      <c r="C287">
        <v>106.84399999999999</v>
      </c>
    </row>
    <row r="288" spans="2:3">
      <c r="B288" s="30">
        <v>38555</v>
      </c>
      <c r="C288">
        <v>107.25149999999999</v>
      </c>
    </row>
    <row r="289" spans="2:3">
      <c r="B289" s="30">
        <v>38558</v>
      </c>
      <c r="C289">
        <v>107.0823</v>
      </c>
    </row>
    <row r="290" spans="2:3">
      <c r="B290" s="30">
        <v>38559</v>
      </c>
      <c r="C290">
        <v>107.1341</v>
      </c>
    </row>
    <row r="291" spans="2:3">
      <c r="B291" s="30">
        <v>38560</v>
      </c>
      <c r="C291">
        <v>107.3167</v>
      </c>
    </row>
    <row r="292" spans="2:3">
      <c r="B292" s="30">
        <v>38561</v>
      </c>
      <c r="C292">
        <v>107.7848</v>
      </c>
    </row>
    <row r="293" spans="2:3">
      <c r="B293" s="30">
        <v>38562</v>
      </c>
      <c r="C293">
        <v>107.1151</v>
      </c>
    </row>
    <row r="294" spans="2:3">
      <c r="B294" s="30">
        <v>38565</v>
      </c>
      <c r="C294">
        <v>107.0946</v>
      </c>
    </row>
    <row r="295" spans="2:3">
      <c r="B295" s="30">
        <v>38566</v>
      </c>
      <c r="C295">
        <v>107.4229</v>
      </c>
    </row>
    <row r="296" spans="2:3">
      <c r="B296" s="30">
        <v>38567</v>
      </c>
      <c r="C296">
        <v>107.6367</v>
      </c>
    </row>
    <row r="297" spans="2:3">
      <c r="B297" s="30">
        <v>38568</v>
      </c>
      <c r="C297">
        <v>107.09569999999999</v>
      </c>
    </row>
    <row r="298" spans="2:3">
      <c r="B298" s="30">
        <v>38569</v>
      </c>
      <c r="C298">
        <v>106.52549999999999</v>
      </c>
    </row>
    <row r="299" spans="2:3">
      <c r="B299" s="30">
        <v>38572</v>
      </c>
      <c r="C299">
        <v>106.34399999999999</v>
      </c>
    </row>
    <row r="300" spans="2:3">
      <c r="B300" s="30">
        <v>38573</v>
      </c>
      <c r="C300">
        <v>106.7556</v>
      </c>
    </row>
    <row r="301" spans="2:3">
      <c r="B301" s="30">
        <v>38574</v>
      </c>
      <c r="C301">
        <v>106.7364</v>
      </c>
    </row>
    <row r="302" spans="2:3">
      <c r="B302" s="30">
        <v>38575</v>
      </c>
      <c r="C302">
        <v>107.09269999999999</v>
      </c>
    </row>
    <row r="303" spans="2:3">
      <c r="B303" s="30">
        <v>38576</v>
      </c>
      <c r="C303">
        <v>106.8925</v>
      </c>
    </row>
    <row r="304" spans="2:3">
      <c r="B304" s="30">
        <v>38579</v>
      </c>
      <c r="C304">
        <v>107.1344</v>
      </c>
    </row>
    <row r="305" spans="2:3">
      <c r="B305" s="30">
        <v>38580</v>
      </c>
      <c r="C305">
        <v>106.48180000000001</v>
      </c>
    </row>
    <row r="306" spans="2:3">
      <c r="B306" s="30">
        <v>38581</v>
      </c>
      <c r="C306">
        <v>106.39149999999999</v>
      </c>
    </row>
    <row r="307" spans="2:3">
      <c r="B307" s="30">
        <v>38582</v>
      </c>
      <c r="C307">
        <v>106.5129</v>
      </c>
    </row>
    <row r="308" spans="2:3">
      <c r="B308" s="30">
        <v>38583</v>
      </c>
      <c r="C308">
        <v>106.6348</v>
      </c>
    </row>
    <row r="309" spans="2:3">
      <c r="B309" s="30">
        <v>38586</v>
      </c>
      <c r="C309">
        <v>106.6602</v>
      </c>
    </row>
    <row r="310" spans="2:3">
      <c r="B310" s="30">
        <v>38587</v>
      </c>
      <c r="C310">
        <v>106.5967</v>
      </c>
    </row>
    <row r="311" spans="2:3">
      <c r="B311" s="30">
        <v>38588</v>
      </c>
      <c r="C311">
        <v>106.0184</v>
      </c>
    </row>
    <row r="312" spans="2:3">
      <c r="B312" s="30">
        <v>38589</v>
      </c>
      <c r="C312">
        <v>106.2299</v>
      </c>
    </row>
    <row r="313" spans="2:3">
      <c r="B313" s="30">
        <v>38590</v>
      </c>
      <c r="C313">
        <v>105.77719999999999</v>
      </c>
    </row>
    <row r="314" spans="2:3">
      <c r="B314" s="30">
        <v>38593</v>
      </c>
      <c r="C314">
        <v>106.2197</v>
      </c>
    </row>
    <row r="315" spans="2:3">
      <c r="B315" s="30">
        <v>38594</v>
      </c>
      <c r="C315">
        <v>106.1288</v>
      </c>
    </row>
    <row r="316" spans="2:3">
      <c r="B316" s="30">
        <v>38595</v>
      </c>
      <c r="C316">
        <v>106.9068</v>
      </c>
    </row>
    <row r="317" spans="2:3">
      <c r="B317" s="30">
        <v>38596</v>
      </c>
      <c r="C317">
        <v>106.9786</v>
      </c>
    </row>
    <row r="318" spans="2:3">
      <c r="B318" s="30">
        <v>38597</v>
      </c>
      <c r="C318">
        <v>106.8533</v>
      </c>
    </row>
    <row r="319" spans="2:3">
      <c r="B319" s="30">
        <v>38601</v>
      </c>
      <c r="C319">
        <v>107.3597</v>
      </c>
    </row>
    <row r="320" spans="2:3">
      <c r="B320" s="30">
        <v>38602</v>
      </c>
      <c r="C320">
        <v>107.2726</v>
      </c>
    </row>
    <row r="321" spans="2:3">
      <c r="B321" s="30">
        <v>38603</v>
      </c>
      <c r="C321">
        <v>107.1219</v>
      </c>
    </row>
    <row r="322" spans="2:3">
      <c r="B322" s="30">
        <v>38604</v>
      </c>
      <c r="C322">
        <v>107.5487</v>
      </c>
    </row>
    <row r="323" spans="2:3">
      <c r="B323" s="30">
        <v>38607</v>
      </c>
      <c r="C323">
        <v>107.37860000000001</v>
      </c>
    </row>
    <row r="324" spans="2:3">
      <c r="B324" s="30">
        <v>38608</v>
      </c>
      <c r="C324">
        <v>107.1919</v>
      </c>
    </row>
    <row r="325" spans="2:3">
      <c r="B325" s="30">
        <v>38609</v>
      </c>
      <c r="C325">
        <v>106.9474</v>
      </c>
    </row>
    <row r="326" spans="2:3">
      <c r="B326" s="30">
        <v>38610</v>
      </c>
      <c r="C326">
        <v>106.8142</v>
      </c>
    </row>
    <row r="327" spans="2:3">
      <c r="B327" s="30">
        <v>38611</v>
      </c>
      <c r="C327">
        <v>107.0629</v>
      </c>
    </row>
    <row r="328" spans="2:3">
      <c r="B328" s="30">
        <v>38614</v>
      </c>
      <c r="C328">
        <v>106.9226</v>
      </c>
    </row>
    <row r="329" spans="2:3">
      <c r="B329" s="30">
        <v>38615</v>
      </c>
      <c r="C329">
        <v>106.41970000000001</v>
      </c>
    </row>
    <row r="330" spans="2:3">
      <c r="B330" s="30">
        <v>38616</v>
      </c>
      <c r="C330">
        <v>105.9892</v>
      </c>
    </row>
    <row r="331" spans="2:3">
      <c r="B331" s="30">
        <v>38617</v>
      </c>
      <c r="C331">
        <v>106.1853</v>
      </c>
    </row>
    <row r="332" spans="2:3">
      <c r="B332" s="30">
        <v>38618</v>
      </c>
      <c r="C332">
        <v>106.0437</v>
      </c>
    </row>
    <row r="333" spans="2:3">
      <c r="B333" s="30">
        <v>38621</v>
      </c>
      <c r="C333">
        <v>105.9995</v>
      </c>
    </row>
    <row r="334" spans="2:3">
      <c r="B334" s="30">
        <v>38622</v>
      </c>
      <c r="C334">
        <v>105.9693</v>
      </c>
    </row>
    <row r="335" spans="2:3">
      <c r="B335" s="30">
        <v>38623</v>
      </c>
      <c r="C335">
        <v>106.06489999999999</v>
      </c>
    </row>
    <row r="336" spans="2:3">
      <c r="B336" s="30">
        <v>38624</v>
      </c>
      <c r="C336">
        <v>106.4299</v>
      </c>
    </row>
    <row r="337" spans="2:3">
      <c r="B337" s="30">
        <v>38625</v>
      </c>
      <c r="C337">
        <v>106.45950000000001</v>
      </c>
    </row>
    <row r="338" spans="2:3">
      <c r="B338" s="30">
        <v>38628</v>
      </c>
      <c r="C338">
        <v>106.2312</v>
      </c>
    </row>
    <row r="339" spans="2:3">
      <c r="B339" s="30">
        <v>38629</v>
      </c>
      <c r="C339">
        <v>105.5181</v>
      </c>
    </row>
    <row r="340" spans="2:3">
      <c r="B340" s="30">
        <v>38630</v>
      </c>
      <c r="C340">
        <v>104.7323</v>
      </c>
    </row>
    <row r="341" spans="2:3">
      <c r="B341" s="30">
        <v>38631</v>
      </c>
      <c r="C341">
        <v>104.5449</v>
      </c>
    </row>
    <row r="342" spans="2:3">
      <c r="B342" s="30">
        <v>38632</v>
      </c>
      <c r="C342">
        <v>104.6972</v>
      </c>
    </row>
    <row r="343" spans="2:3">
      <c r="B343" s="30">
        <v>38636</v>
      </c>
      <c r="C343">
        <v>104.1292</v>
      </c>
    </row>
    <row r="344" spans="2:3">
      <c r="B344" s="30">
        <v>38637</v>
      </c>
      <c r="C344">
        <v>103.54259999999999</v>
      </c>
    </row>
    <row r="345" spans="2:3">
      <c r="B345" s="30">
        <v>38638</v>
      </c>
      <c r="C345">
        <v>103.4525</v>
      </c>
    </row>
    <row r="346" spans="2:3">
      <c r="B346" s="30">
        <v>38639</v>
      </c>
      <c r="C346">
        <v>103.95</v>
      </c>
    </row>
    <row r="347" spans="2:3">
      <c r="B347" s="30">
        <v>38642</v>
      </c>
      <c r="C347">
        <v>104.1374</v>
      </c>
    </row>
    <row r="348" spans="2:3">
      <c r="B348" s="30">
        <v>38643</v>
      </c>
      <c r="C348">
        <v>103.6339</v>
      </c>
    </row>
    <row r="349" spans="2:3">
      <c r="B349" s="30">
        <v>38644</v>
      </c>
      <c r="C349">
        <v>104.4667</v>
      </c>
    </row>
    <row r="350" spans="2:3">
      <c r="B350" s="30">
        <v>38645</v>
      </c>
      <c r="C350">
        <v>103.6108</v>
      </c>
    </row>
    <row r="351" spans="2:3">
      <c r="B351" s="30">
        <v>38646</v>
      </c>
      <c r="C351">
        <v>103.94029999999999</v>
      </c>
    </row>
    <row r="352" spans="2:3">
      <c r="B352" s="30">
        <v>38649</v>
      </c>
      <c r="C352">
        <v>104.4705</v>
      </c>
    </row>
    <row r="353" spans="2:3">
      <c r="B353" s="30">
        <v>38650</v>
      </c>
      <c r="C353">
        <v>104.1752</v>
      </c>
    </row>
    <row r="354" spans="2:3">
      <c r="B354" s="30">
        <v>38651</v>
      </c>
      <c r="C354">
        <v>103.8553</v>
      </c>
    </row>
    <row r="355" spans="2:3">
      <c r="B355" s="30">
        <v>38652</v>
      </c>
      <c r="C355">
        <v>103.532</v>
      </c>
    </row>
    <row r="356" spans="2:3">
      <c r="B356" s="30">
        <v>38653</v>
      </c>
      <c r="C356">
        <v>104.01349999999999</v>
      </c>
    </row>
    <row r="357" spans="2:3">
      <c r="B357" s="30">
        <v>38656</v>
      </c>
      <c r="C357">
        <v>104.32080000000001</v>
      </c>
    </row>
    <row r="358" spans="2:3">
      <c r="B358" s="30">
        <v>38657</v>
      </c>
      <c r="C358">
        <v>104.1627</v>
      </c>
    </row>
    <row r="359" spans="2:3">
      <c r="B359" s="30">
        <v>38658</v>
      </c>
      <c r="C359">
        <v>104.37909999999999</v>
      </c>
    </row>
    <row r="360" spans="2:3">
      <c r="B360" s="30">
        <v>38659</v>
      </c>
      <c r="C360">
        <v>104.38290000000001</v>
      </c>
    </row>
    <row r="361" spans="2:3">
      <c r="B361" s="30">
        <v>38660</v>
      </c>
      <c r="C361">
        <v>104.3092</v>
      </c>
    </row>
    <row r="362" spans="2:3">
      <c r="B362" s="30">
        <v>38663</v>
      </c>
      <c r="C362">
        <v>104.37820000000001</v>
      </c>
    </row>
    <row r="363" spans="2:3">
      <c r="B363" s="30">
        <v>38664</v>
      </c>
      <c r="C363">
        <v>104.6023</v>
      </c>
    </row>
    <row r="364" spans="2:3">
      <c r="B364" s="30">
        <v>38665</v>
      </c>
      <c r="C364">
        <v>104.4169</v>
      </c>
    </row>
    <row r="365" spans="2:3">
      <c r="B365" s="30">
        <v>38666</v>
      </c>
      <c r="C365">
        <v>104.9297</v>
      </c>
    </row>
    <row r="366" spans="2:3">
      <c r="B366" s="30">
        <v>38670</v>
      </c>
      <c r="C366">
        <v>104.8601</v>
      </c>
    </row>
    <row r="367" spans="2:3">
      <c r="B367" s="30">
        <v>38671</v>
      </c>
      <c r="C367">
        <v>104.8745</v>
      </c>
    </row>
    <row r="368" spans="2:3">
      <c r="B368" s="30">
        <v>38672</v>
      </c>
      <c r="C368">
        <v>105.1649</v>
      </c>
    </row>
    <row r="369" spans="2:3">
      <c r="B369" s="30">
        <v>38673</v>
      </c>
      <c r="C369">
        <v>105.5782</v>
      </c>
    </row>
    <row r="370" spans="2:3">
      <c r="B370" s="30">
        <v>38674</v>
      </c>
      <c r="C370">
        <v>105.60939999999999</v>
      </c>
    </row>
    <row r="371" spans="2:3">
      <c r="B371" s="30">
        <v>38677</v>
      </c>
      <c r="C371">
        <v>105.9457</v>
      </c>
    </row>
    <row r="372" spans="2:3">
      <c r="B372" s="30">
        <v>38678</v>
      </c>
      <c r="C372">
        <v>106.2525</v>
      </c>
    </row>
    <row r="373" spans="2:3">
      <c r="B373" s="30">
        <v>38679</v>
      </c>
      <c r="C373">
        <v>106.31180000000001</v>
      </c>
    </row>
    <row r="374" spans="2:3">
      <c r="B374" s="30">
        <v>38681</v>
      </c>
      <c r="C374">
        <v>106.4943</v>
      </c>
    </row>
    <row r="375" spans="2:3">
      <c r="B375" s="30">
        <v>38684</v>
      </c>
      <c r="C375">
        <v>106.2724</v>
      </c>
    </row>
    <row r="376" spans="2:3">
      <c r="B376" s="30">
        <v>38685</v>
      </c>
      <c r="C376">
        <v>105.9751</v>
      </c>
    </row>
    <row r="377" spans="2:3">
      <c r="B377" s="30">
        <v>38686</v>
      </c>
      <c r="C377">
        <v>105.64919999999999</v>
      </c>
    </row>
    <row r="378" spans="2:3">
      <c r="B378" s="30">
        <v>38687</v>
      </c>
      <c r="C378">
        <v>105.9995</v>
      </c>
    </row>
    <row r="379" spans="2:3">
      <c r="B379" s="30">
        <v>38688</v>
      </c>
      <c r="C379">
        <v>106.0682</v>
      </c>
    </row>
    <row r="380" spans="2:3">
      <c r="B380" s="30">
        <v>38691</v>
      </c>
      <c r="C380">
        <v>105.86109999999999</v>
      </c>
    </row>
    <row r="381" spans="2:3">
      <c r="B381" s="30">
        <v>38692</v>
      </c>
      <c r="C381">
        <v>106.14190000000001</v>
      </c>
    </row>
    <row r="382" spans="2:3">
      <c r="B382" s="30">
        <v>38693</v>
      </c>
      <c r="C382">
        <v>105.8462</v>
      </c>
    </row>
    <row r="383" spans="2:3">
      <c r="B383" s="30">
        <v>38694</v>
      </c>
      <c r="C383">
        <v>105.9979</v>
      </c>
    </row>
    <row r="384" spans="2:3">
      <c r="B384" s="30">
        <v>38695</v>
      </c>
      <c r="C384">
        <v>105.8535</v>
      </c>
    </row>
    <row r="385" spans="2:3">
      <c r="B385" s="30">
        <v>38698</v>
      </c>
      <c r="C385">
        <v>105.8704</v>
      </c>
    </row>
    <row r="386" spans="2:3">
      <c r="B386" s="30">
        <v>38699</v>
      </c>
      <c r="C386">
        <v>106.1884</v>
      </c>
    </row>
    <row r="387" spans="2:3">
      <c r="B387" s="30">
        <v>38700</v>
      </c>
      <c r="C387">
        <v>106.58969999999999</v>
      </c>
    </row>
    <row r="388" spans="2:3">
      <c r="B388" s="30">
        <v>38701</v>
      </c>
      <c r="C388">
        <v>106.4114</v>
      </c>
    </row>
    <row r="389" spans="2:3">
      <c r="B389" s="30">
        <v>38702</v>
      </c>
      <c r="C389">
        <v>106.3545</v>
      </c>
    </row>
    <row r="390" spans="2:3">
      <c r="B390" s="30">
        <v>38705</v>
      </c>
      <c r="C390">
        <v>106.1049</v>
      </c>
    </row>
    <row r="391" spans="2:3">
      <c r="B391" s="30">
        <v>38706</v>
      </c>
      <c r="C391">
        <v>106.0637</v>
      </c>
    </row>
    <row r="392" spans="2:3">
      <c r="B392" s="30">
        <v>38707</v>
      </c>
      <c r="C392">
        <v>106.0881</v>
      </c>
    </row>
    <row r="393" spans="2:3">
      <c r="B393" s="30">
        <v>38708</v>
      </c>
      <c r="C393">
        <v>106.4614</v>
      </c>
    </row>
    <row r="394" spans="2:3">
      <c r="B394" s="30">
        <v>38709</v>
      </c>
      <c r="C394">
        <v>106.6366</v>
      </c>
    </row>
    <row r="395" spans="2:3">
      <c r="B395" s="30">
        <v>38713</v>
      </c>
      <c r="C395">
        <v>106.14960000000001</v>
      </c>
    </row>
    <row r="396" spans="2:3">
      <c r="B396" s="30">
        <v>38714</v>
      </c>
      <c r="C396">
        <v>106.13809999999999</v>
      </c>
    </row>
    <row r="397" spans="2:3">
      <c r="B397" s="30">
        <v>38715</v>
      </c>
      <c r="C397">
        <v>105.87390000000001</v>
      </c>
    </row>
    <row r="398" spans="2:3">
      <c r="B398" s="30">
        <v>38716</v>
      </c>
      <c r="C398">
        <v>105.5613</v>
      </c>
    </row>
    <row r="399" spans="2:3">
      <c r="B399" s="30">
        <v>38720</v>
      </c>
      <c r="C399">
        <v>106.7222</v>
      </c>
    </row>
    <row r="400" spans="2:3">
      <c r="B400" s="30">
        <v>38721</v>
      </c>
      <c r="C400">
        <v>107.0823</v>
      </c>
    </row>
    <row r="401" spans="2:3">
      <c r="B401" s="30">
        <v>38722</v>
      </c>
      <c r="C401">
        <v>107.11669999999999</v>
      </c>
    </row>
    <row r="402" spans="2:3">
      <c r="B402" s="30">
        <v>38723</v>
      </c>
      <c r="C402">
        <v>107.6054</v>
      </c>
    </row>
    <row r="403" spans="2:3">
      <c r="B403" s="30">
        <v>38726</v>
      </c>
      <c r="C403">
        <v>107.767</v>
      </c>
    </row>
    <row r="404" spans="2:3">
      <c r="B404" s="30">
        <v>38727</v>
      </c>
      <c r="C404">
        <v>107.7115</v>
      </c>
    </row>
    <row r="405" spans="2:3">
      <c r="B405" s="30">
        <v>38728</v>
      </c>
      <c r="C405">
        <v>107.80240000000001</v>
      </c>
    </row>
    <row r="406" spans="2:3">
      <c r="B406" s="30">
        <v>38729</v>
      </c>
      <c r="C406">
        <v>107.6422</v>
      </c>
    </row>
    <row r="407" spans="2:3">
      <c r="B407" s="30">
        <v>38730</v>
      </c>
      <c r="C407">
        <v>107.7513</v>
      </c>
    </row>
    <row r="408" spans="2:3">
      <c r="B408" s="30">
        <v>38734</v>
      </c>
      <c r="C408">
        <v>107.63</v>
      </c>
    </row>
    <row r="409" spans="2:3">
      <c r="B409" s="30">
        <v>38735</v>
      </c>
      <c r="C409">
        <v>107.3466</v>
      </c>
    </row>
    <row r="410" spans="2:3">
      <c r="B410" s="30">
        <v>38736</v>
      </c>
      <c r="C410">
        <v>107.4795</v>
      </c>
    </row>
    <row r="411" spans="2:3">
      <c r="B411" s="30">
        <v>38737</v>
      </c>
      <c r="C411">
        <v>106.4027</v>
      </c>
    </row>
    <row r="412" spans="2:3">
      <c r="B412" s="30">
        <v>38740</v>
      </c>
      <c r="C412">
        <v>106.6313</v>
      </c>
    </row>
    <row r="413" spans="2:3">
      <c r="B413" s="30">
        <v>38741</v>
      </c>
      <c r="C413">
        <v>106.6305</v>
      </c>
    </row>
    <row r="414" spans="2:3">
      <c r="B414" s="30">
        <v>38742</v>
      </c>
      <c r="C414">
        <v>106.4323</v>
      </c>
    </row>
    <row r="415" spans="2:3">
      <c r="B415" s="30">
        <v>38743</v>
      </c>
      <c r="C415">
        <v>106.6026</v>
      </c>
    </row>
    <row r="416" spans="2:3">
      <c r="B416" s="30">
        <v>38744</v>
      </c>
      <c r="C416">
        <v>107.06399999999999</v>
      </c>
    </row>
    <row r="417" spans="2:3">
      <c r="B417" s="30">
        <v>38747</v>
      </c>
      <c r="C417">
        <v>106.9764</v>
      </c>
    </row>
    <row r="418" spans="2:3">
      <c r="B418" s="30">
        <v>38748</v>
      </c>
      <c r="C418">
        <v>106.7847</v>
      </c>
    </row>
    <row r="419" spans="2:3">
      <c r="B419" s="30">
        <v>38749</v>
      </c>
      <c r="C419">
        <v>106.8207</v>
      </c>
    </row>
    <row r="420" spans="2:3">
      <c r="B420" s="30">
        <v>38750</v>
      </c>
      <c r="C420">
        <v>106.2521</v>
      </c>
    </row>
    <row r="421" spans="2:3">
      <c r="B421" s="30">
        <v>38751</v>
      </c>
      <c r="C421">
        <v>106.05249999999999</v>
      </c>
    </row>
    <row r="422" spans="2:3">
      <c r="B422" s="30">
        <v>38754</v>
      </c>
      <c r="C422">
        <v>106.15900000000001</v>
      </c>
    </row>
    <row r="423" spans="2:3">
      <c r="B423" s="30">
        <v>38755</v>
      </c>
      <c r="C423">
        <v>105.65649999999999</v>
      </c>
    </row>
    <row r="424" spans="2:3">
      <c r="B424" s="30">
        <v>38756</v>
      </c>
      <c r="C424">
        <v>106.0523</v>
      </c>
    </row>
    <row r="425" spans="2:3">
      <c r="B425" s="30">
        <v>38757</v>
      </c>
      <c r="C425">
        <v>105.9708</v>
      </c>
    </row>
    <row r="426" spans="2:3">
      <c r="B426" s="30">
        <v>38758</v>
      </c>
      <c r="C426">
        <v>105.9838</v>
      </c>
    </row>
    <row r="427" spans="2:3">
      <c r="B427" s="30">
        <v>38761</v>
      </c>
      <c r="C427">
        <v>105.8943</v>
      </c>
    </row>
    <row r="428" spans="2:3">
      <c r="B428" s="30">
        <v>38762</v>
      </c>
      <c r="C428">
        <v>106.3261</v>
      </c>
    </row>
    <row r="429" spans="2:3">
      <c r="B429" s="30">
        <v>38763</v>
      </c>
      <c r="C429">
        <v>106.4978</v>
      </c>
    </row>
    <row r="430" spans="2:3">
      <c r="B430" s="30">
        <v>38764</v>
      </c>
      <c r="C430">
        <v>106.88890000000001</v>
      </c>
    </row>
    <row r="431" spans="2:3">
      <c r="B431" s="30">
        <v>38765</v>
      </c>
      <c r="C431">
        <v>106.9171</v>
      </c>
    </row>
    <row r="432" spans="2:3">
      <c r="B432" s="30">
        <v>38769</v>
      </c>
      <c r="C432">
        <v>106.7127</v>
      </c>
    </row>
    <row r="433" spans="2:3">
      <c r="B433" s="30">
        <v>38770</v>
      </c>
      <c r="C433">
        <v>107.0655</v>
      </c>
    </row>
    <row r="434" spans="2:3">
      <c r="B434" s="30">
        <v>38771</v>
      </c>
      <c r="C434">
        <v>106.88200000000001</v>
      </c>
    </row>
    <row r="435" spans="2:3">
      <c r="B435" s="30">
        <v>38772</v>
      </c>
      <c r="C435">
        <v>106.9987</v>
      </c>
    </row>
    <row r="436" spans="2:3">
      <c r="B436" s="30">
        <v>38775</v>
      </c>
      <c r="C436">
        <v>106.9937</v>
      </c>
    </row>
    <row r="437" spans="2:3">
      <c r="B437" s="30">
        <v>38776</v>
      </c>
      <c r="C437">
        <v>106.6157</v>
      </c>
    </row>
    <row r="438" spans="2:3">
      <c r="B438" s="30">
        <v>38777</v>
      </c>
      <c r="C438">
        <v>106.95010000000001</v>
      </c>
    </row>
    <row r="439" spans="2:3">
      <c r="B439" s="30">
        <v>38778</v>
      </c>
      <c r="C439">
        <v>106.82259999999999</v>
      </c>
    </row>
    <row r="440" spans="2:3">
      <c r="B440" s="30">
        <v>38779</v>
      </c>
      <c r="C440">
        <v>106.5155</v>
      </c>
    </row>
    <row r="441" spans="2:3">
      <c r="B441" s="30">
        <v>38782</v>
      </c>
      <c r="C441">
        <v>106.1071</v>
      </c>
    </row>
    <row r="442" spans="2:3">
      <c r="B442" s="30">
        <v>38783</v>
      </c>
      <c r="C442">
        <v>106.0145</v>
      </c>
    </row>
    <row r="443" spans="2:3">
      <c r="B443" s="30">
        <v>38784</v>
      </c>
      <c r="C443">
        <v>106.114</v>
      </c>
    </row>
    <row r="444" spans="2:3">
      <c r="B444" s="30">
        <v>38785</v>
      </c>
      <c r="C444">
        <v>105.7693</v>
      </c>
    </row>
    <row r="445" spans="2:3">
      <c r="B445" s="30">
        <v>38786</v>
      </c>
      <c r="C445">
        <v>106.2471</v>
      </c>
    </row>
    <row r="446" spans="2:3">
      <c r="B446" s="30">
        <v>38789</v>
      </c>
      <c r="C446">
        <v>106.3396</v>
      </c>
    </row>
    <row r="447" spans="2:3">
      <c r="B447" s="30">
        <v>38790</v>
      </c>
      <c r="C447">
        <v>107.12569999999999</v>
      </c>
    </row>
    <row r="448" spans="2:3">
      <c r="B448" s="30">
        <v>38791</v>
      </c>
      <c r="C448">
        <v>107.32389999999999</v>
      </c>
    </row>
    <row r="449" spans="2:3">
      <c r="B449" s="30">
        <v>38792</v>
      </c>
      <c r="C449">
        <v>107.6461</v>
      </c>
    </row>
    <row r="450" spans="2:3">
      <c r="B450" s="30">
        <v>38793</v>
      </c>
      <c r="C450">
        <v>107.62350000000001</v>
      </c>
    </row>
    <row r="451" spans="2:3">
      <c r="B451" s="30">
        <v>38796</v>
      </c>
      <c r="C451">
        <v>107.5825</v>
      </c>
    </row>
    <row r="452" spans="2:3">
      <c r="B452" s="30">
        <v>38797</v>
      </c>
      <c r="C452">
        <v>107.07980000000001</v>
      </c>
    </row>
    <row r="453" spans="2:3">
      <c r="B453" s="30">
        <v>38798</v>
      </c>
      <c r="C453">
        <v>107.3989</v>
      </c>
    </row>
    <row r="454" spans="2:3">
      <c r="B454" s="30">
        <v>38799</v>
      </c>
      <c r="C454">
        <v>107.1921</v>
      </c>
    </row>
    <row r="455" spans="2:3">
      <c r="B455" s="30">
        <v>38800</v>
      </c>
      <c r="C455">
        <v>107.3853</v>
      </c>
    </row>
    <row r="456" spans="2:3">
      <c r="B456" s="30">
        <v>38803</v>
      </c>
      <c r="C456">
        <v>107.2529</v>
      </c>
    </row>
    <row r="457" spans="2:3">
      <c r="B457" s="30">
        <v>38804</v>
      </c>
      <c r="C457">
        <v>106.69110000000001</v>
      </c>
    </row>
    <row r="458" spans="2:3">
      <c r="B458" s="30">
        <v>38805</v>
      </c>
      <c r="C458">
        <v>106.9966</v>
      </c>
    </row>
    <row r="459" spans="2:3">
      <c r="B459" s="30">
        <v>38806</v>
      </c>
      <c r="C459">
        <v>106.79510000000001</v>
      </c>
    </row>
    <row r="460" spans="2:3">
      <c r="B460" s="30">
        <v>38807</v>
      </c>
      <c r="C460">
        <v>106.6195</v>
      </c>
    </row>
    <row r="461" spans="2:3">
      <c r="B461" s="30">
        <v>38810</v>
      </c>
      <c r="C461">
        <v>106.6867</v>
      </c>
    </row>
    <row r="462" spans="2:3">
      <c r="B462" s="30">
        <v>38811</v>
      </c>
      <c r="C462">
        <v>107.13500000000001</v>
      </c>
    </row>
    <row r="463" spans="2:3">
      <c r="B463" s="30">
        <v>38812</v>
      </c>
      <c r="C463">
        <v>107.41889999999999</v>
      </c>
    </row>
    <row r="464" spans="2:3">
      <c r="B464" s="30">
        <v>38813</v>
      </c>
      <c r="C464">
        <v>107.2586</v>
      </c>
    </row>
    <row r="465" spans="2:3">
      <c r="B465" s="30">
        <v>38814</v>
      </c>
      <c r="C465">
        <v>106.4659</v>
      </c>
    </row>
    <row r="466" spans="2:3">
      <c r="B466" s="30">
        <v>38817</v>
      </c>
      <c r="C466">
        <v>106.5471</v>
      </c>
    </row>
    <row r="467" spans="2:3">
      <c r="B467" s="30">
        <v>38818</v>
      </c>
      <c r="C467">
        <v>106.03789999999999</v>
      </c>
    </row>
    <row r="468" spans="2:3">
      <c r="B468" s="30">
        <v>38819</v>
      </c>
      <c r="C468">
        <v>106.01909999999999</v>
      </c>
    </row>
    <row r="469" spans="2:3">
      <c r="B469" s="30">
        <v>38820</v>
      </c>
      <c r="C469">
        <v>105.8561</v>
      </c>
    </row>
    <row r="470" spans="2:3">
      <c r="B470" s="30">
        <v>38824</v>
      </c>
      <c r="C470">
        <v>105.8626</v>
      </c>
    </row>
    <row r="471" spans="2:3">
      <c r="B471" s="30">
        <v>38825</v>
      </c>
      <c r="C471">
        <v>106.9367</v>
      </c>
    </row>
    <row r="472" spans="2:3">
      <c r="B472" s="30">
        <v>38826</v>
      </c>
      <c r="C472">
        <v>106.9504</v>
      </c>
    </row>
    <row r="473" spans="2:3">
      <c r="B473" s="30">
        <v>38827</v>
      </c>
      <c r="C473">
        <v>107.015</v>
      </c>
    </row>
    <row r="474" spans="2:3">
      <c r="B474" s="30">
        <v>38828</v>
      </c>
      <c r="C474">
        <v>107.0415</v>
      </c>
    </row>
    <row r="475" spans="2:3">
      <c r="B475" s="30">
        <v>38831</v>
      </c>
      <c r="C475">
        <v>107.00149999999999</v>
      </c>
    </row>
    <row r="476" spans="2:3">
      <c r="B476" s="30">
        <v>38832</v>
      </c>
      <c r="C476">
        <v>106.6129</v>
      </c>
    </row>
    <row r="477" spans="2:3">
      <c r="B477" s="30">
        <v>38833</v>
      </c>
      <c r="C477">
        <v>106.50709999999999</v>
      </c>
    </row>
    <row r="478" spans="2:3">
      <c r="B478" s="30">
        <v>38834</v>
      </c>
      <c r="C478">
        <v>106.85599999999999</v>
      </c>
    </row>
    <row r="479" spans="2:3">
      <c r="B479" s="30">
        <v>38835</v>
      </c>
      <c r="C479">
        <v>106.97329999999999</v>
      </c>
    </row>
    <row r="480" spans="2:3">
      <c r="B480" s="30">
        <v>38838</v>
      </c>
      <c r="C480">
        <v>106.4978</v>
      </c>
    </row>
    <row r="481" spans="2:3">
      <c r="B481" s="30">
        <v>38839</v>
      </c>
      <c r="C481">
        <v>106.93859999999999</v>
      </c>
    </row>
    <row r="482" spans="2:3">
      <c r="B482" s="30">
        <v>38840</v>
      </c>
      <c r="C482">
        <v>106.6189</v>
      </c>
    </row>
    <row r="483" spans="2:3">
      <c r="B483" s="30">
        <v>38841</v>
      </c>
      <c r="C483">
        <v>106.76600000000001</v>
      </c>
    </row>
    <row r="484" spans="2:3">
      <c r="B484" s="30">
        <v>38842</v>
      </c>
      <c r="C484">
        <v>107.3295</v>
      </c>
    </row>
    <row r="485" spans="2:3">
      <c r="B485" s="30">
        <v>38845</v>
      </c>
      <c r="C485">
        <v>107.2295</v>
      </c>
    </row>
    <row r="486" spans="2:3">
      <c r="B486" s="30">
        <v>38846</v>
      </c>
      <c r="C486">
        <v>107.28789999999999</v>
      </c>
    </row>
    <row r="487" spans="2:3">
      <c r="B487" s="30">
        <v>38847</v>
      </c>
      <c r="C487">
        <v>107.2128</v>
      </c>
    </row>
    <row r="488" spans="2:3">
      <c r="B488" s="30">
        <v>38848</v>
      </c>
      <c r="C488">
        <v>106.54519999999999</v>
      </c>
    </row>
    <row r="489" spans="2:3">
      <c r="B489" s="30">
        <v>38849</v>
      </c>
      <c r="C489">
        <v>105.72620000000001</v>
      </c>
    </row>
    <row r="490" spans="2:3">
      <c r="B490" s="30">
        <v>38852</v>
      </c>
      <c r="C490">
        <v>105.9259</v>
      </c>
    </row>
    <row r="491" spans="2:3">
      <c r="B491" s="30">
        <v>38853</v>
      </c>
      <c r="C491">
        <v>105.9723</v>
      </c>
    </row>
    <row r="492" spans="2:3">
      <c r="B492" s="30">
        <v>38854</v>
      </c>
      <c r="C492">
        <v>104.9676</v>
      </c>
    </row>
    <row r="493" spans="2:3">
      <c r="B493" s="30">
        <v>38855</v>
      </c>
      <c r="C493">
        <v>104.9603</v>
      </c>
    </row>
    <row r="494" spans="2:3">
      <c r="B494" s="30">
        <v>38856</v>
      </c>
      <c r="C494">
        <v>105.24850000000001</v>
      </c>
    </row>
    <row r="495" spans="2:3">
      <c r="B495" s="30">
        <v>38859</v>
      </c>
      <c r="C495">
        <v>105.0042</v>
      </c>
    </row>
    <row r="496" spans="2:3">
      <c r="B496" s="30">
        <v>38860</v>
      </c>
      <c r="C496">
        <v>104.6482</v>
      </c>
    </row>
    <row r="497" spans="2:3">
      <c r="B497" s="30">
        <v>38861</v>
      </c>
      <c r="C497">
        <v>104.97929999999999</v>
      </c>
    </row>
    <row r="498" spans="2:3">
      <c r="B498" s="30">
        <v>38862</v>
      </c>
      <c r="C498">
        <v>105.28440000000001</v>
      </c>
    </row>
    <row r="499" spans="2:3">
      <c r="B499" s="30">
        <v>38863</v>
      </c>
      <c r="C499">
        <v>105.5253</v>
      </c>
    </row>
    <row r="500" spans="2:3">
      <c r="B500" s="30">
        <v>38867</v>
      </c>
      <c r="C500">
        <v>104.7998</v>
      </c>
    </row>
    <row r="501" spans="2:3">
      <c r="B501" s="30">
        <v>38868</v>
      </c>
      <c r="C501">
        <v>104.9598</v>
      </c>
    </row>
    <row r="502" spans="2:3">
      <c r="B502" s="30">
        <v>38869</v>
      </c>
      <c r="C502">
        <v>105.30929999999999</v>
      </c>
    </row>
    <row r="503" spans="2:3">
      <c r="B503" s="30">
        <v>38870</v>
      </c>
      <c r="C503">
        <v>105.84139999999999</v>
      </c>
    </row>
    <row r="504" spans="2:3">
      <c r="B504" s="30">
        <v>38873</v>
      </c>
      <c r="C504">
        <v>105.2688</v>
      </c>
    </row>
    <row r="505" spans="2:3">
      <c r="B505" s="30">
        <v>38874</v>
      </c>
      <c r="C505">
        <v>105.23520000000001</v>
      </c>
    </row>
    <row r="506" spans="2:3">
      <c r="B506" s="30">
        <v>38875</v>
      </c>
      <c r="C506">
        <v>104.9721</v>
      </c>
    </row>
    <row r="507" spans="2:3">
      <c r="B507" s="30">
        <v>38876</v>
      </c>
      <c r="C507">
        <v>105.08280000000001</v>
      </c>
    </row>
    <row r="508" spans="2:3">
      <c r="B508" s="30">
        <v>38877</v>
      </c>
      <c r="C508">
        <v>105.0227</v>
      </c>
    </row>
    <row r="509" spans="2:3">
      <c r="B509" s="30">
        <v>38880</v>
      </c>
      <c r="C509">
        <v>104.7332</v>
      </c>
    </row>
    <row r="510" spans="2:3">
      <c r="B510" s="30">
        <v>38881</v>
      </c>
      <c r="C510">
        <v>104.55119999999999</v>
      </c>
    </row>
    <row r="511" spans="2:3">
      <c r="B511" s="30">
        <v>38882</v>
      </c>
      <c r="C511">
        <v>104.3717</v>
      </c>
    </row>
    <row r="512" spans="2:3">
      <c r="B512" s="30">
        <v>38883</v>
      </c>
      <c r="C512">
        <v>104.7085</v>
      </c>
    </row>
    <row r="513" spans="2:3">
      <c r="B513" s="30">
        <v>38884</v>
      </c>
      <c r="C513">
        <v>104.4447</v>
      </c>
    </row>
    <row r="514" spans="2:3">
      <c r="B514" s="30">
        <v>38887</v>
      </c>
      <c r="C514">
        <v>104.1473</v>
      </c>
    </row>
    <row r="515" spans="2:3">
      <c r="B515" s="30">
        <v>38888</v>
      </c>
      <c r="C515">
        <v>104.1816</v>
      </c>
    </row>
    <row r="516" spans="2:3">
      <c r="B516" s="30">
        <v>38889</v>
      </c>
      <c r="C516">
        <v>104.36490000000001</v>
      </c>
    </row>
    <row r="517" spans="2:3">
      <c r="B517" s="30">
        <v>38890</v>
      </c>
      <c r="C517">
        <v>104.09</v>
      </c>
    </row>
    <row r="518" spans="2:3">
      <c r="B518" s="30">
        <v>38891</v>
      </c>
      <c r="C518">
        <v>103.97969999999999</v>
      </c>
    </row>
    <row r="519" spans="2:3">
      <c r="B519" s="30">
        <v>38894</v>
      </c>
      <c r="C519">
        <v>104.06019999999999</v>
      </c>
    </row>
    <row r="520" spans="2:3">
      <c r="B520" s="30">
        <v>38895</v>
      </c>
      <c r="C520">
        <v>103.9303</v>
      </c>
    </row>
    <row r="521" spans="2:3">
      <c r="B521" s="30">
        <v>38896</v>
      </c>
      <c r="C521">
        <v>103.98050000000001</v>
      </c>
    </row>
    <row r="522" spans="2:3">
      <c r="B522" s="30">
        <v>38897</v>
      </c>
      <c r="C522">
        <v>104.77970000000001</v>
      </c>
    </row>
    <row r="523" spans="2:3">
      <c r="B523" s="30">
        <v>38898</v>
      </c>
      <c r="C523">
        <v>104.93510000000001</v>
      </c>
    </row>
    <row r="524" spans="2:3">
      <c r="B524" s="30">
        <v>38901</v>
      </c>
      <c r="C524">
        <v>105.0956</v>
      </c>
    </row>
    <row r="525" spans="2:3">
      <c r="B525" s="30">
        <v>38903</v>
      </c>
      <c r="C525">
        <v>104.6092</v>
      </c>
    </row>
    <row r="526" spans="2:3">
      <c r="B526" s="30">
        <v>38904</v>
      </c>
      <c r="C526">
        <v>104.8165</v>
      </c>
    </row>
    <row r="527" spans="2:3">
      <c r="B527" s="30">
        <v>38905</v>
      </c>
      <c r="C527">
        <v>104.8385</v>
      </c>
    </row>
    <row r="528" spans="2:3">
      <c r="B528" s="30">
        <v>38908</v>
      </c>
      <c r="C528">
        <v>104.892</v>
      </c>
    </row>
    <row r="529" spans="2:3">
      <c r="B529" s="30">
        <v>38909</v>
      </c>
      <c r="C529">
        <v>105.116</v>
      </c>
    </row>
    <row r="530" spans="2:3">
      <c r="B530" s="30">
        <v>38910</v>
      </c>
      <c r="C530">
        <v>104.7906</v>
      </c>
    </row>
    <row r="531" spans="2:3">
      <c r="B531" s="30">
        <v>38911</v>
      </c>
      <c r="C531">
        <v>104.3823</v>
      </c>
    </row>
    <row r="532" spans="2:3">
      <c r="B532" s="30">
        <v>38912</v>
      </c>
      <c r="C532">
        <v>104.3184</v>
      </c>
    </row>
    <row r="533" spans="2:3">
      <c r="B533" s="30">
        <v>38915</v>
      </c>
      <c r="C533">
        <v>104.2398</v>
      </c>
    </row>
    <row r="534" spans="2:3">
      <c r="B534" s="30">
        <v>38916</v>
      </c>
      <c r="C534">
        <v>104.1451</v>
      </c>
    </row>
    <row r="535" spans="2:3">
      <c r="B535" s="30">
        <v>38917</v>
      </c>
      <c r="C535">
        <v>104.8766</v>
      </c>
    </row>
    <row r="536" spans="2:3">
      <c r="B536" s="30">
        <v>38918</v>
      </c>
      <c r="C536">
        <v>104.77979999999999</v>
      </c>
    </row>
    <row r="537" spans="2:3">
      <c r="B537" s="30">
        <v>38919</v>
      </c>
      <c r="C537">
        <v>104.5052</v>
      </c>
    </row>
    <row r="538" spans="2:3">
      <c r="B538" s="30">
        <v>38922</v>
      </c>
      <c r="C538">
        <v>105.057</v>
      </c>
    </row>
    <row r="539" spans="2:3">
      <c r="B539" s="30">
        <v>38923</v>
      </c>
      <c r="C539">
        <v>105.0843</v>
      </c>
    </row>
    <row r="540" spans="2:3">
      <c r="B540" s="30">
        <v>38924</v>
      </c>
      <c r="C540">
        <v>105.2343</v>
      </c>
    </row>
    <row r="541" spans="2:3">
      <c r="B541" s="30">
        <v>38925</v>
      </c>
      <c r="C541">
        <v>105.20869999999999</v>
      </c>
    </row>
    <row r="542" spans="2:3">
      <c r="B542" s="30">
        <v>38926</v>
      </c>
      <c r="C542">
        <v>105.7252</v>
      </c>
    </row>
    <row r="543" spans="2:3">
      <c r="B543" s="30">
        <v>38929</v>
      </c>
      <c r="C543">
        <v>105.6846</v>
      </c>
    </row>
    <row r="544" spans="2:3">
      <c r="B544" s="30">
        <v>38930</v>
      </c>
      <c r="C544">
        <v>105.56529999999999</v>
      </c>
    </row>
    <row r="545" spans="2:3">
      <c r="B545" s="30">
        <v>38931</v>
      </c>
      <c r="C545">
        <v>105.8231</v>
      </c>
    </row>
    <row r="546" spans="2:3">
      <c r="B546" s="30">
        <v>38932</v>
      </c>
      <c r="C546">
        <v>105.9051</v>
      </c>
    </row>
    <row r="547" spans="2:3">
      <c r="B547" s="30">
        <v>38933</v>
      </c>
      <c r="C547">
        <v>106.0789</v>
      </c>
    </row>
    <row r="548" spans="2:3">
      <c r="B548" s="30">
        <v>38936</v>
      </c>
      <c r="C548">
        <v>105.8832</v>
      </c>
    </row>
    <row r="549" spans="2:3">
      <c r="B549" s="30">
        <v>38937</v>
      </c>
      <c r="C549">
        <v>105.76439999999999</v>
      </c>
    </row>
    <row r="550" spans="2:3">
      <c r="B550" s="30">
        <v>38938</v>
      </c>
      <c r="C550">
        <v>105.5891</v>
      </c>
    </row>
    <row r="551" spans="2:3">
      <c r="B551" s="30">
        <v>38939</v>
      </c>
      <c r="C551">
        <v>105.6793</v>
      </c>
    </row>
    <row r="552" spans="2:3">
      <c r="B552" s="30">
        <v>38940</v>
      </c>
      <c r="C552">
        <v>105.44329999999999</v>
      </c>
    </row>
    <row r="553" spans="2:3">
      <c r="B553" s="30">
        <v>38943</v>
      </c>
      <c r="C553">
        <v>105.343</v>
      </c>
    </row>
    <row r="554" spans="2:3">
      <c r="B554" s="30">
        <v>38944</v>
      </c>
      <c r="C554">
        <v>106.0196</v>
      </c>
    </row>
    <row r="555" spans="2:3">
      <c r="B555" s="30">
        <v>38945</v>
      </c>
      <c r="C555">
        <v>106.5732</v>
      </c>
    </row>
    <row r="556" spans="2:3">
      <c r="B556" s="30">
        <v>38946</v>
      </c>
      <c r="C556">
        <v>106.61020000000001</v>
      </c>
    </row>
    <row r="557" spans="2:3">
      <c r="B557" s="30">
        <v>38947</v>
      </c>
      <c r="C557">
        <v>106.87779999999999</v>
      </c>
    </row>
    <row r="558" spans="2:3">
      <c r="B558" s="30">
        <v>38950</v>
      </c>
      <c r="C558">
        <v>106.783</v>
      </c>
    </row>
    <row r="559" spans="2:3">
      <c r="B559" s="30">
        <v>38951</v>
      </c>
      <c r="C559">
        <v>106.7907</v>
      </c>
    </row>
    <row r="560" spans="2:3">
      <c r="B560" s="30">
        <v>38952</v>
      </c>
      <c r="C560">
        <v>106.6486</v>
      </c>
    </row>
    <row r="561" spans="2:3">
      <c r="B561" s="30">
        <v>38953</v>
      </c>
      <c r="C561">
        <v>106.60760000000001</v>
      </c>
    </row>
    <row r="562" spans="2:3">
      <c r="B562" s="30">
        <v>38954</v>
      </c>
      <c r="C562">
        <v>106.7003</v>
      </c>
    </row>
    <row r="563" spans="2:3">
      <c r="B563" s="30">
        <v>38957</v>
      </c>
      <c r="C563">
        <v>106.8522</v>
      </c>
    </row>
    <row r="564" spans="2:3">
      <c r="B564" s="30">
        <v>38958</v>
      </c>
      <c r="C564">
        <v>106.8903</v>
      </c>
    </row>
    <row r="565" spans="2:3">
      <c r="B565" s="30">
        <v>38959</v>
      </c>
      <c r="C565">
        <v>106.9815</v>
      </c>
    </row>
    <row r="566" spans="2:3">
      <c r="B566" s="30">
        <v>38960</v>
      </c>
      <c r="C566">
        <v>107.1173</v>
      </c>
    </row>
    <row r="567" spans="2:3">
      <c r="B567" s="30">
        <v>38961</v>
      </c>
      <c r="C567">
        <v>107.4019</v>
      </c>
    </row>
    <row r="568" spans="2:3">
      <c r="B568" s="30">
        <v>38965</v>
      </c>
      <c r="C568">
        <v>107.3433</v>
      </c>
    </row>
    <row r="569" spans="2:3">
      <c r="B569" s="30">
        <v>38966</v>
      </c>
      <c r="C569">
        <v>106.8604</v>
      </c>
    </row>
    <row r="570" spans="2:3">
      <c r="B570" s="30">
        <v>38967</v>
      </c>
      <c r="C570">
        <v>106.6408</v>
      </c>
    </row>
    <row r="571" spans="2:3">
      <c r="B571" s="30">
        <v>38968</v>
      </c>
      <c r="C571">
        <v>106.8182</v>
      </c>
    </row>
    <row r="572" spans="2:3">
      <c r="B572" s="30">
        <v>38971</v>
      </c>
      <c r="C572">
        <v>106.7773</v>
      </c>
    </row>
    <row r="573" spans="2:3">
      <c r="B573" s="30">
        <v>38972</v>
      </c>
      <c r="C573">
        <v>107.3674</v>
      </c>
    </row>
    <row r="574" spans="2:3">
      <c r="B574" s="30">
        <v>38973</v>
      </c>
      <c r="C574">
        <v>107.5548</v>
      </c>
    </row>
    <row r="575" spans="2:3">
      <c r="B575" s="30">
        <v>38974</v>
      </c>
      <c r="C575">
        <v>107.499</v>
      </c>
    </row>
    <row r="576" spans="2:3">
      <c r="B576" s="30">
        <v>38975</v>
      </c>
      <c r="C576">
        <v>107.55970000000001</v>
      </c>
    </row>
    <row r="577" spans="2:3">
      <c r="B577" s="30">
        <v>38978</v>
      </c>
      <c r="C577">
        <v>107.5851</v>
      </c>
    </row>
    <row r="578" spans="2:3">
      <c r="B578" s="30">
        <v>38979</v>
      </c>
      <c r="C578">
        <v>107.6108</v>
      </c>
    </row>
    <row r="579" spans="2:3">
      <c r="B579" s="30">
        <v>38980</v>
      </c>
      <c r="C579">
        <v>107.8875</v>
      </c>
    </row>
    <row r="580" spans="2:3">
      <c r="B580" s="30">
        <v>38981</v>
      </c>
      <c r="C580">
        <v>107.7851</v>
      </c>
    </row>
    <row r="581" spans="2:3">
      <c r="B581" s="30">
        <v>38982</v>
      </c>
      <c r="C581">
        <v>107.6771</v>
      </c>
    </row>
    <row r="582" spans="2:3">
      <c r="B582" s="30">
        <v>38985</v>
      </c>
      <c r="C582">
        <v>108.2383</v>
      </c>
    </row>
    <row r="583" spans="2:3">
      <c r="B583" s="30">
        <v>38986</v>
      </c>
      <c r="C583">
        <v>108.76430000000001</v>
      </c>
    </row>
    <row r="584" spans="2:3">
      <c r="B584" s="30">
        <v>38987</v>
      </c>
      <c r="C584">
        <v>108.812</v>
      </c>
    </row>
    <row r="585" spans="2:3">
      <c r="B585" s="30">
        <v>38988</v>
      </c>
      <c r="C585">
        <v>108.7371</v>
      </c>
    </row>
    <row r="586" spans="2:3">
      <c r="B586" s="30">
        <v>38989</v>
      </c>
      <c r="C586">
        <v>108.63120000000001</v>
      </c>
    </row>
    <row r="587" spans="2:3">
      <c r="B587" s="30">
        <v>38992</v>
      </c>
      <c r="C587">
        <v>108.4145</v>
      </c>
    </row>
    <row r="588" spans="2:3">
      <c r="B588" s="30">
        <v>38993</v>
      </c>
      <c r="C588">
        <v>108.5547</v>
      </c>
    </row>
    <row r="589" spans="2:3">
      <c r="B589" s="30">
        <v>38994</v>
      </c>
      <c r="C589">
        <v>109.4297</v>
      </c>
    </row>
    <row r="590" spans="2:3">
      <c r="B590" s="30">
        <v>38995</v>
      </c>
      <c r="C590">
        <v>109.4688</v>
      </c>
    </row>
    <row r="591" spans="2:3">
      <c r="B591" s="30">
        <v>38996</v>
      </c>
      <c r="C591">
        <v>109.1901</v>
      </c>
    </row>
    <row r="592" spans="2:3">
      <c r="B592" s="30">
        <v>39000</v>
      </c>
      <c r="C592">
        <v>109.1797</v>
      </c>
    </row>
    <row r="593" spans="2:3">
      <c r="B593" s="30">
        <v>39001</v>
      </c>
      <c r="C593">
        <v>109.01139999999999</v>
      </c>
    </row>
    <row r="594" spans="2:3">
      <c r="B594" s="30">
        <v>39002</v>
      </c>
      <c r="C594">
        <v>109.6186</v>
      </c>
    </row>
    <row r="595" spans="2:3">
      <c r="B595" s="30">
        <v>39003</v>
      </c>
      <c r="C595">
        <v>109.7148</v>
      </c>
    </row>
    <row r="596" spans="2:3">
      <c r="B596" s="30">
        <v>39006</v>
      </c>
      <c r="C596">
        <v>109.8789</v>
      </c>
    </row>
    <row r="597" spans="2:3">
      <c r="B597" s="30">
        <v>39007</v>
      </c>
      <c r="C597">
        <v>109.6746</v>
      </c>
    </row>
    <row r="598" spans="2:3">
      <c r="B598" s="30">
        <v>39008</v>
      </c>
      <c r="C598">
        <v>109.7296</v>
      </c>
    </row>
    <row r="599" spans="2:3">
      <c r="B599" s="30">
        <v>39009</v>
      </c>
      <c r="C599">
        <v>109.7959</v>
      </c>
    </row>
    <row r="600" spans="2:3">
      <c r="B600" s="30">
        <v>39010</v>
      </c>
      <c r="C600">
        <v>109.8334</v>
      </c>
    </row>
    <row r="601" spans="2:3">
      <c r="B601" s="30">
        <v>39013</v>
      </c>
      <c r="C601">
        <v>110.0968</v>
      </c>
    </row>
    <row r="602" spans="2:3">
      <c r="B602" s="30">
        <v>39014</v>
      </c>
      <c r="C602">
        <v>110.3245</v>
      </c>
    </row>
    <row r="603" spans="2:3">
      <c r="B603" s="30">
        <v>39015</v>
      </c>
      <c r="C603">
        <v>110.65219999999999</v>
      </c>
    </row>
    <row r="604" spans="2:3">
      <c r="B604" s="30">
        <v>39016</v>
      </c>
      <c r="C604">
        <v>110.9556</v>
      </c>
    </row>
    <row r="605" spans="2:3">
      <c r="B605" s="30">
        <v>39017</v>
      </c>
      <c r="C605">
        <v>110.54859999999999</v>
      </c>
    </row>
    <row r="606" spans="2:3">
      <c r="B606" s="30">
        <v>39020</v>
      </c>
      <c r="C606">
        <v>110.4592</v>
      </c>
    </row>
    <row r="607" spans="2:3">
      <c r="B607" s="30">
        <v>39021</v>
      </c>
      <c r="C607">
        <v>110.56399999999999</v>
      </c>
    </row>
    <row r="608" spans="2:3">
      <c r="B608" s="30">
        <v>39022</v>
      </c>
      <c r="C608">
        <v>110.04049999999999</v>
      </c>
    </row>
    <row r="609" spans="2:3">
      <c r="B609" s="30">
        <v>39023</v>
      </c>
      <c r="C609">
        <v>109.9007</v>
      </c>
    </row>
    <row r="610" spans="2:3">
      <c r="B610" s="30">
        <v>39024</v>
      </c>
      <c r="C610">
        <v>109.5689</v>
      </c>
    </row>
    <row r="611" spans="2:3">
      <c r="B611" s="30">
        <v>39027</v>
      </c>
      <c r="C611">
        <v>110.4984</v>
      </c>
    </row>
    <row r="612" spans="2:3">
      <c r="B612" s="30">
        <v>39028</v>
      </c>
      <c r="C612">
        <v>110.8749</v>
      </c>
    </row>
    <row r="613" spans="2:3">
      <c r="B613" s="30">
        <v>39029</v>
      </c>
      <c r="C613">
        <v>111.05549999999999</v>
      </c>
    </row>
    <row r="614" spans="2:3">
      <c r="B614" s="30">
        <v>39030</v>
      </c>
      <c r="C614">
        <v>110.6357</v>
      </c>
    </row>
    <row r="615" spans="2:3">
      <c r="B615" s="30">
        <v>39031</v>
      </c>
      <c r="C615">
        <v>110.7214</v>
      </c>
    </row>
    <row r="616" spans="2:3">
      <c r="B616" s="30">
        <v>39034</v>
      </c>
      <c r="C616">
        <v>110.87649999999999</v>
      </c>
    </row>
    <row r="617" spans="2:3">
      <c r="B617" s="30">
        <v>39035</v>
      </c>
      <c r="C617">
        <v>111.488</v>
      </c>
    </row>
    <row r="618" spans="2:3">
      <c r="B618" s="30">
        <v>39036</v>
      </c>
      <c r="C618">
        <v>111.6183</v>
      </c>
    </row>
    <row r="619" spans="2:3">
      <c r="B619" s="30">
        <v>39037</v>
      </c>
      <c r="C619">
        <v>111.7491</v>
      </c>
    </row>
    <row r="620" spans="2:3">
      <c r="B620" s="30">
        <v>39038</v>
      </c>
      <c r="C620">
        <v>111.8326</v>
      </c>
    </row>
    <row r="621" spans="2:3">
      <c r="B621" s="30">
        <v>39041</v>
      </c>
      <c r="C621">
        <v>111.87009999999999</v>
      </c>
    </row>
    <row r="622" spans="2:3">
      <c r="B622" s="30">
        <v>39042</v>
      </c>
      <c r="C622">
        <v>111.9477</v>
      </c>
    </row>
    <row r="623" spans="2:3">
      <c r="B623" s="30">
        <v>39043</v>
      </c>
      <c r="C623">
        <v>112.08929999999999</v>
      </c>
    </row>
    <row r="624" spans="2:3">
      <c r="B624" s="30">
        <v>39045</v>
      </c>
      <c r="C624">
        <v>111.79640000000001</v>
      </c>
    </row>
    <row r="625" spans="2:3">
      <c r="B625" s="30">
        <v>39048</v>
      </c>
      <c r="C625">
        <v>110.6765</v>
      </c>
    </row>
    <row r="626" spans="2:3">
      <c r="B626" s="30">
        <v>39049</v>
      </c>
      <c r="C626">
        <v>111.00920000000001</v>
      </c>
    </row>
    <row r="627" spans="2:3">
      <c r="B627" s="30">
        <v>39050</v>
      </c>
      <c r="C627">
        <v>111.75</v>
      </c>
    </row>
    <row r="628" spans="2:3">
      <c r="B628" s="30">
        <v>39051</v>
      </c>
      <c r="C628">
        <v>111.8917</v>
      </c>
    </row>
    <row r="629" spans="2:3">
      <c r="B629" s="30">
        <v>39052</v>
      </c>
      <c r="C629">
        <v>111.8642</v>
      </c>
    </row>
    <row r="630" spans="2:3">
      <c r="B630" s="30">
        <v>39055</v>
      </c>
      <c r="C630">
        <v>112.3523</v>
      </c>
    </row>
    <row r="631" spans="2:3">
      <c r="B631" s="30">
        <v>39056</v>
      </c>
      <c r="C631">
        <v>112.6139</v>
      </c>
    </row>
    <row r="632" spans="2:3">
      <c r="B632" s="30">
        <v>39057</v>
      </c>
      <c r="C632">
        <v>112.4224</v>
      </c>
    </row>
    <row r="633" spans="2:3">
      <c r="B633" s="30">
        <v>39058</v>
      </c>
      <c r="C633">
        <v>112.136</v>
      </c>
    </row>
    <row r="634" spans="2:3">
      <c r="B634" s="30">
        <v>39059</v>
      </c>
      <c r="C634">
        <v>112.0526</v>
      </c>
    </row>
    <row r="635" spans="2:3">
      <c r="B635" s="30">
        <v>39062</v>
      </c>
      <c r="C635">
        <v>112.3253</v>
      </c>
    </row>
    <row r="636" spans="2:3">
      <c r="B636" s="30">
        <v>39063</v>
      </c>
      <c r="C636">
        <v>112.3048</v>
      </c>
    </row>
    <row r="637" spans="2:3">
      <c r="B637" s="30">
        <v>39064</v>
      </c>
      <c r="C637">
        <v>112.2097</v>
      </c>
    </row>
    <row r="638" spans="2:3">
      <c r="B638" s="30">
        <v>39065</v>
      </c>
      <c r="C638">
        <v>112.7428</v>
      </c>
    </row>
    <row r="639" spans="2:3">
      <c r="B639" s="30">
        <v>39066</v>
      </c>
      <c r="C639">
        <v>112.742</v>
      </c>
    </row>
    <row r="640" spans="2:3">
      <c r="B640" s="30">
        <v>39069</v>
      </c>
      <c r="C640">
        <v>112.5789</v>
      </c>
    </row>
    <row r="641" spans="2:3">
      <c r="B641" s="30">
        <v>39070</v>
      </c>
      <c r="C641">
        <v>112.6417</v>
      </c>
    </row>
    <row r="642" spans="2:3">
      <c r="B642" s="30">
        <v>39071</v>
      </c>
      <c r="C642">
        <v>112.59480000000001</v>
      </c>
    </row>
    <row r="643" spans="2:3">
      <c r="B643" s="30">
        <v>39072</v>
      </c>
      <c r="C643">
        <v>112.42</v>
      </c>
    </row>
    <row r="644" spans="2:3">
      <c r="B644" s="30">
        <v>39073</v>
      </c>
      <c r="C644">
        <v>111.81870000000001</v>
      </c>
    </row>
    <row r="645" spans="2:3">
      <c r="B645" s="30">
        <v>39077</v>
      </c>
      <c r="C645">
        <v>112.2599</v>
      </c>
    </row>
    <row r="646" spans="2:3">
      <c r="B646" s="30">
        <v>39078</v>
      </c>
      <c r="C646">
        <v>112.53019999999999</v>
      </c>
    </row>
    <row r="647" spans="2:3">
      <c r="B647" s="30">
        <v>39079</v>
      </c>
      <c r="C647">
        <v>112.3036</v>
      </c>
    </row>
    <row r="648" spans="2:3">
      <c r="B648" s="30">
        <v>39080</v>
      </c>
      <c r="C648">
        <v>112.0179</v>
      </c>
    </row>
    <row r="649" spans="2:3">
      <c r="B649" s="30">
        <v>39085</v>
      </c>
      <c r="C649">
        <v>111.91419999999999</v>
      </c>
    </row>
    <row r="650" spans="2:3">
      <c r="B650" s="30">
        <v>39086</v>
      </c>
      <c r="C650">
        <v>112.13420000000001</v>
      </c>
    </row>
    <row r="651" spans="2:3">
      <c r="B651" s="30">
        <v>39087</v>
      </c>
      <c r="C651">
        <v>111.5119</v>
      </c>
    </row>
    <row r="652" spans="2:3">
      <c r="B652" s="30">
        <v>39090</v>
      </c>
      <c r="C652">
        <v>111.8023</v>
      </c>
    </row>
    <row r="653" spans="2:3">
      <c r="B653" s="30">
        <v>39091</v>
      </c>
      <c r="C653">
        <v>111.6931</v>
      </c>
    </row>
    <row r="654" spans="2:3">
      <c r="B654" s="30">
        <v>39092</v>
      </c>
      <c r="C654">
        <v>111.87430000000001</v>
      </c>
    </row>
    <row r="655" spans="2:3">
      <c r="B655" s="30">
        <v>39093</v>
      </c>
      <c r="C655">
        <v>112.1332</v>
      </c>
    </row>
    <row r="656" spans="2:3">
      <c r="B656" s="30">
        <v>39094</v>
      </c>
      <c r="C656">
        <v>112.6138</v>
      </c>
    </row>
    <row r="657" spans="2:3">
      <c r="B657" s="30">
        <v>39098</v>
      </c>
      <c r="C657">
        <v>112.53440000000001</v>
      </c>
    </row>
    <row r="658" spans="2:3">
      <c r="B658" s="30">
        <v>39099</v>
      </c>
      <c r="C658">
        <v>112.4722</v>
      </c>
    </row>
    <row r="659" spans="2:3">
      <c r="B659" s="30">
        <v>39100</v>
      </c>
      <c r="C659">
        <v>112.2162</v>
      </c>
    </row>
    <row r="660" spans="2:3">
      <c r="B660" s="30">
        <v>39101</v>
      </c>
      <c r="C660">
        <v>112.3789</v>
      </c>
    </row>
    <row r="661" spans="2:3">
      <c r="B661" s="30">
        <v>39104</v>
      </c>
      <c r="C661">
        <v>112.0885</v>
      </c>
    </row>
    <row r="662" spans="2:3">
      <c r="B662" s="30">
        <v>39105</v>
      </c>
      <c r="C662">
        <v>112.27290000000001</v>
      </c>
    </row>
    <row r="663" spans="2:3">
      <c r="B663" s="30">
        <v>39106</v>
      </c>
      <c r="C663">
        <v>112.8582</v>
      </c>
    </row>
    <row r="664" spans="2:3">
      <c r="B664" s="30">
        <v>39107</v>
      </c>
      <c r="C664">
        <v>111.8633</v>
      </c>
    </row>
    <row r="665" spans="2:3">
      <c r="B665" s="30">
        <v>39108</v>
      </c>
      <c r="C665">
        <v>111.75109999999999</v>
      </c>
    </row>
    <row r="666" spans="2:3">
      <c r="B666" s="30">
        <v>39111</v>
      </c>
      <c r="C666">
        <v>111.6696</v>
      </c>
    </row>
    <row r="667" spans="2:3">
      <c r="B667" s="30">
        <v>39112</v>
      </c>
      <c r="C667">
        <v>112.0855</v>
      </c>
    </row>
    <row r="668" spans="2:3">
      <c r="B668" s="30">
        <v>39113</v>
      </c>
      <c r="C668">
        <v>112.64400000000001</v>
      </c>
    </row>
    <row r="669" spans="2:3">
      <c r="B669" s="30">
        <v>39114</v>
      </c>
      <c r="C669">
        <v>113.0172</v>
      </c>
    </row>
    <row r="670" spans="2:3">
      <c r="B670" s="30">
        <v>39115</v>
      </c>
      <c r="C670">
        <v>113.14660000000001</v>
      </c>
    </row>
    <row r="671" spans="2:3">
      <c r="B671" s="30">
        <v>39118</v>
      </c>
      <c r="C671">
        <v>113.2229</v>
      </c>
    </row>
    <row r="672" spans="2:3">
      <c r="B672" s="30">
        <v>39119</v>
      </c>
      <c r="C672">
        <v>113.2794</v>
      </c>
    </row>
    <row r="673" spans="2:3">
      <c r="B673" s="30">
        <v>39120</v>
      </c>
      <c r="C673">
        <v>113.4504</v>
      </c>
    </row>
    <row r="674" spans="2:3">
      <c r="B674" s="30">
        <v>39121</v>
      </c>
      <c r="C674">
        <v>113.3659</v>
      </c>
    </row>
    <row r="675" spans="2:3">
      <c r="B675" s="30">
        <v>39122</v>
      </c>
      <c r="C675">
        <v>112.7025</v>
      </c>
    </row>
    <row r="676" spans="2:3">
      <c r="B676" s="30">
        <v>39125</v>
      </c>
      <c r="C676">
        <v>112.4002</v>
      </c>
    </row>
    <row r="677" spans="2:3">
      <c r="B677" s="30">
        <v>39126</v>
      </c>
      <c r="C677">
        <v>112.96850000000001</v>
      </c>
    </row>
    <row r="678" spans="2:3">
      <c r="B678" s="30">
        <v>39127</v>
      </c>
      <c r="C678">
        <v>113.5848</v>
      </c>
    </row>
    <row r="679" spans="2:3">
      <c r="B679" s="30">
        <v>39128</v>
      </c>
      <c r="C679">
        <v>113.69</v>
      </c>
    </row>
    <row r="680" spans="2:3">
      <c r="B680" s="30">
        <v>39129</v>
      </c>
      <c r="C680">
        <v>113.6891</v>
      </c>
    </row>
    <row r="681" spans="2:3">
      <c r="B681" s="30">
        <v>39133</v>
      </c>
      <c r="C681">
        <v>113.8404</v>
      </c>
    </row>
    <row r="682" spans="2:3">
      <c r="B682" s="30">
        <v>39134</v>
      </c>
      <c r="C682">
        <v>113.75539999999999</v>
      </c>
    </row>
    <row r="683" spans="2:3">
      <c r="B683" s="30">
        <v>39135</v>
      </c>
      <c r="C683">
        <v>113.619</v>
      </c>
    </row>
    <row r="684" spans="2:3">
      <c r="B684" s="30">
        <v>39136</v>
      </c>
      <c r="C684">
        <v>113.4657</v>
      </c>
    </row>
    <row r="685" spans="2:3">
      <c r="B685" s="30">
        <v>39139</v>
      </c>
      <c r="C685">
        <v>113.48990000000001</v>
      </c>
    </row>
    <row r="686" spans="2:3">
      <c r="B686" s="30">
        <v>39140</v>
      </c>
      <c r="C686">
        <v>110.732</v>
      </c>
    </row>
    <row r="687" spans="2:3">
      <c r="B687" s="30">
        <v>39141</v>
      </c>
      <c r="C687">
        <v>111.446</v>
      </c>
    </row>
    <row r="688" spans="2:3">
      <c r="B688" s="30">
        <v>39142</v>
      </c>
      <c r="C688">
        <v>111.2242</v>
      </c>
    </row>
    <row r="689" spans="2:3">
      <c r="B689" s="30">
        <v>39143</v>
      </c>
      <c r="C689">
        <v>110.333</v>
      </c>
    </row>
    <row r="690" spans="2:3">
      <c r="B690" s="30">
        <v>39146</v>
      </c>
      <c r="C690">
        <v>109.6609</v>
      </c>
    </row>
    <row r="691" spans="2:3">
      <c r="B691" s="30">
        <v>39147</v>
      </c>
      <c r="C691">
        <v>110.7097</v>
      </c>
    </row>
    <row r="692" spans="2:3">
      <c r="B692" s="30">
        <v>39148</v>
      </c>
      <c r="C692">
        <v>110.6955</v>
      </c>
    </row>
    <row r="693" spans="2:3">
      <c r="B693" s="30">
        <v>39149</v>
      </c>
      <c r="C693">
        <v>111.15479999999999</v>
      </c>
    </row>
    <row r="694" spans="2:3">
      <c r="B694" s="30">
        <v>39150</v>
      </c>
      <c r="C694">
        <v>110.9277</v>
      </c>
    </row>
    <row r="695" spans="2:3">
      <c r="B695" s="30">
        <v>39153</v>
      </c>
      <c r="C695">
        <v>111.0988</v>
      </c>
    </row>
    <row r="696" spans="2:3">
      <c r="B696" s="30">
        <v>39154</v>
      </c>
      <c r="C696">
        <v>110.3809</v>
      </c>
    </row>
    <row r="697" spans="2:3">
      <c r="B697" s="30">
        <v>39155</v>
      </c>
      <c r="C697">
        <v>110.62260000000001</v>
      </c>
    </row>
    <row r="698" spans="2:3">
      <c r="B698" s="30">
        <v>39156</v>
      </c>
      <c r="C698">
        <v>110.61409999999999</v>
      </c>
    </row>
    <row r="699" spans="2:3">
      <c r="B699" s="30">
        <v>39157</v>
      </c>
      <c r="C699">
        <v>110.45310000000001</v>
      </c>
    </row>
    <row r="700" spans="2:3">
      <c r="B700" s="30">
        <v>39160</v>
      </c>
      <c r="C700">
        <v>110.7565</v>
      </c>
    </row>
    <row r="701" spans="2:3">
      <c r="B701" s="30">
        <v>39161</v>
      </c>
      <c r="C701">
        <v>111.0145</v>
      </c>
    </row>
    <row r="702" spans="2:3">
      <c r="B702" s="30">
        <v>39162</v>
      </c>
      <c r="C702">
        <v>111.6641</v>
      </c>
    </row>
    <row r="703" spans="2:3">
      <c r="B703" s="30">
        <v>39163</v>
      </c>
      <c r="C703">
        <v>111.4173</v>
      </c>
    </row>
    <row r="704" spans="2:3">
      <c r="B704" s="30">
        <v>39164</v>
      </c>
      <c r="C704">
        <v>111.36669999999999</v>
      </c>
    </row>
    <row r="705" spans="2:3">
      <c r="B705" s="30">
        <v>39167</v>
      </c>
      <c r="C705">
        <v>111.4111</v>
      </c>
    </row>
    <row r="706" spans="2:3">
      <c r="B706" s="30">
        <v>39168</v>
      </c>
      <c r="C706">
        <v>111.2509</v>
      </c>
    </row>
    <row r="707" spans="2:3">
      <c r="B707" s="30">
        <v>39169</v>
      </c>
      <c r="C707">
        <v>111.0124</v>
      </c>
    </row>
    <row r="708" spans="2:3">
      <c r="B708" s="30">
        <v>39170</v>
      </c>
      <c r="C708">
        <v>110.9901</v>
      </c>
    </row>
    <row r="709" spans="2:3">
      <c r="B709" s="30">
        <v>39171</v>
      </c>
      <c r="C709">
        <v>110.91200000000001</v>
      </c>
    </row>
    <row r="710" spans="2:3">
      <c r="B710" s="30">
        <v>39174</v>
      </c>
      <c r="C710">
        <v>110.9726</v>
      </c>
    </row>
    <row r="711" spans="2:3">
      <c r="B711" s="30">
        <v>39175</v>
      </c>
      <c r="C711">
        <v>111.294</v>
      </c>
    </row>
    <row r="712" spans="2:3">
      <c r="B712" s="30">
        <v>39176</v>
      </c>
      <c r="C712">
        <v>111.37909999999999</v>
      </c>
    </row>
    <row r="713" spans="2:3">
      <c r="B713" s="30">
        <v>39177</v>
      </c>
      <c r="C713">
        <v>111.4384</v>
      </c>
    </row>
    <row r="714" spans="2:3">
      <c r="B714" s="30">
        <v>39181</v>
      </c>
      <c r="C714">
        <v>111.2229</v>
      </c>
    </row>
    <row r="715" spans="2:3">
      <c r="B715" s="30">
        <v>39182</v>
      </c>
      <c r="C715">
        <v>111.3442</v>
      </c>
    </row>
    <row r="716" spans="2:3">
      <c r="B716" s="30">
        <v>39183</v>
      </c>
      <c r="C716">
        <v>111.0886</v>
      </c>
    </row>
    <row r="717" spans="2:3">
      <c r="B717" s="30">
        <v>39184</v>
      </c>
      <c r="C717">
        <v>111.2808</v>
      </c>
    </row>
    <row r="718" spans="2:3">
      <c r="B718" s="30">
        <v>39185</v>
      </c>
      <c r="C718">
        <v>111.35720000000001</v>
      </c>
    </row>
    <row r="719" spans="2:3">
      <c r="B719" s="30">
        <v>39188</v>
      </c>
      <c r="C719">
        <v>111.8327</v>
      </c>
    </row>
    <row r="720" spans="2:3">
      <c r="B720" s="30">
        <v>39189</v>
      </c>
      <c r="C720">
        <v>112.1122</v>
      </c>
    </row>
    <row r="721" spans="2:3">
      <c r="B721" s="30">
        <v>39190</v>
      </c>
      <c r="C721">
        <v>112.2641</v>
      </c>
    </row>
    <row r="722" spans="2:3">
      <c r="B722" s="30">
        <v>39191</v>
      </c>
      <c r="C722">
        <v>112.24890000000001</v>
      </c>
    </row>
    <row r="723" spans="2:3">
      <c r="B723" s="30">
        <v>39192</v>
      </c>
      <c r="C723">
        <v>112.61060000000001</v>
      </c>
    </row>
    <row r="724" spans="2:3">
      <c r="B724" s="30">
        <v>39195</v>
      </c>
      <c r="C724">
        <v>112.53700000000001</v>
      </c>
    </row>
    <row r="725" spans="2:3">
      <c r="B725" s="30">
        <v>39196</v>
      </c>
      <c r="C725">
        <v>112.6365</v>
      </c>
    </row>
    <row r="726" spans="2:3">
      <c r="B726" s="30">
        <v>39197</v>
      </c>
      <c r="C726">
        <v>112.8968</v>
      </c>
    </row>
    <row r="727" spans="2:3">
      <c r="B727" s="30">
        <v>39198</v>
      </c>
      <c r="C727">
        <v>112.8126</v>
      </c>
    </row>
    <row r="728" spans="2:3">
      <c r="B728" s="30">
        <v>39199</v>
      </c>
      <c r="C728">
        <v>112.75190000000001</v>
      </c>
    </row>
    <row r="729" spans="2:3">
      <c r="B729" s="30">
        <v>39202</v>
      </c>
      <c r="C729">
        <v>112.5322</v>
      </c>
    </row>
    <row r="730" spans="2:3">
      <c r="B730" s="30">
        <v>39203</v>
      </c>
      <c r="C730">
        <v>112.6271</v>
      </c>
    </row>
    <row r="731" spans="2:3">
      <c r="B731" s="30">
        <v>39204</v>
      </c>
      <c r="C731">
        <v>112.9028</v>
      </c>
    </row>
    <row r="732" spans="2:3">
      <c r="B732" s="30">
        <v>39205</v>
      </c>
      <c r="C732">
        <v>113.0628</v>
      </c>
    </row>
    <row r="733" spans="2:3">
      <c r="B733" s="30">
        <v>39206</v>
      </c>
      <c r="C733">
        <v>113.3871</v>
      </c>
    </row>
    <row r="734" spans="2:3">
      <c r="B734" s="30">
        <v>39209</v>
      </c>
      <c r="C734">
        <v>113.3937</v>
      </c>
    </row>
    <row r="735" spans="2:3">
      <c r="B735" s="30">
        <v>39210</v>
      </c>
      <c r="C735">
        <v>113.319</v>
      </c>
    </row>
    <row r="736" spans="2:3">
      <c r="B736" s="30">
        <v>39211</v>
      </c>
      <c r="C736">
        <v>113.3353</v>
      </c>
    </row>
    <row r="737" spans="2:3">
      <c r="B737" s="30">
        <v>39212</v>
      </c>
      <c r="C737">
        <v>112.7542</v>
      </c>
    </row>
    <row r="738" spans="2:3">
      <c r="B738" s="30">
        <v>39213</v>
      </c>
      <c r="C738">
        <v>113.2522</v>
      </c>
    </row>
    <row r="739" spans="2:3">
      <c r="B739" s="30">
        <v>39216</v>
      </c>
      <c r="C739">
        <v>113.05719999999999</v>
      </c>
    </row>
    <row r="740" spans="2:3">
      <c r="B740" s="30">
        <v>39217</v>
      </c>
      <c r="C740">
        <v>113</v>
      </c>
    </row>
    <row r="741" spans="2:3">
      <c r="B741" s="30">
        <v>39218</v>
      </c>
      <c r="C741">
        <v>113.4074</v>
      </c>
    </row>
    <row r="742" spans="2:3">
      <c r="B742" s="30">
        <v>39219</v>
      </c>
      <c r="C742">
        <v>113.1812</v>
      </c>
    </row>
    <row r="743" spans="2:3">
      <c r="B743" s="30">
        <v>39220</v>
      </c>
      <c r="C743">
        <v>113.6626</v>
      </c>
    </row>
    <row r="744" spans="2:3">
      <c r="B744" s="30">
        <v>39223</v>
      </c>
      <c r="C744">
        <v>113.69029999999999</v>
      </c>
    </row>
    <row r="745" spans="2:3">
      <c r="B745" s="30">
        <v>39224</v>
      </c>
      <c r="C745">
        <v>113.48690000000001</v>
      </c>
    </row>
    <row r="746" spans="2:3">
      <c r="B746" s="30">
        <v>39225</v>
      </c>
      <c r="C746">
        <v>113.4585</v>
      </c>
    </row>
    <row r="747" spans="2:3">
      <c r="B747" s="30">
        <v>39226</v>
      </c>
      <c r="C747">
        <v>112.8008</v>
      </c>
    </row>
    <row r="748" spans="2:3">
      <c r="B748" s="30">
        <v>39227</v>
      </c>
      <c r="C748">
        <v>113.06959999999999</v>
      </c>
    </row>
    <row r="749" spans="2:3">
      <c r="B749" s="30">
        <v>39231</v>
      </c>
      <c r="C749">
        <v>113.2646</v>
      </c>
    </row>
    <row r="750" spans="2:3">
      <c r="B750" s="30">
        <v>39232</v>
      </c>
      <c r="C750">
        <v>113.7796</v>
      </c>
    </row>
    <row r="751" spans="2:3">
      <c r="B751" s="30">
        <v>39233</v>
      </c>
      <c r="C751">
        <v>113.7075</v>
      </c>
    </row>
    <row r="752" spans="2:3">
      <c r="B752" s="30">
        <v>39234</v>
      </c>
      <c r="C752">
        <v>113.86709999999999</v>
      </c>
    </row>
    <row r="753" spans="2:3">
      <c r="B753" s="30">
        <v>39237</v>
      </c>
      <c r="C753">
        <v>113.9466</v>
      </c>
    </row>
    <row r="754" spans="2:3">
      <c r="B754" s="30">
        <v>39238</v>
      </c>
      <c r="C754">
        <v>113.5498</v>
      </c>
    </row>
    <row r="755" spans="2:3">
      <c r="B755" s="30">
        <v>39239</v>
      </c>
      <c r="C755">
        <v>112.7491</v>
      </c>
    </row>
    <row r="756" spans="2:3">
      <c r="B756" s="30">
        <v>39240</v>
      </c>
      <c r="C756">
        <v>111.24120000000001</v>
      </c>
    </row>
    <row r="757" spans="2:3">
      <c r="B757" s="30">
        <v>39241</v>
      </c>
      <c r="C757">
        <v>112.05329999999999</v>
      </c>
    </row>
    <row r="758" spans="2:3">
      <c r="B758" s="30">
        <v>39244</v>
      </c>
      <c r="C758">
        <v>112.15389999999999</v>
      </c>
    </row>
    <row r="759" spans="2:3">
      <c r="B759" s="30">
        <v>39245</v>
      </c>
      <c r="C759">
        <v>111.1947</v>
      </c>
    </row>
    <row r="760" spans="2:3">
      <c r="B760" s="30">
        <v>39246</v>
      </c>
      <c r="C760">
        <v>112.1418</v>
      </c>
    </row>
    <row r="761" spans="2:3">
      <c r="B761" s="30">
        <v>39247</v>
      </c>
      <c r="C761">
        <v>112.4246</v>
      </c>
    </row>
    <row r="762" spans="2:3">
      <c r="B762" s="30">
        <v>39248</v>
      </c>
      <c r="C762">
        <v>112.8473</v>
      </c>
    </row>
    <row r="763" spans="2:3">
      <c r="B763" s="30">
        <v>39251</v>
      </c>
      <c r="C763">
        <v>112.8749</v>
      </c>
    </row>
    <row r="764" spans="2:3">
      <c r="B764" s="30">
        <v>39252</v>
      </c>
      <c r="C764">
        <v>113.1473</v>
      </c>
    </row>
    <row r="765" spans="2:3">
      <c r="B765" s="30">
        <v>39253</v>
      </c>
      <c r="C765">
        <v>112.4011</v>
      </c>
    </row>
    <row r="766" spans="2:3">
      <c r="B766" s="30">
        <v>39254</v>
      </c>
      <c r="C766">
        <v>112.5217</v>
      </c>
    </row>
    <row r="767" spans="2:3">
      <c r="B767" s="30">
        <v>39255</v>
      </c>
      <c r="C767">
        <v>112.29</v>
      </c>
    </row>
    <row r="768" spans="2:3">
      <c r="B768" s="30">
        <v>39258</v>
      </c>
      <c r="C768">
        <v>112.3904</v>
      </c>
    </row>
    <row r="769" spans="2:3">
      <c r="B769" s="30">
        <v>39259</v>
      </c>
      <c r="C769">
        <v>111.9761</v>
      </c>
    </row>
    <row r="770" spans="2:3">
      <c r="B770" s="30">
        <v>39260</v>
      </c>
      <c r="C770">
        <v>112.5442</v>
      </c>
    </row>
    <row r="771" spans="2:3">
      <c r="B771" s="30">
        <v>39261</v>
      </c>
      <c r="C771">
        <v>112.30719999999999</v>
      </c>
    </row>
    <row r="772" spans="2:3">
      <c r="B772" s="30">
        <v>39262</v>
      </c>
      <c r="C772">
        <v>112.59099999999999</v>
      </c>
    </row>
    <row r="773" spans="2:3">
      <c r="B773" s="30">
        <v>39265</v>
      </c>
      <c r="C773">
        <v>112.97110000000001</v>
      </c>
    </row>
    <row r="774" spans="2:3">
      <c r="B774" s="30">
        <v>39266</v>
      </c>
      <c r="C774">
        <v>112.85899999999999</v>
      </c>
    </row>
    <row r="775" spans="2:3">
      <c r="B775" s="30">
        <v>39268</v>
      </c>
      <c r="C775">
        <v>112.4282</v>
      </c>
    </row>
    <row r="776" spans="2:3">
      <c r="B776" s="30">
        <v>39269</v>
      </c>
      <c r="C776">
        <v>112.3635</v>
      </c>
    </row>
    <row r="777" spans="2:3">
      <c r="B777" s="30">
        <v>39272</v>
      </c>
      <c r="C777">
        <v>112.5061</v>
      </c>
    </row>
    <row r="778" spans="2:3">
      <c r="B778" s="30">
        <v>39273</v>
      </c>
      <c r="C778">
        <v>112.5702</v>
      </c>
    </row>
    <row r="779" spans="2:3">
      <c r="B779" s="30">
        <v>39274</v>
      </c>
      <c r="C779">
        <v>112.66500000000001</v>
      </c>
    </row>
    <row r="780" spans="2:3">
      <c r="B780" s="30">
        <v>39275</v>
      </c>
      <c r="C780">
        <v>112.94880000000001</v>
      </c>
    </row>
    <row r="781" spans="2:3">
      <c r="B781" s="30">
        <v>39276</v>
      </c>
      <c r="C781">
        <v>113.0921</v>
      </c>
    </row>
    <row r="782" spans="2:3">
      <c r="B782" s="30">
        <v>39279</v>
      </c>
      <c r="C782">
        <v>113.328</v>
      </c>
    </row>
    <row r="783" spans="2:3">
      <c r="B783" s="30">
        <v>39280</v>
      </c>
      <c r="C783">
        <v>113.124</v>
      </c>
    </row>
    <row r="784" spans="2:3">
      <c r="B784" s="30">
        <v>39281</v>
      </c>
      <c r="C784">
        <v>113.31740000000001</v>
      </c>
    </row>
    <row r="785" spans="2:3">
      <c r="B785" s="30">
        <v>39282</v>
      </c>
      <c r="C785">
        <v>113.33329999999999</v>
      </c>
    </row>
    <row r="786" spans="2:3">
      <c r="B786" s="30">
        <v>39283</v>
      </c>
      <c r="C786">
        <v>113.2809</v>
      </c>
    </row>
    <row r="787" spans="2:3">
      <c r="B787" s="30">
        <v>39286</v>
      </c>
      <c r="C787">
        <v>113.3231</v>
      </c>
    </row>
    <row r="788" spans="2:3">
      <c r="B788" s="30">
        <v>39287</v>
      </c>
      <c r="C788">
        <v>112.785</v>
      </c>
    </row>
    <row r="789" spans="2:3">
      <c r="B789" s="30">
        <v>39288</v>
      </c>
      <c r="C789">
        <v>112.97069999999999</v>
      </c>
    </row>
    <row r="790" spans="2:3">
      <c r="B790" s="30">
        <v>39289</v>
      </c>
      <c r="C790">
        <v>112.5933</v>
      </c>
    </row>
    <row r="791" spans="2:3">
      <c r="B791" s="30">
        <v>39290</v>
      </c>
      <c r="C791">
        <v>111.7426</v>
      </c>
    </row>
    <row r="792" spans="2:3">
      <c r="B792" s="30">
        <v>39293</v>
      </c>
      <c r="C792">
        <v>112.26779999999999</v>
      </c>
    </row>
    <row r="793" spans="2:3">
      <c r="B793" s="30">
        <v>39294</v>
      </c>
      <c r="C793">
        <v>111.8994</v>
      </c>
    </row>
    <row r="794" spans="2:3">
      <c r="B794" s="30">
        <v>39295</v>
      </c>
      <c r="C794">
        <v>112.1208</v>
      </c>
    </row>
    <row r="795" spans="2:3">
      <c r="B795" s="30">
        <v>39296</v>
      </c>
      <c r="C795">
        <v>112.3112</v>
      </c>
    </row>
    <row r="796" spans="2:3">
      <c r="B796" s="30">
        <v>39297</v>
      </c>
      <c r="C796">
        <v>111.8312</v>
      </c>
    </row>
    <row r="797" spans="2:3">
      <c r="B797" s="30">
        <v>39300</v>
      </c>
      <c r="C797">
        <v>112.1867</v>
      </c>
    </row>
    <row r="798" spans="2:3">
      <c r="B798" s="30">
        <v>39301</v>
      </c>
      <c r="C798">
        <v>112.4211</v>
      </c>
    </row>
    <row r="799" spans="2:3">
      <c r="B799" s="30">
        <v>39302</v>
      </c>
      <c r="C799">
        <v>112.41849999999999</v>
      </c>
    </row>
    <row r="800" spans="2:3">
      <c r="B800" s="30">
        <v>39303</v>
      </c>
      <c r="C800">
        <v>111.8604</v>
      </c>
    </row>
    <row r="801" spans="2:3">
      <c r="B801" s="30">
        <v>39304</v>
      </c>
      <c r="C801">
        <v>111.7799</v>
      </c>
    </row>
    <row r="802" spans="2:3">
      <c r="B802" s="30">
        <v>39307</v>
      </c>
      <c r="C802">
        <v>111.8173</v>
      </c>
    </row>
    <row r="803" spans="2:3">
      <c r="B803" s="30">
        <v>39308</v>
      </c>
      <c r="C803">
        <v>111.65309999999999</v>
      </c>
    </row>
    <row r="804" spans="2:3">
      <c r="B804" s="30">
        <v>39309</v>
      </c>
      <c r="C804">
        <v>111.4324</v>
      </c>
    </row>
    <row r="805" spans="2:3">
      <c r="B805" s="30">
        <v>39310</v>
      </c>
      <c r="C805">
        <v>112.1506</v>
      </c>
    </row>
    <row r="806" spans="2:3">
      <c r="B806" s="30">
        <v>39311</v>
      </c>
      <c r="C806">
        <v>112.4161</v>
      </c>
    </row>
    <row r="807" spans="2:3">
      <c r="B807" s="30">
        <v>39314</v>
      </c>
      <c r="C807">
        <v>112.5564</v>
      </c>
    </row>
    <row r="808" spans="2:3">
      <c r="B808" s="30">
        <v>39315</v>
      </c>
      <c r="C808">
        <v>112.7231</v>
      </c>
    </row>
    <row r="809" spans="2:3">
      <c r="B809" s="30">
        <v>39316</v>
      </c>
      <c r="C809">
        <v>112.8777</v>
      </c>
    </row>
    <row r="810" spans="2:3">
      <c r="B810" s="30">
        <v>39317</v>
      </c>
      <c r="C810">
        <v>112.83320000000001</v>
      </c>
    </row>
    <row r="811" spans="2:3">
      <c r="B811" s="30">
        <v>39318</v>
      </c>
      <c r="C811">
        <v>113.0262</v>
      </c>
    </row>
    <row r="812" spans="2:3">
      <c r="B812" s="30">
        <v>39321</v>
      </c>
      <c r="C812">
        <v>112.90089999999999</v>
      </c>
    </row>
    <row r="813" spans="2:3">
      <c r="B813" s="30">
        <v>39322</v>
      </c>
      <c r="C813">
        <v>112.59739999999999</v>
      </c>
    </row>
    <row r="814" spans="2:3">
      <c r="B814" s="30">
        <v>39323</v>
      </c>
      <c r="C814">
        <v>113.0872</v>
      </c>
    </row>
    <row r="815" spans="2:3">
      <c r="B815" s="30">
        <v>39324</v>
      </c>
      <c r="C815">
        <v>113.2148</v>
      </c>
    </row>
    <row r="816" spans="2:3">
      <c r="B816" s="30">
        <v>39325</v>
      </c>
      <c r="C816">
        <v>113.3771</v>
      </c>
    </row>
    <row r="817" spans="2:3">
      <c r="B817" s="30">
        <v>39329</v>
      </c>
      <c r="C817">
        <v>113.64149999999999</v>
      </c>
    </row>
    <row r="818" spans="2:3">
      <c r="B818" s="30">
        <v>39330</v>
      </c>
      <c r="C818">
        <v>113.69840000000001</v>
      </c>
    </row>
    <row r="819" spans="2:3">
      <c r="B819" s="30">
        <v>39331</v>
      </c>
      <c r="C819">
        <v>113.628</v>
      </c>
    </row>
    <row r="820" spans="2:3">
      <c r="B820" s="30">
        <v>39332</v>
      </c>
      <c r="C820">
        <v>113.6814</v>
      </c>
    </row>
    <row r="821" spans="2:3">
      <c r="B821" s="30">
        <v>39335</v>
      </c>
      <c r="C821">
        <v>113.70310000000001</v>
      </c>
    </row>
    <row r="822" spans="2:3">
      <c r="B822" s="30">
        <v>39336</v>
      </c>
      <c r="C822">
        <v>113.9284</v>
      </c>
    </row>
    <row r="823" spans="2:3">
      <c r="B823" s="30">
        <v>39337</v>
      </c>
      <c r="C823">
        <v>113.9104</v>
      </c>
    </row>
    <row r="824" spans="2:3">
      <c r="B824" s="30">
        <v>39338</v>
      </c>
      <c r="C824">
        <v>113.8776</v>
      </c>
    </row>
    <row r="825" spans="2:3">
      <c r="B825" s="30">
        <v>39339</v>
      </c>
      <c r="C825">
        <v>113.98560000000001</v>
      </c>
    </row>
    <row r="826" spans="2:3">
      <c r="B826" s="30">
        <v>39342</v>
      </c>
      <c r="C826">
        <v>113.7591</v>
      </c>
    </row>
    <row r="827" spans="2:3">
      <c r="B827" s="30">
        <v>39343</v>
      </c>
      <c r="C827">
        <v>114.93519999999999</v>
      </c>
    </row>
    <row r="828" spans="2:3">
      <c r="B828" s="30">
        <v>39344</v>
      </c>
      <c r="C828">
        <v>114.9997</v>
      </c>
    </row>
    <row r="829" spans="2:3">
      <c r="B829" s="30">
        <v>39345</v>
      </c>
      <c r="C829">
        <v>114.3143</v>
      </c>
    </row>
    <row r="830" spans="2:3">
      <c r="B830" s="30">
        <v>39346</v>
      </c>
      <c r="C830">
        <v>114.5206</v>
      </c>
    </row>
    <row r="831" spans="2:3">
      <c r="B831" s="30">
        <v>39349</v>
      </c>
      <c r="C831">
        <v>114.4808</v>
      </c>
    </row>
    <row r="832" spans="2:3">
      <c r="B832" s="30">
        <v>39350</v>
      </c>
      <c r="C832">
        <v>114.4816</v>
      </c>
    </row>
    <row r="833" spans="2:3">
      <c r="B833" s="30">
        <v>39351</v>
      </c>
      <c r="C833">
        <v>114.64360000000001</v>
      </c>
    </row>
    <row r="834" spans="2:3">
      <c r="B834" s="30">
        <v>39352</v>
      </c>
      <c r="C834">
        <v>114.9836</v>
      </c>
    </row>
    <row r="835" spans="2:3">
      <c r="B835" s="30">
        <v>39353</v>
      </c>
      <c r="C835">
        <v>114.7852</v>
      </c>
    </row>
    <row r="836" spans="2:3">
      <c r="B836" s="30">
        <v>39356</v>
      </c>
      <c r="C836">
        <v>115.2236</v>
      </c>
    </row>
    <row r="837" spans="2:3">
      <c r="B837" s="30">
        <v>39357</v>
      </c>
      <c r="C837">
        <v>115.33759999999999</v>
      </c>
    </row>
    <row r="838" spans="2:3">
      <c r="B838" s="30">
        <v>39358</v>
      </c>
      <c r="C838">
        <v>115.19840000000001</v>
      </c>
    </row>
    <row r="839" spans="2:3">
      <c r="B839" s="30">
        <v>39359</v>
      </c>
      <c r="C839">
        <v>115.3219</v>
      </c>
    </row>
    <row r="840" spans="2:3">
      <c r="B840" s="30">
        <v>39360</v>
      </c>
      <c r="C840">
        <v>115.3396</v>
      </c>
    </row>
    <row r="841" spans="2:3">
      <c r="B841" s="30">
        <v>39364</v>
      </c>
      <c r="C841">
        <v>115.45059999999999</v>
      </c>
    </row>
    <row r="842" spans="2:3">
      <c r="B842" s="30">
        <v>39365</v>
      </c>
      <c r="C842">
        <v>115.3736</v>
      </c>
    </row>
    <row r="843" spans="2:3">
      <c r="B843" s="30">
        <v>39366</v>
      </c>
      <c r="C843">
        <v>115.1386</v>
      </c>
    </row>
    <row r="844" spans="2:3">
      <c r="B844" s="30">
        <v>39367</v>
      </c>
      <c r="C844">
        <v>115.2535</v>
      </c>
    </row>
    <row r="845" spans="2:3">
      <c r="B845" s="30">
        <v>39370</v>
      </c>
      <c r="C845">
        <v>114.959</v>
      </c>
    </row>
    <row r="846" spans="2:3">
      <c r="B846" s="30">
        <v>39371</v>
      </c>
      <c r="C846">
        <v>114.6969</v>
      </c>
    </row>
    <row r="847" spans="2:3">
      <c r="B847" s="30">
        <v>39372</v>
      </c>
      <c r="C847">
        <v>115.2004</v>
      </c>
    </row>
    <row r="848" spans="2:3">
      <c r="B848" s="30">
        <v>39373</v>
      </c>
      <c r="C848">
        <v>115.1846</v>
      </c>
    </row>
    <row r="849" spans="2:3">
      <c r="B849" s="30">
        <v>39374</v>
      </c>
      <c r="C849">
        <v>114.29730000000001</v>
      </c>
    </row>
    <row r="850" spans="2:3">
      <c r="B850" s="30">
        <v>39377</v>
      </c>
      <c r="C850">
        <v>114.56480000000001</v>
      </c>
    </row>
    <row r="851" spans="2:3">
      <c r="B851" s="30">
        <v>39378</v>
      </c>
      <c r="C851">
        <v>114.8749</v>
      </c>
    </row>
    <row r="852" spans="2:3">
      <c r="B852" s="30">
        <v>39379</v>
      </c>
      <c r="C852">
        <v>115.0153</v>
      </c>
    </row>
    <row r="853" spans="2:3">
      <c r="B853" s="30">
        <v>39380</v>
      </c>
      <c r="C853">
        <v>115.0073</v>
      </c>
    </row>
    <row r="854" spans="2:3">
      <c r="B854" s="30">
        <v>39381</v>
      </c>
      <c r="C854">
        <v>115.407</v>
      </c>
    </row>
    <row r="855" spans="2:3">
      <c r="B855" s="30">
        <v>39384</v>
      </c>
      <c r="C855">
        <v>115.5154</v>
      </c>
    </row>
    <row r="856" spans="2:3">
      <c r="B856" s="30">
        <v>39385</v>
      </c>
      <c r="C856">
        <v>115.17789999999999</v>
      </c>
    </row>
    <row r="857" spans="2:3">
      <c r="B857" s="30">
        <v>39386</v>
      </c>
      <c r="C857">
        <v>115.3764</v>
      </c>
    </row>
    <row r="858" spans="2:3">
      <c r="B858" s="30">
        <v>39387</v>
      </c>
      <c r="C858">
        <v>114.6421</v>
      </c>
    </row>
    <row r="859" spans="2:3">
      <c r="B859" s="30">
        <v>39388</v>
      </c>
      <c r="C859">
        <v>114.97190000000001</v>
      </c>
    </row>
    <row r="860" spans="2:3">
      <c r="B860" s="30">
        <v>39391</v>
      </c>
      <c r="C860">
        <v>114.5595</v>
      </c>
    </row>
    <row r="861" spans="2:3">
      <c r="B861" s="30">
        <v>39392</v>
      </c>
      <c r="C861">
        <v>114.9477</v>
      </c>
    </row>
    <row r="862" spans="2:3">
      <c r="B862" s="30">
        <v>39393</v>
      </c>
      <c r="C862">
        <v>114.0564</v>
      </c>
    </row>
    <row r="863" spans="2:3">
      <c r="B863" s="30">
        <v>39394</v>
      </c>
      <c r="C863">
        <v>114.1189</v>
      </c>
    </row>
    <row r="864" spans="2:3">
      <c r="B864" s="30">
        <v>39395</v>
      </c>
      <c r="C864">
        <v>113.816</v>
      </c>
    </row>
    <row r="865" spans="2:3">
      <c r="B865" s="30">
        <v>39399</v>
      </c>
      <c r="C865">
        <v>114.2761</v>
      </c>
    </row>
    <row r="866" spans="2:3">
      <c r="B866" s="30">
        <v>39400</v>
      </c>
      <c r="C866">
        <v>114.09829999999999</v>
      </c>
    </row>
    <row r="867" spans="2:3">
      <c r="B867" s="30">
        <v>39401</v>
      </c>
      <c r="C867">
        <v>114.22320000000001</v>
      </c>
    </row>
    <row r="868" spans="2:3">
      <c r="B868" s="30">
        <v>39402</v>
      </c>
      <c r="C868">
        <v>114.3028</v>
      </c>
    </row>
    <row r="869" spans="2:3">
      <c r="B869" s="30">
        <v>39405</v>
      </c>
      <c r="C869">
        <v>114.16249999999999</v>
      </c>
    </row>
    <row r="870" spans="2:3">
      <c r="B870" s="30">
        <v>39406</v>
      </c>
      <c r="C870">
        <v>114.36879999999999</v>
      </c>
    </row>
    <row r="871" spans="2:3">
      <c r="B871" s="30">
        <v>39407</v>
      </c>
      <c r="C871">
        <v>113.86450000000001</v>
      </c>
    </row>
    <row r="872" spans="2:3">
      <c r="B872" s="30">
        <v>39409</v>
      </c>
      <c r="C872">
        <v>114.5227</v>
      </c>
    </row>
    <row r="873" spans="2:3">
      <c r="B873" s="30">
        <v>39412</v>
      </c>
      <c r="C873">
        <v>114.4088</v>
      </c>
    </row>
    <row r="874" spans="2:3">
      <c r="B874" s="30">
        <v>39413</v>
      </c>
      <c r="C874">
        <v>114.36109999999999</v>
      </c>
    </row>
    <row r="875" spans="2:3">
      <c r="B875" s="30">
        <v>39414</v>
      </c>
      <c r="C875">
        <v>115.0373</v>
      </c>
    </row>
    <row r="876" spans="2:3">
      <c r="B876" s="30">
        <v>39415</v>
      </c>
      <c r="C876">
        <v>115.3849</v>
      </c>
    </row>
    <row r="877" spans="2:3">
      <c r="B877" s="30">
        <v>39416</v>
      </c>
      <c r="C877">
        <v>115.57259999999999</v>
      </c>
    </row>
    <row r="878" spans="2:3">
      <c r="B878" s="30">
        <v>39419</v>
      </c>
      <c r="C878">
        <v>115.7189</v>
      </c>
    </row>
    <row r="879" spans="2:3">
      <c r="B879" s="30">
        <v>39420</v>
      </c>
      <c r="C879">
        <v>115.5202</v>
      </c>
    </row>
    <row r="880" spans="2:3">
      <c r="B880" s="30">
        <v>39421</v>
      </c>
      <c r="C880">
        <v>115.95399999999999</v>
      </c>
    </row>
    <row r="881" spans="2:3">
      <c r="B881" s="30">
        <v>39422</v>
      </c>
      <c r="C881">
        <v>116.08</v>
      </c>
    </row>
    <row r="882" spans="2:3">
      <c r="B882" s="30">
        <v>39423</v>
      </c>
      <c r="C882">
        <v>115.63630000000001</v>
      </c>
    </row>
    <row r="883" spans="2:3">
      <c r="B883" s="30">
        <v>39426</v>
      </c>
      <c r="C883">
        <v>115.8297</v>
      </c>
    </row>
    <row r="884" spans="2:3">
      <c r="B884" s="30">
        <v>39427</v>
      </c>
      <c r="C884">
        <v>115.5457</v>
      </c>
    </row>
    <row r="885" spans="2:3">
      <c r="B885" s="30">
        <v>39428</v>
      </c>
      <c r="C885">
        <v>115.5093</v>
      </c>
    </row>
    <row r="886" spans="2:3">
      <c r="B886" s="30">
        <v>39429</v>
      </c>
      <c r="C886">
        <v>115.1735</v>
      </c>
    </row>
    <row r="887" spans="2:3">
      <c r="B887" s="30">
        <v>39430</v>
      </c>
      <c r="C887">
        <v>114.488</v>
      </c>
    </row>
    <row r="888" spans="2:3">
      <c r="B888" s="30">
        <v>39433</v>
      </c>
      <c r="C888">
        <v>114.1589</v>
      </c>
    </row>
    <row r="889" spans="2:3">
      <c r="B889" s="30">
        <v>39434</v>
      </c>
      <c r="C889">
        <v>114.675</v>
      </c>
    </row>
    <row r="890" spans="2:3">
      <c r="B890" s="30">
        <v>39435</v>
      </c>
      <c r="C890">
        <v>114.8014</v>
      </c>
    </row>
    <row r="891" spans="2:3">
      <c r="B891" s="30">
        <v>39436</v>
      </c>
      <c r="C891">
        <v>115.15349999999999</v>
      </c>
    </row>
    <row r="892" spans="2:3">
      <c r="B892" s="30">
        <v>39437</v>
      </c>
      <c r="C892">
        <v>115.11190000000001</v>
      </c>
    </row>
    <row r="893" spans="2:3">
      <c r="B893" s="30">
        <v>39440</v>
      </c>
      <c r="C893">
        <v>115.1528</v>
      </c>
    </row>
    <row r="894" spans="2:3">
      <c r="B894" s="30">
        <v>39442</v>
      </c>
      <c r="C894">
        <v>114.9823</v>
      </c>
    </row>
    <row r="895" spans="2:3">
      <c r="B895" s="30">
        <v>39443</v>
      </c>
      <c r="C895">
        <v>114.8563</v>
      </c>
    </row>
    <row r="896" spans="2:3">
      <c r="B896" s="30">
        <v>39444</v>
      </c>
      <c r="C896">
        <v>115.14530000000001</v>
      </c>
    </row>
    <row r="897" spans="2:3">
      <c r="B897" s="30">
        <v>39447</v>
      </c>
      <c r="C897">
        <v>115.2193</v>
      </c>
    </row>
    <row r="898" spans="2:3">
      <c r="B898" s="30">
        <v>39449</v>
      </c>
      <c r="C898">
        <v>115.30629999999999</v>
      </c>
    </row>
    <row r="899" spans="2:3">
      <c r="B899" s="30">
        <v>39450</v>
      </c>
      <c r="C899">
        <v>115.267</v>
      </c>
    </row>
    <row r="900" spans="2:3">
      <c r="B900" s="30">
        <v>39451</v>
      </c>
      <c r="C900">
        <v>114.68940000000001</v>
      </c>
    </row>
    <row r="901" spans="2:3">
      <c r="B901" s="30">
        <v>39454</v>
      </c>
      <c r="C901">
        <v>114.6143</v>
      </c>
    </row>
    <row r="902" spans="2:3">
      <c r="B902" s="30">
        <v>39455</v>
      </c>
      <c r="C902">
        <v>113.97669999999999</v>
      </c>
    </row>
    <row r="903" spans="2:3">
      <c r="B903" s="30">
        <v>39456</v>
      </c>
      <c r="C903">
        <v>114.4746</v>
      </c>
    </row>
    <row r="904" spans="2:3">
      <c r="B904" s="30">
        <v>39457</v>
      </c>
      <c r="C904">
        <v>114.5153</v>
      </c>
    </row>
    <row r="905" spans="2:3">
      <c r="B905" s="30">
        <v>39458</v>
      </c>
      <c r="C905">
        <v>114.4469</v>
      </c>
    </row>
    <row r="906" spans="2:3">
      <c r="B906" s="30">
        <v>39461</v>
      </c>
      <c r="C906">
        <v>114.7923</v>
      </c>
    </row>
    <row r="907" spans="2:3">
      <c r="B907" s="30">
        <v>39462</v>
      </c>
      <c r="C907">
        <v>114.22750000000001</v>
      </c>
    </row>
    <row r="908" spans="2:3">
      <c r="B908" s="30">
        <v>39463</v>
      </c>
      <c r="C908">
        <v>113.9064</v>
      </c>
    </row>
    <row r="909" spans="2:3">
      <c r="B909" s="30">
        <v>39464</v>
      </c>
      <c r="C909">
        <v>113.1748</v>
      </c>
    </row>
    <row r="910" spans="2:3">
      <c r="B910" s="30">
        <v>39465</v>
      </c>
      <c r="C910">
        <v>112.86279999999999</v>
      </c>
    </row>
    <row r="911" spans="2:3">
      <c r="B911" s="30">
        <v>39469</v>
      </c>
      <c r="C911">
        <v>112.9044</v>
      </c>
    </row>
    <row r="912" spans="2:3">
      <c r="B912" s="30">
        <v>39470</v>
      </c>
      <c r="C912">
        <v>113.9821</v>
      </c>
    </row>
    <row r="913" spans="2:3">
      <c r="B913" s="30">
        <v>39471</v>
      </c>
      <c r="C913">
        <v>113.55889999999999</v>
      </c>
    </row>
    <row r="914" spans="2:3">
      <c r="B914" s="30">
        <v>39472</v>
      </c>
      <c r="C914">
        <v>113.3164</v>
      </c>
    </row>
    <row r="915" spans="2:3">
      <c r="B915" s="30">
        <v>39475</v>
      </c>
      <c r="C915">
        <v>113.7403</v>
      </c>
    </row>
    <row r="916" spans="2:3">
      <c r="B916" s="30">
        <v>39476</v>
      </c>
      <c r="C916">
        <v>113.7379</v>
      </c>
    </row>
    <row r="917" spans="2:3">
      <c r="B917" s="30">
        <v>39477</v>
      </c>
      <c r="C917">
        <v>113.1828</v>
      </c>
    </row>
    <row r="918" spans="2:3">
      <c r="B918" s="30">
        <v>39478</v>
      </c>
      <c r="C918">
        <v>114.04170000000001</v>
      </c>
    </row>
    <row r="919" spans="2:3">
      <c r="B919" s="30">
        <v>39479</v>
      </c>
      <c r="C919">
        <v>114.60809999999999</v>
      </c>
    </row>
    <row r="920" spans="2:3">
      <c r="B920" s="30">
        <v>39482</v>
      </c>
      <c r="C920">
        <v>114.1942</v>
      </c>
    </row>
    <row r="921" spans="2:3">
      <c r="B921" s="30">
        <v>39483</v>
      </c>
      <c r="C921">
        <v>113.79940000000001</v>
      </c>
    </row>
    <row r="922" spans="2:3">
      <c r="B922" s="30">
        <v>39484</v>
      </c>
      <c r="C922">
        <v>113.4175</v>
      </c>
    </row>
    <row r="923" spans="2:3">
      <c r="B923" s="30">
        <v>39485</v>
      </c>
      <c r="C923">
        <v>113.17740000000001</v>
      </c>
    </row>
    <row r="924" spans="2:3">
      <c r="B924" s="30">
        <v>39486</v>
      </c>
      <c r="C924">
        <v>113.19070000000001</v>
      </c>
    </row>
    <row r="925" spans="2:3">
      <c r="B925" s="30">
        <v>39489</v>
      </c>
      <c r="C925">
        <v>113.3674</v>
      </c>
    </row>
    <row r="926" spans="2:3">
      <c r="B926" s="30">
        <v>39490</v>
      </c>
      <c r="C926">
        <v>113.1446</v>
      </c>
    </row>
    <row r="927" spans="2:3">
      <c r="B927" s="30">
        <v>39491</v>
      </c>
      <c r="C927">
        <v>113.50709999999999</v>
      </c>
    </row>
    <row r="928" spans="2:3">
      <c r="B928" s="30">
        <v>39492</v>
      </c>
      <c r="C928">
        <v>112.96680000000001</v>
      </c>
    </row>
    <row r="929" spans="2:3">
      <c r="B929" s="30">
        <v>39493</v>
      </c>
      <c r="C929">
        <v>112.9205</v>
      </c>
    </row>
    <row r="930" spans="2:3">
      <c r="B930" s="30">
        <v>39497</v>
      </c>
      <c r="C930">
        <v>112.3999</v>
      </c>
    </row>
    <row r="931" spans="2:3">
      <c r="B931" s="30">
        <v>39498</v>
      </c>
      <c r="C931">
        <v>112.1724</v>
      </c>
    </row>
    <row r="932" spans="2:3">
      <c r="B932" s="30">
        <v>39499</v>
      </c>
      <c r="C932">
        <v>112.53100000000001</v>
      </c>
    </row>
    <row r="933" spans="2:3">
      <c r="B933" s="30">
        <v>39500</v>
      </c>
      <c r="C933">
        <v>112.77200000000001</v>
      </c>
    </row>
    <row r="934" spans="2:3">
      <c r="B934" s="30">
        <v>39503</v>
      </c>
      <c r="C934">
        <v>112.77970000000001</v>
      </c>
    </row>
    <row r="935" spans="2:3">
      <c r="B935" s="30">
        <v>39504</v>
      </c>
      <c r="C935">
        <v>113.2706</v>
      </c>
    </row>
    <row r="936" spans="2:3">
      <c r="B936" s="30">
        <v>39505</v>
      </c>
      <c r="C936">
        <v>113.197</v>
      </c>
    </row>
    <row r="937" spans="2:3">
      <c r="B937" s="30">
        <v>39506</v>
      </c>
      <c r="C937">
        <v>113.27719999999999</v>
      </c>
    </row>
    <row r="938" spans="2:3">
      <c r="B938" s="30">
        <v>39507</v>
      </c>
      <c r="C938">
        <v>113.3049</v>
      </c>
    </row>
    <row r="939" spans="2:3">
      <c r="B939" s="30">
        <v>39510</v>
      </c>
      <c r="C939">
        <v>113.34399999999999</v>
      </c>
    </row>
    <row r="940" spans="2:3">
      <c r="B940" s="30">
        <v>39511</v>
      </c>
      <c r="C940">
        <v>113.1298</v>
      </c>
    </row>
    <row r="941" spans="2:3">
      <c r="B941" s="30">
        <v>39512</v>
      </c>
      <c r="C941">
        <v>112.90989999999999</v>
      </c>
    </row>
    <row r="942" spans="2:3">
      <c r="B942" s="30">
        <v>39513</v>
      </c>
      <c r="C942">
        <v>112.31570000000001</v>
      </c>
    </row>
    <row r="943" spans="2:3">
      <c r="B943" s="30">
        <v>39514</v>
      </c>
      <c r="C943">
        <v>112.42959999999999</v>
      </c>
    </row>
    <row r="944" spans="2:3">
      <c r="B944" s="30">
        <v>39517</v>
      </c>
      <c r="C944">
        <v>112.2367</v>
      </c>
    </row>
    <row r="945" spans="2:3">
      <c r="B945" s="30">
        <v>39518</v>
      </c>
      <c r="C945">
        <v>112.6176</v>
      </c>
    </row>
    <row r="946" spans="2:3">
      <c r="B946" s="30">
        <v>39519</v>
      </c>
      <c r="C946">
        <v>112.771</v>
      </c>
    </row>
    <row r="947" spans="2:3">
      <c r="B947" s="30">
        <v>39520</v>
      </c>
      <c r="C947">
        <v>112.6686</v>
      </c>
    </row>
    <row r="948" spans="2:3">
      <c r="B948" s="30">
        <v>39521</v>
      </c>
      <c r="C948">
        <v>112.8429</v>
      </c>
    </row>
    <row r="949" spans="2:3">
      <c r="B949" s="30">
        <v>39524</v>
      </c>
      <c r="C949">
        <v>113.0322</v>
      </c>
    </row>
    <row r="950" spans="2:3">
      <c r="B950" s="30">
        <v>39525</v>
      </c>
      <c r="C950">
        <v>113.7315</v>
      </c>
    </row>
    <row r="951" spans="2:3">
      <c r="B951" s="30">
        <v>39526</v>
      </c>
      <c r="C951">
        <v>113.52160000000001</v>
      </c>
    </row>
    <row r="952" spans="2:3">
      <c r="B952" s="30">
        <v>39527</v>
      </c>
      <c r="C952">
        <v>113.8909</v>
      </c>
    </row>
    <row r="953" spans="2:3">
      <c r="B953" s="30">
        <v>39531</v>
      </c>
      <c r="C953">
        <v>113.6379</v>
      </c>
    </row>
    <row r="954" spans="2:3">
      <c r="B954" s="30">
        <v>39532</v>
      </c>
      <c r="C954">
        <v>113.8869</v>
      </c>
    </row>
    <row r="955" spans="2:3">
      <c r="B955" s="30">
        <v>39533</v>
      </c>
      <c r="C955">
        <v>113.69459999999999</v>
      </c>
    </row>
    <row r="956" spans="2:3">
      <c r="B956" s="30">
        <v>39534</v>
      </c>
      <c r="C956">
        <v>113.37309999999999</v>
      </c>
    </row>
    <row r="957" spans="2:3">
      <c r="B957" s="30">
        <v>39535</v>
      </c>
      <c r="C957">
        <v>113.4096</v>
      </c>
    </row>
    <row r="958" spans="2:3">
      <c r="B958" s="30">
        <v>39538</v>
      </c>
      <c r="C958">
        <v>113.5943</v>
      </c>
    </row>
    <row r="959" spans="2:3">
      <c r="B959" s="30">
        <v>39539</v>
      </c>
      <c r="C959">
        <v>113.9636</v>
      </c>
    </row>
    <row r="960" spans="2:3">
      <c r="B960" s="30">
        <v>39540</v>
      </c>
      <c r="C960">
        <v>114.0453</v>
      </c>
    </row>
    <row r="961" spans="2:3">
      <c r="B961" s="30">
        <v>39541</v>
      </c>
      <c r="C961">
        <v>114.15819999999999</v>
      </c>
    </row>
    <row r="962" spans="2:3">
      <c r="B962" s="30">
        <v>39542</v>
      </c>
      <c r="C962">
        <v>114.6825</v>
      </c>
    </row>
    <row r="963" spans="2:3">
      <c r="B963" s="30">
        <v>39545</v>
      </c>
      <c r="C963">
        <v>114.3309</v>
      </c>
    </row>
    <row r="964" spans="2:3">
      <c r="B964" s="30">
        <v>39546</v>
      </c>
      <c r="C964">
        <v>114.2133</v>
      </c>
    </row>
    <row r="965" spans="2:3">
      <c r="B965" s="30">
        <v>39547</v>
      </c>
      <c r="C965">
        <v>114.36579999999999</v>
      </c>
    </row>
    <row r="966" spans="2:3">
      <c r="B966" s="30">
        <v>39548</v>
      </c>
      <c r="C966">
        <v>114.1717</v>
      </c>
    </row>
    <row r="967" spans="2:3">
      <c r="B967" s="30">
        <v>39549</v>
      </c>
      <c r="C967">
        <v>113.85209999999999</v>
      </c>
    </row>
    <row r="968" spans="2:3">
      <c r="B968" s="30">
        <v>39552</v>
      </c>
      <c r="C968">
        <v>113.65349999999999</v>
      </c>
    </row>
    <row r="969" spans="2:3">
      <c r="B969" s="30">
        <v>39553</v>
      </c>
      <c r="C969">
        <v>113.5745</v>
      </c>
    </row>
    <row r="970" spans="2:3">
      <c r="B970" s="30">
        <v>39554</v>
      </c>
      <c r="C970">
        <v>114.0536</v>
      </c>
    </row>
    <row r="971" spans="2:3">
      <c r="B971" s="30">
        <v>39555</v>
      </c>
      <c r="C971">
        <v>113.90989999999999</v>
      </c>
    </row>
    <row r="972" spans="2:3">
      <c r="B972" s="30">
        <v>39556</v>
      </c>
      <c r="C972">
        <v>114.2638</v>
      </c>
    </row>
    <row r="973" spans="2:3">
      <c r="B973" s="30">
        <v>39559</v>
      </c>
      <c r="C973">
        <v>114.36620000000001</v>
      </c>
    </row>
    <row r="974" spans="2:3">
      <c r="B974" s="30">
        <v>39560</v>
      </c>
      <c r="C974">
        <v>114.05370000000001</v>
      </c>
    </row>
    <row r="975" spans="2:3">
      <c r="B975" s="30">
        <v>39561</v>
      </c>
      <c r="C975">
        <v>113.9795</v>
      </c>
    </row>
    <row r="976" spans="2:3">
      <c r="B976" s="30">
        <v>39562</v>
      </c>
      <c r="C976">
        <v>113.7336</v>
      </c>
    </row>
    <row r="977" spans="2:3">
      <c r="B977" s="30">
        <v>39563</v>
      </c>
      <c r="C977">
        <v>113.9686</v>
      </c>
    </row>
    <row r="978" spans="2:3">
      <c r="B978" s="30">
        <v>39566</v>
      </c>
      <c r="C978">
        <v>114.229</v>
      </c>
    </row>
    <row r="979" spans="2:3">
      <c r="B979" s="30">
        <v>39567</v>
      </c>
      <c r="C979">
        <v>114.14530000000001</v>
      </c>
    </row>
    <row r="980" spans="2:3">
      <c r="B980" s="30">
        <v>39568</v>
      </c>
      <c r="C980">
        <v>114.2773</v>
      </c>
    </row>
    <row r="981" spans="2:3">
      <c r="B981" s="30">
        <v>39569</v>
      </c>
      <c r="C981">
        <v>114.9345</v>
      </c>
    </row>
    <row r="982" spans="2:3">
      <c r="B982" s="30">
        <v>39570</v>
      </c>
      <c r="C982">
        <v>114.67910000000001</v>
      </c>
    </row>
    <row r="983" spans="2:3">
      <c r="B983" s="30">
        <v>39573</v>
      </c>
      <c r="C983">
        <v>114.5192</v>
      </c>
    </row>
    <row r="984" spans="2:3">
      <c r="B984" s="30">
        <v>39574</v>
      </c>
      <c r="C984">
        <v>114.6588</v>
      </c>
    </row>
    <row r="985" spans="2:3">
      <c r="B985" s="30">
        <v>39575</v>
      </c>
      <c r="C985">
        <v>114.08280000000001</v>
      </c>
    </row>
    <row r="986" spans="2:3">
      <c r="B986" s="30">
        <v>39576</v>
      </c>
      <c r="C986">
        <v>114.2847</v>
      </c>
    </row>
    <row r="987" spans="2:3">
      <c r="B987" s="30">
        <v>39577</v>
      </c>
      <c r="C987">
        <v>114.337</v>
      </c>
    </row>
    <row r="988" spans="2:3">
      <c r="B988" s="30">
        <v>39580</v>
      </c>
      <c r="C988">
        <v>114.7223</v>
      </c>
    </row>
    <row r="989" spans="2:3">
      <c r="B989" s="30">
        <v>39581</v>
      </c>
      <c r="C989">
        <v>114.15779999999999</v>
      </c>
    </row>
    <row r="990" spans="2:3">
      <c r="B990" s="30">
        <v>39582</v>
      </c>
      <c r="C990">
        <v>114.0985</v>
      </c>
    </row>
    <row r="991" spans="2:3">
      <c r="B991" s="30">
        <v>39583</v>
      </c>
      <c r="C991">
        <v>114.93859999999999</v>
      </c>
    </row>
    <row r="992" spans="2:3">
      <c r="B992" s="30">
        <v>39584</v>
      </c>
      <c r="C992">
        <v>114.9644</v>
      </c>
    </row>
    <row r="993" spans="2:3">
      <c r="B993" s="30">
        <v>39587</v>
      </c>
      <c r="C993">
        <v>115.14870000000001</v>
      </c>
    </row>
    <row r="994" spans="2:3">
      <c r="B994" s="30">
        <v>39588</v>
      </c>
      <c r="C994">
        <v>115.1045</v>
      </c>
    </row>
    <row r="995" spans="2:3">
      <c r="B995" s="30">
        <v>39589</v>
      </c>
      <c r="C995">
        <v>114.1635</v>
      </c>
    </row>
    <row r="996" spans="2:3">
      <c r="B996" s="30">
        <v>39590</v>
      </c>
      <c r="C996">
        <v>113.62309999999999</v>
      </c>
    </row>
    <row r="997" spans="2:3">
      <c r="B997" s="30">
        <v>39591</v>
      </c>
      <c r="C997">
        <v>113.508</v>
      </c>
    </row>
    <row r="998" spans="2:3">
      <c r="B998" s="30">
        <v>39595</v>
      </c>
      <c r="C998">
        <v>113.4686</v>
      </c>
    </row>
    <row r="999" spans="2:3">
      <c r="B999" s="30">
        <v>39596</v>
      </c>
      <c r="C999">
        <v>113.33580000000001</v>
      </c>
    </row>
    <row r="1000" spans="2:3">
      <c r="B1000" s="30">
        <v>39597</v>
      </c>
      <c r="C1000">
        <v>113.2407</v>
      </c>
    </row>
    <row r="1001" spans="2:3">
      <c r="B1001" s="30">
        <v>39598</v>
      </c>
      <c r="C1001">
        <v>113.4834</v>
      </c>
    </row>
    <row r="1002" spans="2:3">
      <c r="B1002" s="30">
        <v>39601</v>
      </c>
      <c r="C1002">
        <v>113.5189</v>
      </c>
    </row>
    <row r="1003" spans="2:3">
      <c r="B1003" s="30">
        <v>39602</v>
      </c>
      <c r="C1003">
        <v>113.6883</v>
      </c>
    </row>
    <row r="1004" spans="2:3">
      <c r="B1004" s="30">
        <v>39603</v>
      </c>
      <c r="C1004">
        <v>113.4903</v>
      </c>
    </row>
    <row r="1005" spans="2:3">
      <c r="B1005" s="30">
        <v>39604</v>
      </c>
      <c r="C1005">
        <v>114.0194</v>
      </c>
    </row>
    <row r="1006" spans="2:3">
      <c r="B1006" s="30">
        <v>39605</v>
      </c>
      <c r="C1006">
        <v>113.13249999999999</v>
      </c>
    </row>
    <row r="1007" spans="2:3">
      <c r="B1007" s="30">
        <v>39608</v>
      </c>
      <c r="C1007">
        <v>112.7028</v>
      </c>
    </row>
    <row r="1008" spans="2:3">
      <c r="B1008" s="30">
        <v>39609</v>
      </c>
      <c r="C1008">
        <v>112.0185</v>
      </c>
    </row>
    <row r="1009" spans="2:3">
      <c r="B1009" s="30">
        <v>39610</v>
      </c>
      <c r="C1009">
        <v>111.7835</v>
      </c>
    </row>
    <row r="1010" spans="2:3">
      <c r="B1010" s="30">
        <v>39611</v>
      </c>
      <c r="C1010">
        <v>111.3312</v>
      </c>
    </row>
    <row r="1011" spans="2:3">
      <c r="B1011" s="30">
        <v>39612</v>
      </c>
      <c r="C1011">
        <v>111.411</v>
      </c>
    </row>
    <row r="1012" spans="2:3">
      <c r="B1012" s="30">
        <v>39615</v>
      </c>
      <c r="C1012">
        <v>111.57340000000001</v>
      </c>
    </row>
    <row r="1013" spans="2:3">
      <c r="B1013" s="30">
        <v>39616</v>
      </c>
      <c r="C1013">
        <v>111.7611</v>
      </c>
    </row>
    <row r="1014" spans="2:3">
      <c r="B1014" s="30">
        <v>39617</v>
      </c>
      <c r="C1014">
        <v>111.8703</v>
      </c>
    </row>
    <row r="1015" spans="2:3">
      <c r="B1015" s="30">
        <v>39618</v>
      </c>
      <c r="C1015">
        <v>111.4966</v>
      </c>
    </row>
    <row r="1016" spans="2:3">
      <c r="B1016" s="30">
        <v>39619</v>
      </c>
      <c r="C1016">
        <v>111.46899999999999</v>
      </c>
    </row>
    <row r="1017" spans="2:3">
      <c r="B1017" s="30">
        <v>39622</v>
      </c>
      <c r="C1017">
        <v>111.2739</v>
      </c>
    </row>
    <row r="1018" spans="2:3">
      <c r="B1018" s="30">
        <v>39623</v>
      </c>
      <c r="C1018">
        <v>111.4894</v>
      </c>
    </row>
    <row r="1019" spans="2:3">
      <c r="B1019" s="30">
        <v>39624</v>
      </c>
      <c r="C1019">
        <v>111.5351</v>
      </c>
    </row>
    <row r="1020" spans="2:3">
      <c r="B1020" s="30">
        <v>39625</v>
      </c>
      <c r="C1020">
        <v>111.3215</v>
      </c>
    </row>
    <row r="1021" spans="2:3">
      <c r="B1021" s="30">
        <v>39626</v>
      </c>
      <c r="C1021">
        <v>111.2769</v>
      </c>
    </row>
    <row r="1022" spans="2:3">
      <c r="B1022" s="30">
        <v>39629</v>
      </c>
      <c r="C1022">
        <v>111.4092</v>
      </c>
    </row>
    <row r="1023" spans="2:3">
      <c r="B1023" s="30">
        <v>39630</v>
      </c>
      <c r="C1023">
        <v>111.41589999999999</v>
      </c>
    </row>
    <row r="1024" spans="2:3">
      <c r="B1024" s="30">
        <v>39631</v>
      </c>
      <c r="C1024">
        <v>111.1212</v>
      </c>
    </row>
    <row r="1025" spans="2:3">
      <c r="B1025" s="30">
        <v>39632</v>
      </c>
      <c r="C1025">
        <v>111.2105</v>
      </c>
    </row>
    <row r="1026" spans="2:3">
      <c r="B1026" s="30">
        <v>39636</v>
      </c>
      <c r="C1026">
        <v>111.1897</v>
      </c>
    </row>
    <row r="1027" spans="2:3">
      <c r="B1027" s="30">
        <v>39637</v>
      </c>
      <c r="C1027">
        <v>111.92</v>
      </c>
    </row>
    <row r="1028" spans="2:3">
      <c r="B1028" s="30">
        <v>39638</v>
      </c>
      <c r="C1028">
        <v>111.4958</v>
      </c>
    </row>
    <row r="1029" spans="2:3">
      <c r="B1029" s="30">
        <v>39639</v>
      </c>
      <c r="C1029">
        <v>111.7026</v>
      </c>
    </row>
    <row r="1030" spans="2:3">
      <c r="B1030" s="30">
        <v>39640</v>
      </c>
      <c r="C1030">
        <v>110.80549999999999</v>
      </c>
    </row>
    <row r="1031" spans="2:3">
      <c r="B1031" s="30">
        <v>39643</v>
      </c>
      <c r="C1031">
        <v>110.8704</v>
      </c>
    </row>
    <row r="1032" spans="2:3">
      <c r="B1032" s="30">
        <v>39644</v>
      </c>
      <c r="C1032">
        <v>110.6579</v>
      </c>
    </row>
    <row r="1033" spans="2:3">
      <c r="B1033" s="30">
        <v>39645</v>
      </c>
      <c r="C1033">
        <v>111.1285</v>
      </c>
    </row>
    <row r="1034" spans="2:3">
      <c r="B1034" s="30">
        <v>39646</v>
      </c>
      <c r="C1034">
        <v>110.908</v>
      </c>
    </row>
    <row r="1035" spans="2:3">
      <c r="B1035" s="30">
        <v>39647</v>
      </c>
      <c r="C1035">
        <v>110.955</v>
      </c>
    </row>
    <row r="1036" spans="2:3">
      <c r="B1036" s="30">
        <v>39650</v>
      </c>
      <c r="C1036">
        <v>111.0488</v>
      </c>
    </row>
    <row r="1037" spans="2:3">
      <c r="B1037" s="30">
        <v>39651</v>
      </c>
      <c r="C1037">
        <v>111.1913</v>
      </c>
    </row>
    <row r="1038" spans="2:3">
      <c r="B1038" s="30">
        <v>39652</v>
      </c>
      <c r="C1038">
        <v>111.17919999999999</v>
      </c>
    </row>
    <row r="1039" spans="2:3">
      <c r="B1039" s="30">
        <v>39653</v>
      </c>
      <c r="C1039">
        <v>111.0671</v>
      </c>
    </row>
    <row r="1040" spans="2:3">
      <c r="B1040" s="30">
        <v>39654</v>
      </c>
      <c r="C1040">
        <v>110.73480000000001</v>
      </c>
    </row>
    <row r="1041" spans="2:3">
      <c r="B1041" s="30">
        <v>39657</v>
      </c>
      <c r="C1041">
        <v>110.7373</v>
      </c>
    </row>
    <row r="1042" spans="2:3">
      <c r="B1042" s="30">
        <v>39658</v>
      </c>
      <c r="C1042">
        <v>111.3991</v>
      </c>
    </row>
    <row r="1043" spans="2:3">
      <c r="B1043" s="30">
        <v>39659</v>
      </c>
      <c r="C1043">
        <v>111.982</v>
      </c>
    </row>
    <row r="1044" spans="2:3">
      <c r="B1044" s="30">
        <v>39660</v>
      </c>
      <c r="C1044">
        <v>111.9061</v>
      </c>
    </row>
    <row r="1045" spans="2:3">
      <c r="B1045" s="30">
        <v>39661</v>
      </c>
      <c r="C1045">
        <v>111.91249999999999</v>
      </c>
    </row>
    <row r="1046" spans="2:3">
      <c r="B1046" s="30">
        <v>39664</v>
      </c>
      <c r="C1046">
        <v>111.5188</v>
      </c>
    </row>
    <row r="1047" spans="2:3">
      <c r="B1047" s="30">
        <v>39665</v>
      </c>
      <c r="C1047">
        <v>112.2439</v>
      </c>
    </row>
    <row r="1048" spans="2:3">
      <c r="B1048" s="30">
        <v>39666</v>
      </c>
      <c r="C1048">
        <v>112.1734</v>
      </c>
    </row>
    <row r="1049" spans="2:3">
      <c r="B1049" s="30">
        <v>39667</v>
      </c>
      <c r="C1049">
        <v>112.33329999999999</v>
      </c>
    </row>
    <row r="1050" spans="2:3">
      <c r="B1050" s="30">
        <v>39668</v>
      </c>
      <c r="C1050">
        <v>112.7497</v>
      </c>
    </row>
    <row r="1051" spans="2:3">
      <c r="B1051" s="30">
        <v>39671</v>
      </c>
      <c r="C1051">
        <v>112.8634</v>
      </c>
    </row>
    <row r="1052" spans="2:3">
      <c r="B1052" s="30">
        <v>39672</v>
      </c>
      <c r="C1052">
        <v>112.9496</v>
      </c>
    </row>
    <row r="1053" spans="2:3">
      <c r="B1053" s="30">
        <v>39673</v>
      </c>
      <c r="C1053">
        <v>112.5789</v>
      </c>
    </row>
    <row r="1054" spans="2:3">
      <c r="B1054" s="30">
        <v>39674</v>
      </c>
      <c r="C1054">
        <v>113.0244</v>
      </c>
    </row>
    <row r="1055" spans="2:3">
      <c r="B1055" s="30">
        <v>39675</v>
      </c>
      <c r="C1055">
        <v>113.3583</v>
      </c>
    </row>
    <row r="1056" spans="2:3">
      <c r="B1056" s="30">
        <v>39678</v>
      </c>
      <c r="C1056">
        <v>113.0382</v>
      </c>
    </row>
    <row r="1057" spans="2:3">
      <c r="B1057" s="30">
        <v>39679</v>
      </c>
      <c r="C1057">
        <v>112.57470000000001</v>
      </c>
    </row>
    <row r="1058" spans="2:3">
      <c r="B1058" s="30">
        <v>39680</v>
      </c>
      <c r="C1058">
        <v>112.87730000000001</v>
      </c>
    </row>
    <row r="1059" spans="2:3">
      <c r="B1059" s="30">
        <v>39681</v>
      </c>
      <c r="C1059">
        <v>112.7269</v>
      </c>
    </row>
    <row r="1060" spans="2:3">
      <c r="B1060" s="30">
        <v>39682</v>
      </c>
      <c r="C1060">
        <v>113.0121</v>
      </c>
    </row>
    <row r="1061" spans="2:3">
      <c r="B1061" s="30">
        <v>39685</v>
      </c>
      <c r="C1061">
        <v>112.77160000000001</v>
      </c>
    </row>
    <row r="1062" spans="2:3">
      <c r="B1062" s="30">
        <v>39686</v>
      </c>
      <c r="C1062">
        <v>112.8443</v>
      </c>
    </row>
    <row r="1063" spans="2:3">
      <c r="B1063" s="30">
        <v>39687</v>
      </c>
      <c r="C1063">
        <v>113.1835</v>
      </c>
    </row>
    <row r="1064" spans="2:3">
      <c r="B1064" s="30">
        <v>39688</v>
      </c>
      <c r="C1064">
        <v>113.50530000000001</v>
      </c>
    </row>
    <row r="1065" spans="2:3">
      <c r="B1065" s="30">
        <v>39689</v>
      </c>
      <c r="C1065">
        <v>113.0793</v>
      </c>
    </row>
    <row r="1066" spans="2:3">
      <c r="B1066" s="30">
        <v>39693</v>
      </c>
      <c r="C1066">
        <v>113.3108</v>
      </c>
    </row>
    <row r="1067" spans="2:3">
      <c r="B1067" s="30">
        <v>39694</v>
      </c>
      <c r="C1067">
        <v>113.4376</v>
      </c>
    </row>
    <row r="1068" spans="2:3">
      <c r="B1068" s="30">
        <v>39695</v>
      </c>
      <c r="C1068">
        <v>112.71169999999999</v>
      </c>
    </row>
    <row r="1069" spans="2:3">
      <c r="B1069" s="30">
        <v>39696</v>
      </c>
      <c r="C1069">
        <v>112.7302</v>
      </c>
    </row>
    <row r="1070" spans="2:3">
      <c r="B1070" s="30">
        <v>39699</v>
      </c>
      <c r="C1070">
        <v>113.3751</v>
      </c>
    </row>
    <row r="1071" spans="2:3">
      <c r="B1071" s="30">
        <v>39700</v>
      </c>
      <c r="C1071">
        <v>112.60169999999999</v>
      </c>
    </row>
    <row r="1072" spans="2:3">
      <c r="B1072" s="30">
        <v>39701</v>
      </c>
      <c r="C1072">
        <v>112.5732</v>
      </c>
    </row>
    <row r="1073" spans="2:3">
      <c r="B1073" s="30">
        <v>39702</v>
      </c>
      <c r="C1073">
        <v>113.1078</v>
      </c>
    </row>
    <row r="1074" spans="2:3">
      <c r="B1074" s="30">
        <v>39703</v>
      </c>
      <c r="C1074">
        <v>112.83150000000001</v>
      </c>
    </row>
    <row r="1075" spans="2:3">
      <c r="B1075" s="30">
        <v>39706</v>
      </c>
      <c r="C1075">
        <v>111.8142</v>
      </c>
    </row>
    <row r="1076" spans="2:3">
      <c r="B1076" s="30">
        <v>39707</v>
      </c>
      <c r="C1076">
        <v>112.0389</v>
      </c>
    </row>
    <row r="1077" spans="2:3">
      <c r="B1077" s="30">
        <v>39708</v>
      </c>
      <c r="C1077">
        <v>111.1712</v>
      </c>
    </row>
    <row r="1078" spans="2:3">
      <c r="B1078" s="30">
        <v>39709</v>
      </c>
      <c r="C1078">
        <v>112.5068</v>
      </c>
    </row>
    <row r="1079" spans="2:3">
      <c r="B1079" s="30">
        <v>39710</v>
      </c>
      <c r="C1079">
        <v>112.056</v>
      </c>
    </row>
    <row r="1080" spans="2:3">
      <c r="B1080" s="30">
        <v>39713</v>
      </c>
      <c r="C1080">
        <v>111.5145</v>
      </c>
    </row>
    <row r="1081" spans="2:3">
      <c r="B1081" s="30">
        <v>39714</v>
      </c>
      <c r="C1081">
        <v>110.9573</v>
      </c>
    </row>
    <row r="1082" spans="2:3">
      <c r="B1082" s="30">
        <v>39715</v>
      </c>
      <c r="C1082">
        <v>111.0579</v>
      </c>
    </row>
    <row r="1083" spans="2:3">
      <c r="B1083" s="30">
        <v>39716</v>
      </c>
      <c r="C1083">
        <v>110.79730000000001</v>
      </c>
    </row>
    <row r="1084" spans="2:3">
      <c r="B1084" s="30">
        <v>39717</v>
      </c>
      <c r="C1084">
        <v>111.1272</v>
      </c>
    </row>
    <row r="1085" spans="2:3">
      <c r="B1085" s="30">
        <v>39720</v>
      </c>
      <c r="C1085">
        <v>111.21980000000001</v>
      </c>
    </row>
    <row r="1086" spans="2:3">
      <c r="B1086" s="30">
        <v>39721</v>
      </c>
      <c r="C1086">
        <v>110.4153</v>
      </c>
    </row>
    <row r="1087" spans="2:3">
      <c r="B1087" s="30">
        <v>39722</v>
      </c>
      <c r="C1087">
        <v>111.0928</v>
      </c>
    </row>
    <row r="1088" spans="2:3">
      <c r="B1088" s="30">
        <v>39723</v>
      </c>
      <c r="C1088">
        <v>110.9123</v>
      </c>
    </row>
    <row r="1089" spans="2:3">
      <c r="B1089" s="30">
        <v>39724</v>
      </c>
      <c r="C1089">
        <v>110.8013</v>
      </c>
    </row>
    <row r="1090" spans="2:3">
      <c r="B1090" s="30">
        <v>39727</v>
      </c>
      <c r="C1090">
        <v>111.0431</v>
      </c>
    </row>
    <row r="1091" spans="2:3">
      <c r="B1091" s="30">
        <v>39728</v>
      </c>
      <c r="C1091">
        <v>110.0642</v>
      </c>
    </row>
    <row r="1092" spans="2:3">
      <c r="B1092" s="30">
        <v>39729</v>
      </c>
      <c r="C1092">
        <v>109.0129</v>
      </c>
    </row>
    <row r="1093" spans="2:3">
      <c r="B1093" s="30">
        <v>39730</v>
      </c>
      <c r="C1093">
        <v>107.0376</v>
      </c>
    </row>
    <row r="1094" spans="2:3">
      <c r="B1094" s="30">
        <v>39731</v>
      </c>
      <c r="C1094">
        <v>106.7903</v>
      </c>
    </row>
    <row r="1095" spans="2:3">
      <c r="B1095" s="30">
        <v>39735</v>
      </c>
      <c r="C1095">
        <v>107.47799999999999</v>
      </c>
    </row>
    <row r="1096" spans="2:3">
      <c r="B1096" s="30">
        <v>39736</v>
      </c>
      <c r="C1096">
        <v>106.58929999999999</v>
      </c>
    </row>
    <row r="1097" spans="2:3">
      <c r="B1097" s="30">
        <v>39737</v>
      </c>
      <c r="C1097">
        <v>106.967</v>
      </c>
    </row>
    <row r="1098" spans="2:3">
      <c r="B1098" s="30">
        <v>39738</v>
      </c>
      <c r="C1098">
        <v>106.697</v>
      </c>
    </row>
    <row r="1099" spans="2:3">
      <c r="B1099" s="30">
        <v>39741</v>
      </c>
      <c r="C1099">
        <v>107.2186</v>
      </c>
    </row>
    <row r="1100" spans="2:3">
      <c r="B1100" s="30">
        <v>39742</v>
      </c>
      <c r="C1100">
        <v>108.01690000000001</v>
      </c>
    </row>
    <row r="1101" spans="2:3">
      <c r="B1101" s="30">
        <v>39743</v>
      </c>
      <c r="C1101">
        <v>107.6956</v>
      </c>
    </row>
    <row r="1102" spans="2:3">
      <c r="B1102" s="30">
        <v>39744</v>
      </c>
      <c r="C1102">
        <v>109.7818</v>
      </c>
    </row>
    <row r="1103" spans="2:3">
      <c r="B1103" s="30">
        <v>39745</v>
      </c>
      <c r="C1103">
        <v>106.9739</v>
      </c>
    </row>
    <row r="1104" spans="2:3">
      <c r="B1104" s="30">
        <v>39748</v>
      </c>
      <c r="C1104">
        <v>106.9021</v>
      </c>
    </row>
    <row r="1105" spans="2:3">
      <c r="B1105" s="30">
        <v>39749</v>
      </c>
      <c r="C1105">
        <v>107.0992</v>
      </c>
    </row>
    <row r="1106" spans="2:3">
      <c r="B1106" s="30">
        <v>39750</v>
      </c>
      <c r="C1106">
        <v>107.0771</v>
      </c>
    </row>
    <row r="1107" spans="2:3">
      <c r="B1107" s="30">
        <v>39751</v>
      </c>
      <c r="C1107">
        <v>107.19410000000001</v>
      </c>
    </row>
    <row r="1108" spans="2:3">
      <c r="B1108" s="30">
        <v>39752</v>
      </c>
      <c r="C1108">
        <v>106.8378</v>
      </c>
    </row>
    <row r="1109" spans="2:3">
      <c r="B1109" s="30">
        <v>39755</v>
      </c>
      <c r="C1109">
        <v>108.02889999999999</v>
      </c>
    </row>
    <row r="1110" spans="2:3">
      <c r="B1110" s="30">
        <v>39756</v>
      </c>
      <c r="C1110">
        <v>109.036</v>
      </c>
    </row>
    <row r="1111" spans="2:3">
      <c r="B1111" s="30">
        <v>39757</v>
      </c>
      <c r="C1111">
        <v>109.1588</v>
      </c>
    </row>
    <row r="1112" spans="2:3">
      <c r="B1112" s="30">
        <v>39758</v>
      </c>
      <c r="C1112">
        <v>108.926</v>
      </c>
    </row>
    <row r="1113" spans="2:3">
      <c r="B1113" s="30">
        <v>39759</v>
      </c>
      <c r="C1113">
        <v>108.94450000000001</v>
      </c>
    </row>
    <row r="1114" spans="2:3">
      <c r="B1114" s="30">
        <v>39762</v>
      </c>
      <c r="C1114">
        <v>109.4049</v>
      </c>
    </row>
    <row r="1115" spans="2:3">
      <c r="B1115" s="30">
        <v>39764</v>
      </c>
      <c r="C1115">
        <v>109.5341</v>
      </c>
    </row>
    <row r="1116" spans="2:3">
      <c r="B1116" s="30">
        <v>39765</v>
      </c>
      <c r="C1116">
        <v>109.42059999999999</v>
      </c>
    </row>
    <row r="1117" spans="2:3">
      <c r="B1117" s="30">
        <v>39766</v>
      </c>
      <c r="C1117">
        <v>109.4657</v>
      </c>
    </row>
    <row r="1118" spans="2:3">
      <c r="B1118" s="30">
        <v>39769</v>
      </c>
      <c r="C1118">
        <v>109.9097</v>
      </c>
    </row>
    <row r="1119" spans="2:3">
      <c r="B1119" s="30">
        <v>39770</v>
      </c>
      <c r="C1119">
        <v>110.4616</v>
      </c>
    </row>
    <row r="1120" spans="2:3">
      <c r="B1120" s="30">
        <v>39771</v>
      </c>
      <c r="C1120">
        <v>109.432</v>
      </c>
    </row>
    <row r="1121" spans="2:3">
      <c r="B1121" s="30">
        <v>39772</v>
      </c>
      <c r="C1121">
        <v>109.07559999999999</v>
      </c>
    </row>
    <row r="1122" spans="2:3">
      <c r="B1122" s="30">
        <v>39773</v>
      </c>
      <c r="C1122">
        <v>109.077</v>
      </c>
    </row>
    <row r="1123" spans="2:3">
      <c r="B1123" s="30">
        <v>39776</v>
      </c>
      <c r="C1123">
        <v>109.3</v>
      </c>
    </row>
    <row r="1124" spans="2:3">
      <c r="B1124" s="30">
        <v>39777</v>
      </c>
      <c r="C1124">
        <v>110.7214</v>
      </c>
    </row>
    <row r="1125" spans="2:3">
      <c r="B1125" s="30">
        <v>39778</v>
      </c>
      <c r="C1125">
        <v>111.54689999999999</v>
      </c>
    </row>
    <row r="1126" spans="2:3">
      <c r="B1126" s="30">
        <v>39780</v>
      </c>
      <c r="C1126">
        <v>111.79640000000001</v>
      </c>
    </row>
    <row r="1127" spans="2:3">
      <c r="B1127" s="30">
        <v>39783</v>
      </c>
      <c r="C1127">
        <v>111.6645</v>
      </c>
    </row>
    <row r="1128" spans="2:3">
      <c r="B1128" s="30">
        <v>39784</v>
      </c>
      <c r="C1128">
        <v>111.7627</v>
      </c>
    </row>
    <row r="1129" spans="2:3">
      <c r="B1129" s="30">
        <v>39785</v>
      </c>
      <c r="C1129">
        <v>111.85080000000001</v>
      </c>
    </row>
    <row r="1130" spans="2:3">
      <c r="B1130" s="30">
        <v>39786</v>
      </c>
      <c r="C1130">
        <v>111.7972</v>
      </c>
    </row>
    <row r="1131" spans="2:3">
      <c r="B1131" s="30">
        <v>39787</v>
      </c>
      <c r="C1131">
        <v>111.60209999999999</v>
      </c>
    </row>
    <row r="1132" spans="2:3">
      <c r="B1132" s="30">
        <v>39790</v>
      </c>
      <c r="C1132">
        <v>111.9306</v>
      </c>
    </row>
    <row r="1133" spans="2:3">
      <c r="B1133" s="30">
        <v>39791</v>
      </c>
      <c r="C1133">
        <v>111.96299999999999</v>
      </c>
    </row>
    <row r="1134" spans="2:3">
      <c r="B1134" s="30">
        <v>39792</v>
      </c>
      <c r="C1134">
        <v>111.9982</v>
      </c>
    </row>
    <row r="1135" spans="2:3">
      <c r="B1135" s="30">
        <v>39793</v>
      </c>
      <c r="C1135">
        <v>112.30540000000001</v>
      </c>
    </row>
    <row r="1136" spans="2:3">
      <c r="B1136" s="30">
        <v>39794</v>
      </c>
      <c r="C1136">
        <v>112.36190000000001</v>
      </c>
    </row>
    <row r="1137" spans="2:3">
      <c r="B1137" s="30">
        <v>39797</v>
      </c>
      <c r="C1137">
        <v>112.6268</v>
      </c>
    </row>
    <row r="1138" spans="2:3">
      <c r="B1138" s="30">
        <v>39798</v>
      </c>
      <c r="C1138">
        <v>114.0573</v>
      </c>
    </row>
    <row r="1139" spans="2:3">
      <c r="B1139" s="30">
        <v>39799</v>
      </c>
      <c r="C1139">
        <v>114.9812</v>
      </c>
    </row>
    <row r="1140" spans="2:3">
      <c r="B1140" s="30">
        <v>39800</v>
      </c>
      <c r="C1140">
        <v>115.3927</v>
      </c>
    </row>
    <row r="1141" spans="2:3">
      <c r="B1141" s="30">
        <v>39801</v>
      </c>
      <c r="C1141">
        <v>115.4603</v>
      </c>
    </row>
    <row r="1142" spans="2:3">
      <c r="B1142" s="30">
        <v>39804</v>
      </c>
      <c r="C1142">
        <v>115.06910000000001</v>
      </c>
    </row>
    <row r="1143" spans="2:3">
      <c r="B1143" s="30">
        <v>39805</v>
      </c>
      <c r="C1143">
        <v>115.5167</v>
      </c>
    </row>
    <row r="1144" spans="2:3">
      <c r="B1144" s="30">
        <v>39806</v>
      </c>
      <c r="C1144">
        <v>115.38500000000001</v>
      </c>
    </row>
    <row r="1145" spans="2:3">
      <c r="B1145" s="30">
        <v>39808</v>
      </c>
      <c r="C1145">
        <v>115.87090000000001</v>
      </c>
    </row>
    <row r="1146" spans="2:3">
      <c r="B1146" s="30">
        <v>39811</v>
      </c>
      <c r="C1146">
        <v>116.0942</v>
      </c>
    </row>
    <row r="1147" spans="2:3">
      <c r="B1147" s="30">
        <v>39812</v>
      </c>
      <c r="C1147">
        <v>116.35169999999999</v>
      </c>
    </row>
    <row r="1148" spans="2:3">
      <c r="B1148" s="30">
        <v>39813</v>
      </c>
      <c r="C1148">
        <v>115.6414</v>
      </c>
    </row>
    <row r="1149" spans="2:3">
      <c r="B1149" s="30">
        <v>39815</v>
      </c>
      <c r="C1149">
        <v>114.9829</v>
      </c>
    </row>
    <row r="1150" spans="2:3">
      <c r="B1150" s="30">
        <v>39818</v>
      </c>
      <c r="C1150">
        <v>114.5761</v>
      </c>
    </row>
    <row r="1151" spans="2:3">
      <c r="B1151" s="30">
        <v>39819</v>
      </c>
      <c r="C1151">
        <v>115.0805</v>
      </c>
    </row>
    <row r="1152" spans="2:3">
      <c r="B1152" s="30">
        <v>39820</v>
      </c>
      <c r="C1152">
        <v>114.8334</v>
      </c>
    </row>
    <row r="1153" spans="2:3">
      <c r="B1153" s="30">
        <v>39821</v>
      </c>
      <c r="C1153">
        <v>114.98869999999999</v>
      </c>
    </row>
    <row r="1154" spans="2:3">
      <c r="B1154" s="30">
        <v>39822</v>
      </c>
      <c r="C1154">
        <v>115.11750000000001</v>
      </c>
    </row>
    <row r="1155" spans="2:3">
      <c r="B1155" s="30">
        <v>39825</v>
      </c>
      <c r="C1155">
        <v>115.011</v>
      </c>
    </row>
    <row r="1156" spans="2:3">
      <c r="B1156" s="30">
        <v>39826</v>
      </c>
      <c r="C1156">
        <v>114.89570000000001</v>
      </c>
    </row>
    <row r="1157" spans="2:3">
      <c r="B1157" s="30">
        <v>39827</v>
      </c>
      <c r="C1157">
        <v>115.2255</v>
      </c>
    </row>
    <row r="1158" spans="2:3">
      <c r="B1158" s="30">
        <v>39828</v>
      </c>
      <c r="C1158">
        <v>115.3309</v>
      </c>
    </row>
    <row r="1159" spans="2:3">
      <c r="B1159" s="30">
        <v>39829</v>
      </c>
      <c r="C1159">
        <v>115.3202</v>
      </c>
    </row>
    <row r="1160" spans="2:3">
      <c r="B1160" s="30">
        <v>39833</v>
      </c>
      <c r="C1160">
        <v>114.83629999999999</v>
      </c>
    </row>
    <row r="1161" spans="2:3">
      <c r="B1161" s="30">
        <v>39834</v>
      </c>
      <c r="C1161">
        <v>114.4267</v>
      </c>
    </row>
    <row r="1162" spans="2:3">
      <c r="B1162" s="30">
        <v>39835</v>
      </c>
      <c r="C1162">
        <v>114.24850000000001</v>
      </c>
    </row>
    <row r="1163" spans="2:3">
      <c r="B1163" s="30">
        <v>39836</v>
      </c>
      <c r="C1163">
        <v>114.3382</v>
      </c>
    </row>
    <row r="1164" spans="2:3">
      <c r="B1164" s="30">
        <v>39839</v>
      </c>
      <c r="C1164">
        <v>114.2484</v>
      </c>
    </row>
    <row r="1165" spans="2:3">
      <c r="B1165" s="30">
        <v>39840</v>
      </c>
      <c r="C1165">
        <v>115.0112</v>
      </c>
    </row>
    <row r="1166" spans="2:3">
      <c r="B1166" s="30">
        <v>39841</v>
      </c>
      <c r="C1166">
        <v>114.8745</v>
      </c>
    </row>
    <row r="1167" spans="2:3">
      <c r="B1167" s="30">
        <v>39842</v>
      </c>
      <c r="C1167">
        <v>114.247</v>
      </c>
    </row>
    <row r="1168" spans="2:3">
      <c r="B1168" s="30">
        <v>39843</v>
      </c>
      <c r="C1168">
        <v>114.0878</v>
      </c>
    </row>
    <row r="1169" spans="2:3">
      <c r="B1169" s="30">
        <v>39846</v>
      </c>
      <c r="C1169">
        <v>114.4</v>
      </c>
    </row>
    <row r="1170" spans="2:3">
      <c r="B1170" s="30">
        <v>39847</v>
      </c>
      <c r="C1170">
        <v>114.2302</v>
      </c>
    </row>
    <row r="1171" spans="2:3">
      <c r="B1171" s="30">
        <v>39848</v>
      </c>
      <c r="C1171">
        <v>113.9426</v>
      </c>
    </row>
    <row r="1172" spans="2:3">
      <c r="B1172" s="30">
        <v>39849</v>
      </c>
      <c r="C1172">
        <v>114.0421</v>
      </c>
    </row>
    <row r="1173" spans="2:3">
      <c r="B1173" s="30">
        <v>39850</v>
      </c>
      <c r="C1173">
        <v>114.3181</v>
      </c>
    </row>
    <row r="1174" spans="2:3">
      <c r="B1174" s="30">
        <v>39853</v>
      </c>
      <c r="C1174">
        <v>114.3823</v>
      </c>
    </row>
    <row r="1175" spans="2:3">
      <c r="B1175" s="30">
        <v>39854</v>
      </c>
      <c r="C1175">
        <v>114.39579999999999</v>
      </c>
    </row>
    <row r="1176" spans="2:3">
      <c r="B1176" s="30">
        <v>39855</v>
      </c>
      <c r="C1176">
        <v>114.67270000000001</v>
      </c>
    </row>
    <row r="1177" spans="2:3">
      <c r="B1177" s="30">
        <v>39856</v>
      </c>
      <c r="C1177">
        <v>114.8109</v>
      </c>
    </row>
    <row r="1178" spans="2:3">
      <c r="B1178" s="30">
        <v>39857</v>
      </c>
      <c r="C1178">
        <v>113.9666</v>
      </c>
    </row>
    <row r="1179" spans="2:3">
      <c r="B1179" s="30">
        <v>39861</v>
      </c>
      <c r="C1179">
        <v>113.9028</v>
      </c>
    </row>
    <row r="1180" spans="2:3">
      <c r="B1180" s="30">
        <v>39862</v>
      </c>
      <c r="C1180">
        <v>113.6061</v>
      </c>
    </row>
    <row r="1181" spans="2:3">
      <c r="B1181" s="30">
        <v>39863</v>
      </c>
      <c r="C1181">
        <v>113.22490000000001</v>
      </c>
    </row>
    <row r="1182" spans="2:3">
      <c r="B1182" s="30">
        <v>39864</v>
      </c>
      <c r="C1182">
        <v>113.3694</v>
      </c>
    </row>
    <row r="1183" spans="2:3">
      <c r="B1183" s="30">
        <v>39867</v>
      </c>
      <c r="C1183">
        <v>112.9285</v>
      </c>
    </row>
    <row r="1184" spans="2:3">
      <c r="B1184" s="30">
        <v>39868</v>
      </c>
      <c r="C1184">
        <v>113.2088</v>
      </c>
    </row>
    <row r="1185" spans="2:3">
      <c r="B1185" s="30">
        <v>39869</v>
      </c>
      <c r="C1185">
        <v>112.697</v>
      </c>
    </row>
    <row r="1186" spans="2:3">
      <c r="B1186" s="30">
        <v>39870</v>
      </c>
      <c r="C1186">
        <v>112.5164</v>
      </c>
    </row>
    <row r="1187" spans="2:3">
      <c r="B1187" s="30">
        <v>39871</v>
      </c>
      <c r="C1187">
        <v>112.12520000000001</v>
      </c>
    </row>
    <row r="1188" spans="2:3">
      <c r="B1188" s="30">
        <v>39874</v>
      </c>
      <c r="C1188">
        <v>112.0491</v>
      </c>
    </row>
    <row r="1189" spans="2:3">
      <c r="B1189" s="30">
        <v>39875</v>
      </c>
      <c r="C1189">
        <v>111.6284</v>
      </c>
    </row>
    <row r="1190" spans="2:3">
      <c r="B1190" s="30">
        <v>39876</v>
      </c>
      <c r="C1190">
        <v>111.6527</v>
      </c>
    </row>
    <row r="1191" spans="2:3">
      <c r="B1191" s="30">
        <v>39877</v>
      </c>
      <c r="C1191">
        <v>111.9139</v>
      </c>
    </row>
    <row r="1192" spans="2:3">
      <c r="B1192" s="30">
        <v>39878</v>
      </c>
      <c r="C1192">
        <v>111.8165</v>
      </c>
    </row>
    <row r="1193" spans="2:3">
      <c r="B1193" s="30">
        <v>39881</v>
      </c>
      <c r="C1193">
        <v>111.15430000000001</v>
      </c>
    </row>
    <row r="1194" spans="2:3">
      <c r="B1194" s="30">
        <v>39882</v>
      </c>
      <c r="C1194">
        <v>111.8236</v>
      </c>
    </row>
    <row r="1195" spans="2:3">
      <c r="B1195" s="30">
        <v>39883</v>
      </c>
      <c r="C1195">
        <v>111.98439999999999</v>
      </c>
    </row>
    <row r="1196" spans="2:3">
      <c r="B1196" s="30">
        <v>39884</v>
      </c>
      <c r="C1196">
        <v>112.5407</v>
      </c>
    </row>
    <row r="1197" spans="2:3">
      <c r="B1197" s="30">
        <v>39885</v>
      </c>
      <c r="C1197">
        <v>112.6918</v>
      </c>
    </row>
    <row r="1198" spans="2:3">
      <c r="B1198" s="30">
        <v>39888</v>
      </c>
      <c r="C1198">
        <v>112.4705</v>
      </c>
    </row>
    <row r="1199" spans="2:3">
      <c r="B1199" s="30">
        <v>39889</v>
      </c>
      <c r="C1199">
        <v>112.25239999999999</v>
      </c>
    </row>
    <row r="1200" spans="2:3">
      <c r="B1200" s="30">
        <v>39890</v>
      </c>
      <c r="C1200">
        <v>114.28919999999999</v>
      </c>
    </row>
    <row r="1201" spans="2:3">
      <c r="B1201" s="30">
        <v>39891</v>
      </c>
      <c r="C1201">
        <v>113.9061</v>
      </c>
    </row>
    <row r="1202" spans="2:3">
      <c r="B1202" s="30">
        <v>39892</v>
      </c>
      <c r="C1202">
        <v>113.6237</v>
      </c>
    </row>
    <row r="1203" spans="2:3">
      <c r="B1203" s="30">
        <v>39895</v>
      </c>
      <c r="C1203">
        <v>113.8411</v>
      </c>
    </row>
    <row r="1204" spans="2:3">
      <c r="B1204" s="30">
        <v>39896</v>
      </c>
      <c r="C1204">
        <v>113.8849</v>
      </c>
    </row>
    <row r="1205" spans="2:3">
      <c r="B1205" s="30">
        <v>39897</v>
      </c>
      <c r="C1205">
        <v>113.599</v>
      </c>
    </row>
    <row r="1206" spans="2:3">
      <c r="B1206" s="30">
        <v>39898</v>
      </c>
      <c r="C1206">
        <v>113.9567</v>
      </c>
    </row>
    <row r="1207" spans="2:3">
      <c r="B1207" s="30">
        <v>39899</v>
      </c>
      <c r="C1207">
        <v>113.72110000000001</v>
      </c>
    </row>
    <row r="1208" spans="2:3">
      <c r="B1208" s="30">
        <v>39902</v>
      </c>
      <c r="C1208">
        <v>113.648</v>
      </c>
    </row>
    <row r="1209" spans="2:3">
      <c r="B1209" s="30">
        <v>39903</v>
      </c>
      <c r="C1209">
        <v>113.7876</v>
      </c>
    </row>
    <row r="1210" spans="2:3">
      <c r="B1210" s="30">
        <v>39904</v>
      </c>
      <c r="C1210">
        <v>113.7063</v>
      </c>
    </row>
    <row r="1211" spans="2:3">
      <c r="B1211" s="30">
        <v>39905</v>
      </c>
      <c r="C1211">
        <v>113.459</v>
      </c>
    </row>
    <row r="1212" spans="2:3">
      <c r="B1212" s="30">
        <v>39906</v>
      </c>
      <c r="C1212">
        <v>113.2676</v>
      </c>
    </row>
    <row r="1213" spans="2:3">
      <c r="B1213" s="30">
        <v>39909</v>
      </c>
      <c r="C1213">
        <v>113.0924</v>
      </c>
    </row>
    <row r="1214" spans="2:3">
      <c r="B1214" s="30">
        <v>39910</v>
      </c>
      <c r="C1214">
        <v>113.227</v>
      </c>
    </row>
    <row r="1215" spans="2:3">
      <c r="B1215" s="30">
        <v>39911</v>
      </c>
      <c r="C1215">
        <v>113.4284</v>
      </c>
    </row>
    <row r="1216" spans="2:3">
      <c r="B1216" s="30">
        <v>39912</v>
      </c>
      <c r="C1216">
        <v>113.4027</v>
      </c>
    </row>
    <row r="1217" spans="2:3">
      <c r="B1217" s="30">
        <v>39916</v>
      </c>
      <c r="C1217">
        <v>114.1649</v>
      </c>
    </row>
    <row r="1218" spans="2:3">
      <c r="B1218" s="30">
        <v>39917</v>
      </c>
      <c r="C1218">
        <v>114.12220000000001</v>
      </c>
    </row>
    <row r="1219" spans="2:3">
      <c r="B1219" s="30">
        <v>39918</v>
      </c>
      <c r="C1219">
        <v>114.2448</v>
      </c>
    </row>
    <row r="1220" spans="2:3">
      <c r="B1220" s="30">
        <v>39919</v>
      </c>
      <c r="C1220">
        <v>114.07729999999999</v>
      </c>
    </row>
    <row r="1221" spans="2:3">
      <c r="B1221" s="30">
        <v>39920</v>
      </c>
      <c r="C1221">
        <v>113.5227</v>
      </c>
    </row>
    <row r="1222" spans="2:3">
      <c r="B1222" s="30">
        <v>39923</v>
      </c>
      <c r="C1222">
        <v>113.5184</v>
      </c>
    </row>
    <row r="1223" spans="2:3">
      <c r="B1223" s="30">
        <v>39924</v>
      </c>
      <c r="C1223">
        <v>113.252</v>
      </c>
    </row>
    <row r="1224" spans="2:3">
      <c r="B1224" s="30">
        <v>39925</v>
      </c>
      <c r="C1224">
        <v>113.1066</v>
      </c>
    </row>
    <row r="1225" spans="2:3">
      <c r="B1225" s="30">
        <v>39926</v>
      </c>
      <c r="C1225">
        <v>113.4413</v>
      </c>
    </row>
    <row r="1226" spans="2:3">
      <c r="B1226" s="30">
        <v>39927</v>
      </c>
      <c r="C1226">
        <v>113.4624</v>
      </c>
    </row>
    <row r="1227" spans="2:3">
      <c r="B1227" s="30">
        <v>39930</v>
      </c>
      <c r="C1227">
        <v>113.7375</v>
      </c>
    </row>
    <row r="1228" spans="2:3">
      <c r="B1228" s="30">
        <v>39931</v>
      </c>
      <c r="C1228">
        <v>113.3653</v>
      </c>
    </row>
    <row r="1229" spans="2:3">
      <c r="B1229" s="30">
        <v>39932</v>
      </c>
      <c r="C1229">
        <v>113.55159999999999</v>
      </c>
    </row>
    <row r="1230" spans="2:3">
      <c r="B1230" s="30">
        <v>39933</v>
      </c>
      <c r="C1230">
        <v>113.72629999999999</v>
      </c>
    </row>
    <row r="1231" spans="2:3">
      <c r="B1231" s="30">
        <v>39934</v>
      </c>
      <c r="C1231">
        <v>113.6007</v>
      </c>
    </row>
    <row r="1232" spans="2:3">
      <c r="B1232" s="30">
        <v>39937</v>
      </c>
      <c r="C1232">
        <v>113.831</v>
      </c>
    </row>
    <row r="1233" spans="2:3">
      <c r="B1233" s="30">
        <v>39938</v>
      </c>
      <c r="C1233">
        <v>113.89149999999999</v>
      </c>
    </row>
    <row r="1234" spans="2:3">
      <c r="B1234" s="30">
        <v>39939</v>
      </c>
      <c r="C1234">
        <v>114.3601</v>
      </c>
    </row>
    <row r="1235" spans="2:3">
      <c r="B1235" s="30">
        <v>39940</v>
      </c>
      <c r="C1235">
        <v>113.84829999999999</v>
      </c>
    </row>
    <row r="1236" spans="2:3">
      <c r="B1236" s="30">
        <v>39941</v>
      </c>
      <c r="C1236">
        <v>113.9665</v>
      </c>
    </row>
    <row r="1237" spans="2:3">
      <c r="B1237" s="30">
        <v>39944</v>
      </c>
      <c r="C1237">
        <v>114.2366</v>
      </c>
    </row>
    <row r="1238" spans="2:3">
      <c r="B1238" s="30">
        <v>39945</v>
      </c>
      <c r="C1238">
        <v>114.3348</v>
      </c>
    </row>
    <row r="1239" spans="2:3">
      <c r="B1239" s="30">
        <v>39946</v>
      </c>
      <c r="C1239">
        <v>114.4374</v>
      </c>
    </row>
    <row r="1240" spans="2:3">
      <c r="B1240" s="30">
        <v>39947</v>
      </c>
      <c r="C1240">
        <v>114.3622</v>
      </c>
    </row>
    <row r="1241" spans="2:3">
      <c r="B1241" s="30">
        <v>39948</v>
      </c>
      <c r="C1241">
        <v>114.22799999999999</v>
      </c>
    </row>
    <row r="1242" spans="2:3">
      <c r="B1242" s="30">
        <v>39951</v>
      </c>
      <c r="C1242">
        <v>114.3518</v>
      </c>
    </row>
    <row r="1243" spans="2:3">
      <c r="B1243" s="30">
        <v>39952</v>
      </c>
      <c r="C1243">
        <v>114.47069999999999</v>
      </c>
    </row>
    <row r="1244" spans="2:3">
      <c r="B1244" s="30">
        <v>39953</v>
      </c>
      <c r="C1244">
        <v>114.58540000000001</v>
      </c>
    </row>
    <row r="1245" spans="2:3">
      <c r="B1245" s="30">
        <v>39954</v>
      </c>
      <c r="C1245">
        <v>113.93819999999999</v>
      </c>
    </row>
    <row r="1246" spans="2:3">
      <c r="B1246" s="30">
        <v>39955</v>
      </c>
      <c r="C1246">
        <v>113.642</v>
      </c>
    </row>
    <row r="1247" spans="2:3">
      <c r="B1247" s="30">
        <v>39959</v>
      </c>
      <c r="C1247">
        <v>113.9002</v>
      </c>
    </row>
    <row r="1248" spans="2:3">
      <c r="B1248" s="30">
        <v>39960</v>
      </c>
      <c r="C1248">
        <v>113.217</v>
      </c>
    </row>
    <row r="1249" spans="2:3">
      <c r="B1249" s="30">
        <v>39961</v>
      </c>
      <c r="C1249">
        <v>113.5059</v>
      </c>
    </row>
    <row r="1250" spans="2:3">
      <c r="B1250" s="30">
        <v>39962</v>
      </c>
      <c r="C1250">
        <v>114.42659999999999</v>
      </c>
    </row>
    <row r="1251" spans="2:3">
      <c r="B1251" s="30">
        <v>39965</v>
      </c>
      <c r="C1251">
        <v>114.32850000000001</v>
      </c>
    </row>
    <row r="1252" spans="2:3">
      <c r="B1252" s="30">
        <v>39966</v>
      </c>
      <c r="C1252">
        <v>114.714</v>
      </c>
    </row>
    <row r="1253" spans="2:3">
      <c r="B1253" s="30">
        <v>39967</v>
      </c>
      <c r="C1253">
        <v>114.7587</v>
      </c>
    </row>
    <row r="1254" spans="2:3">
      <c r="B1254" s="30">
        <v>39968</v>
      </c>
      <c r="C1254">
        <v>114.4273</v>
      </c>
    </row>
    <row r="1255" spans="2:3">
      <c r="B1255" s="30">
        <v>39969</v>
      </c>
      <c r="C1255">
        <v>113.55759999999999</v>
      </c>
    </row>
    <row r="1256" spans="2:3">
      <c r="B1256" s="30">
        <v>39972</v>
      </c>
      <c r="C1256">
        <v>113.19370000000001</v>
      </c>
    </row>
    <row r="1257" spans="2:3">
      <c r="B1257" s="30">
        <v>39973</v>
      </c>
      <c r="C1257">
        <v>113.5569</v>
      </c>
    </row>
    <row r="1258" spans="2:3">
      <c r="B1258" s="30">
        <v>39974</v>
      </c>
      <c r="C1258">
        <v>113.2384</v>
      </c>
    </row>
    <row r="1259" spans="2:3">
      <c r="B1259" s="30">
        <v>39975</v>
      </c>
      <c r="C1259">
        <v>113.464</v>
      </c>
    </row>
    <row r="1260" spans="2:3">
      <c r="B1260" s="30">
        <v>39976</v>
      </c>
      <c r="C1260">
        <v>113.8227</v>
      </c>
    </row>
    <row r="1261" spans="2:3">
      <c r="B1261" s="30">
        <v>39979</v>
      </c>
      <c r="C1261">
        <v>113.7487</v>
      </c>
    </row>
    <row r="1262" spans="2:3">
      <c r="B1262" s="30">
        <v>39980</v>
      </c>
      <c r="C1262">
        <v>113.5241</v>
      </c>
    </row>
    <row r="1263" spans="2:3">
      <c r="B1263" s="30">
        <v>39981</v>
      </c>
      <c r="C1263">
        <v>113.6151</v>
      </c>
    </row>
    <row r="1264" spans="2:3">
      <c r="B1264" s="30">
        <v>39982</v>
      </c>
      <c r="C1264">
        <v>112.95650000000001</v>
      </c>
    </row>
    <row r="1265" spans="2:3">
      <c r="B1265" s="30">
        <v>39983</v>
      </c>
      <c r="C1265">
        <v>113.19799999999999</v>
      </c>
    </row>
    <row r="1266" spans="2:3">
      <c r="B1266" s="30">
        <v>39986</v>
      </c>
      <c r="C1266">
        <v>113.34</v>
      </c>
    </row>
    <row r="1267" spans="2:3">
      <c r="B1267" s="30">
        <v>39987</v>
      </c>
      <c r="C1267">
        <v>113.5474</v>
      </c>
    </row>
    <row r="1268" spans="2:3">
      <c r="B1268" s="30">
        <v>39988</v>
      </c>
      <c r="C1268">
        <v>113.6088</v>
      </c>
    </row>
    <row r="1269" spans="2:3">
      <c r="B1269" s="30">
        <v>39989</v>
      </c>
      <c r="C1269">
        <v>114.2473</v>
      </c>
    </row>
    <row r="1270" spans="2:3">
      <c r="B1270" s="30">
        <v>39990</v>
      </c>
      <c r="C1270">
        <v>114.35380000000001</v>
      </c>
    </row>
    <row r="1271" spans="2:3">
      <c r="B1271" s="30">
        <v>39993</v>
      </c>
      <c r="C1271">
        <v>114.5804</v>
      </c>
    </row>
    <row r="1272" spans="2:3">
      <c r="B1272" s="30">
        <v>39994</v>
      </c>
      <c r="C1272">
        <v>114.61709999999999</v>
      </c>
    </row>
    <row r="1273" spans="2:3">
      <c r="B1273" s="30">
        <v>39995</v>
      </c>
      <c r="C1273">
        <v>114.7265</v>
      </c>
    </row>
    <row r="1274" spans="2:3">
      <c r="B1274" s="30">
        <v>39996</v>
      </c>
      <c r="C1274">
        <v>114.77509999999999</v>
      </c>
    </row>
    <row r="1275" spans="2:3">
      <c r="B1275" s="30">
        <v>40000</v>
      </c>
      <c r="C1275">
        <v>114.7704</v>
      </c>
    </row>
    <row r="1276" spans="2:3">
      <c r="B1276" s="30">
        <v>40001</v>
      </c>
      <c r="C1276">
        <v>114.6991</v>
      </c>
    </row>
    <row r="1277" spans="2:3">
      <c r="B1277" s="30">
        <v>40002</v>
      </c>
      <c r="C1277">
        <v>115.1867</v>
      </c>
    </row>
    <row r="1278" spans="2:3">
      <c r="B1278" s="30">
        <v>40003</v>
      </c>
      <c r="C1278">
        <v>114.9049</v>
      </c>
    </row>
    <row r="1279" spans="2:3">
      <c r="B1279" s="30">
        <v>40004</v>
      </c>
      <c r="C1279">
        <v>115.1789</v>
      </c>
    </row>
    <row r="1280" spans="2:3">
      <c r="B1280" s="30">
        <v>40007</v>
      </c>
      <c r="C1280">
        <v>115.3203</v>
      </c>
    </row>
    <row r="1281" spans="2:3">
      <c r="B1281" s="30">
        <v>40008</v>
      </c>
      <c r="C1281">
        <v>115.217</v>
      </c>
    </row>
    <row r="1282" spans="2:3">
      <c r="B1282" s="30">
        <v>40009</v>
      </c>
      <c r="C1282">
        <v>115.36960000000001</v>
      </c>
    </row>
    <row r="1283" spans="2:3">
      <c r="B1283" s="30">
        <v>40010</v>
      </c>
      <c r="C1283">
        <v>115.69750000000001</v>
      </c>
    </row>
    <row r="1284" spans="2:3">
      <c r="B1284" s="30">
        <v>40011</v>
      </c>
      <c r="C1284">
        <v>115.4477</v>
      </c>
    </row>
    <row r="1285" spans="2:3">
      <c r="B1285" s="30">
        <v>40014</v>
      </c>
      <c r="C1285">
        <v>116.0992</v>
      </c>
    </row>
    <row r="1286" spans="2:3">
      <c r="B1286" s="30">
        <v>40015</v>
      </c>
      <c r="C1286">
        <v>116.62909999999999</v>
      </c>
    </row>
    <row r="1287" spans="2:3">
      <c r="B1287" s="30">
        <v>40016</v>
      </c>
      <c r="C1287">
        <v>116.22450000000001</v>
      </c>
    </row>
    <row r="1288" spans="2:3">
      <c r="B1288" s="30">
        <v>40017</v>
      </c>
      <c r="C1288">
        <v>116.084</v>
      </c>
    </row>
    <row r="1289" spans="2:3">
      <c r="B1289" s="30">
        <v>40018</v>
      </c>
      <c r="C1289">
        <v>116.44110000000001</v>
      </c>
    </row>
    <row r="1290" spans="2:3">
      <c r="B1290" s="30">
        <v>40021</v>
      </c>
      <c r="C1290">
        <v>116.5181</v>
      </c>
    </row>
    <row r="1291" spans="2:3">
      <c r="B1291" s="30">
        <v>40022</v>
      </c>
      <c r="C1291">
        <v>116.3459</v>
      </c>
    </row>
    <row r="1292" spans="2:3">
      <c r="B1292" s="30">
        <v>40023</v>
      </c>
      <c r="C1292">
        <v>116.29179999999999</v>
      </c>
    </row>
    <row r="1293" spans="2:3">
      <c r="B1293" s="30">
        <v>40024</v>
      </c>
      <c r="C1293">
        <v>116.6035</v>
      </c>
    </row>
    <row r="1294" spans="2:3">
      <c r="B1294" s="30">
        <v>40025</v>
      </c>
      <c r="C1294">
        <v>117.2527</v>
      </c>
    </row>
    <row r="1295" spans="2:3">
      <c r="B1295" s="30">
        <v>40028</v>
      </c>
      <c r="C1295">
        <v>117.155</v>
      </c>
    </row>
    <row r="1296" spans="2:3">
      <c r="B1296" s="30">
        <v>40029</v>
      </c>
      <c r="C1296">
        <v>117.08450000000001</v>
      </c>
    </row>
    <row r="1297" spans="2:3">
      <c r="B1297" s="30">
        <v>40030</v>
      </c>
      <c r="C1297">
        <v>116.7864</v>
      </c>
    </row>
    <row r="1298" spans="2:3">
      <c r="B1298" s="30">
        <v>40031</v>
      </c>
      <c r="C1298">
        <v>116.7786</v>
      </c>
    </row>
    <row r="1299" spans="2:3">
      <c r="B1299" s="30">
        <v>40032</v>
      </c>
      <c r="C1299">
        <v>116.8047</v>
      </c>
    </row>
    <row r="1300" spans="2:3">
      <c r="B1300" s="30">
        <v>40035</v>
      </c>
      <c r="C1300">
        <v>117.1657</v>
      </c>
    </row>
    <row r="1301" spans="2:3">
      <c r="B1301" s="30">
        <v>40036</v>
      </c>
      <c r="C1301">
        <v>116.8678</v>
      </c>
    </row>
    <row r="1302" spans="2:3">
      <c r="B1302" s="30">
        <v>40037</v>
      </c>
      <c r="C1302">
        <v>117.1211</v>
      </c>
    </row>
    <row r="1303" spans="2:3">
      <c r="B1303" s="30">
        <v>40038</v>
      </c>
      <c r="C1303">
        <v>117.75660000000001</v>
      </c>
    </row>
    <row r="1304" spans="2:3">
      <c r="B1304" s="30">
        <v>40039</v>
      </c>
      <c r="C1304">
        <v>117.6434</v>
      </c>
    </row>
    <row r="1305" spans="2:3">
      <c r="B1305" s="30">
        <v>40042</v>
      </c>
      <c r="C1305">
        <v>117.1039</v>
      </c>
    </row>
    <row r="1306" spans="2:3">
      <c r="B1306" s="30">
        <v>40043</v>
      </c>
      <c r="C1306">
        <v>117.3475</v>
      </c>
    </row>
    <row r="1307" spans="2:3">
      <c r="B1307" s="30">
        <v>40044</v>
      </c>
      <c r="C1307">
        <v>117.67230000000001</v>
      </c>
    </row>
    <row r="1308" spans="2:3">
      <c r="B1308" s="30">
        <v>40045</v>
      </c>
      <c r="C1308">
        <v>118.0194</v>
      </c>
    </row>
    <row r="1309" spans="2:3">
      <c r="B1309" s="30">
        <v>40046</v>
      </c>
      <c r="C1309">
        <v>118.1994</v>
      </c>
    </row>
    <row r="1310" spans="2:3">
      <c r="B1310" s="30">
        <v>40049</v>
      </c>
      <c r="C1310">
        <v>118.4615</v>
      </c>
    </row>
    <row r="1311" spans="2:3">
      <c r="B1311" s="30">
        <v>40050</v>
      </c>
      <c r="C1311">
        <v>118.64109999999999</v>
      </c>
    </row>
    <row r="1312" spans="2:3">
      <c r="B1312" s="30">
        <v>40051</v>
      </c>
      <c r="C1312">
        <v>118.7513</v>
      </c>
    </row>
    <row r="1313" spans="2:3">
      <c r="B1313" s="30">
        <v>40052</v>
      </c>
      <c r="C1313">
        <v>118.7709</v>
      </c>
    </row>
    <row r="1314" spans="2:3">
      <c r="B1314" s="30">
        <v>40053</v>
      </c>
      <c r="C1314">
        <v>118.7923</v>
      </c>
    </row>
    <row r="1315" spans="2:3">
      <c r="B1315" s="30">
        <v>40056</v>
      </c>
      <c r="C1315">
        <v>118.71380000000001</v>
      </c>
    </row>
    <row r="1316" spans="2:3">
      <c r="B1316" s="30">
        <v>40057</v>
      </c>
      <c r="C1316">
        <v>118.08580000000001</v>
      </c>
    </row>
    <row r="1317" spans="2:3">
      <c r="B1317" s="30">
        <v>40058</v>
      </c>
      <c r="C1317">
        <v>118.2283</v>
      </c>
    </row>
    <row r="1318" spans="2:3">
      <c r="B1318" s="30">
        <v>40059</v>
      </c>
      <c r="C1318">
        <v>118.3583</v>
      </c>
    </row>
    <row r="1319" spans="2:3">
      <c r="B1319" s="30">
        <v>40060</v>
      </c>
      <c r="C1319">
        <v>118.4969</v>
      </c>
    </row>
    <row r="1320" spans="2:3">
      <c r="B1320" s="30">
        <v>40064</v>
      </c>
      <c r="C1320">
        <v>118.90860000000001</v>
      </c>
    </row>
    <row r="1321" spans="2:3">
      <c r="B1321" s="30">
        <v>40065</v>
      </c>
      <c r="C1321">
        <v>119.1786</v>
      </c>
    </row>
    <row r="1322" spans="2:3">
      <c r="B1322" s="30">
        <v>40066</v>
      </c>
      <c r="C1322">
        <v>119.9551</v>
      </c>
    </row>
    <row r="1323" spans="2:3">
      <c r="B1323" s="30">
        <v>40067</v>
      </c>
      <c r="C1323">
        <v>119.9551</v>
      </c>
    </row>
    <row r="1324" spans="2:3">
      <c r="B1324" s="30">
        <v>40070</v>
      </c>
      <c r="C1324">
        <v>120.0476</v>
      </c>
    </row>
    <row r="1325" spans="2:3">
      <c r="B1325" s="30">
        <v>40071</v>
      </c>
      <c r="C1325">
        <v>120.03489999999999</v>
      </c>
    </row>
    <row r="1326" spans="2:3">
      <c r="B1326" s="30">
        <v>40072</v>
      </c>
      <c r="C1326">
        <v>120.548</v>
      </c>
    </row>
    <row r="1327" spans="2:3">
      <c r="B1327" s="30">
        <v>40073</v>
      </c>
      <c r="C1327">
        <v>120.70740000000001</v>
      </c>
    </row>
    <row r="1328" spans="2:3">
      <c r="B1328" s="30">
        <v>40074</v>
      </c>
      <c r="C1328">
        <v>120.4024</v>
      </c>
    </row>
    <row r="1329" spans="2:3">
      <c r="B1329" s="30">
        <v>40077</v>
      </c>
      <c r="C1329">
        <v>120.4139</v>
      </c>
    </row>
    <row r="1330" spans="2:3">
      <c r="B1330" s="30">
        <v>40078</v>
      </c>
      <c r="C1330">
        <v>120.76179999999999</v>
      </c>
    </row>
    <row r="1331" spans="2:3">
      <c r="B1331" s="30">
        <v>40079</v>
      </c>
      <c r="C1331">
        <v>120.621</v>
      </c>
    </row>
    <row r="1332" spans="2:3">
      <c r="B1332" s="30">
        <v>40080</v>
      </c>
      <c r="C1332">
        <v>120.1233</v>
      </c>
    </row>
    <row r="1333" spans="2:3">
      <c r="B1333" s="30">
        <v>40081</v>
      </c>
      <c r="C1333">
        <v>119.9936</v>
      </c>
    </row>
    <row r="1334" spans="2:3">
      <c r="B1334" s="30">
        <v>40084</v>
      </c>
      <c r="C1334">
        <v>120.8184</v>
      </c>
    </row>
    <row r="1335" spans="2:3">
      <c r="B1335" s="30">
        <v>40085</v>
      </c>
      <c r="C1335">
        <v>120.6484</v>
      </c>
    </row>
    <row r="1336" spans="2:3">
      <c r="B1336" s="30">
        <v>40086</v>
      </c>
      <c r="C1336">
        <v>120.5462</v>
      </c>
    </row>
    <row r="1337" spans="2:3">
      <c r="B1337" s="30">
        <v>40087</v>
      </c>
      <c r="C1337">
        <v>119.9087</v>
      </c>
    </row>
    <row r="1338" spans="2:3">
      <c r="B1338" s="30">
        <v>40088</v>
      </c>
      <c r="C1338">
        <v>119.7252</v>
      </c>
    </row>
    <row r="1339" spans="2:3">
      <c r="B1339" s="30">
        <v>40091</v>
      </c>
      <c r="C1339">
        <v>120.3193</v>
      </c>
    </row>
    <row r="1340" spans="2:3">
      <c r="B1340" s="30">
        <v>40092</v>
      </c>
      <c r="C1340">
        <v>120.6649</v>
      </c>
    </row>
    <row r="1341" spans="2:3">
      <c r="B1341" s="30">
        <v>40093</v>
      </c>
      <c r="C1341">
        <v>121.0864</v>
      </c>
    </row>
    <row r="1342" spans="2:3">
      <c r="B1342" s="30">
        <v>40094</v>
      </c>
      <c r="C1342">
        <v>121.1558</v>
      </c>
    </row>
    <row r="1343" spans="2:3">
      <c r="B1343" s="30">
        <v>40095</v>
      </c>
      <c r="C1343">
        <v>120.858</v>
      </c>
    </row>
    <row r="1344" spans="2:3">
      <c r="B1344" s="30">
        <v>40099</v>
      </c>
      <c r="C1344">
        <v>121.23260000000001</v>
      </c>
    </row>
    <row r="1345" spans="2:3">
      <c r="B1345" s="30">
        <v>40100</v>
      </c>
      <c r="C1345">
        <v>121.6648</v>
      </c>
    </row>
    <row r="1346" spans="2:3">
      <c r="B1346" s="30">
        <v>40101</v>
      </c>
      <c r="C1346">
        <v>121.5561</v>
      </c>
    </row>
    <row r="1347" spans="2:3">
      <c r="B1347" s="30">
        <v>40102</v>
      </c>
      <c r="C1347">
        <v>121.3865</v>
      </c>
    </row>
    <row r="1348" spans="2:3">
      <c r="B1348" s="30">
        <v>40105</v>
      </c>
      <c r="C1348">
        <v>121.7884</v>
      </c>
    </row>
    <row r="1349" spans="2:3">
      <c r="B1349" s="30">
        <v>40106</v>
      </c>
      <c r="C1349">
        <v>121.9186</v>
      </c>
    </row>
    <row r="1350" spans="2:3">
      <c r="B1350" s="30">
        <v>40107</v>
      </c>
      <c r="C1350">
        <v>121.16549999999999</v>
      </c>
    </row>
    <row r="1351" spans="2:3">
      <c r="B1351" s="30">
        <v>40108</v>
      </c>
      <c r="C1351">
        <v>121.66630000000001</v>
      </c>
    </row>
    <row r="1352" spans="2:3">
      <c r="B1352" s="30">
        <v>40109</v>
      </c>
      <c r="C1352">
        <v>121.02290000000001</v>
      </c>
    </row>
    <row r="1353" spans="2:3">
      <c r="B1353" s="30">
        <v>40112</v>
      </c>
      <c r="C1353">
        <v>120.41679999999999</v>
      </c>
    </row>
    <row r="1354" spans="2:3">
      <c r="B1354" s="30">
        <v>40113</v>
      </c>
      <c r="C1354">
        <v>120.5826</v>
      </c>
    </row>
    <row r="1355" spans="2:3">
      <c r="B1355" s="30">
        <v>40114</v>
      </c>
      <c r="C1355">
        <v>120.0257</v>
      </c>
    </row>
    <row r="1356" spans="2:3">
      <c r="B1356" s="30">
        <v>40115</v>
      </c>
      <c r="C1356">
        <v>120.57599999999999</v>
      </c>
    </row>
    <row r="1357" spans="2:3">
      <c r="B1357" s="30">
        <v>40116</v>
      </c>
      <c r="C1357">
        <v>120.1618</v>
      </c>
    </row>
    <row r="1358" spans="2:3">
      <c r="B1358" s="30">
        <v>40119</v>
      </c>
      <c r="C1358">
        <v>120.2628</v>
      </c>
    </row>
    <row r="1359" spans="2:3">
      <c r="B1359" s="30">
        <v>40120</v>
      </c>
      <c r="C1359">
        <v>120.2114</v>
      </c>
    </row>
    <row r="1360" spans="2:3">
      <c r="B1360" s="30">
        <v>40121</v>
      </c>
      <c r="C1360">
        <v>120.2246</v>
      </c>
    </row>
    <row r="1361" spans="2:3">
      <c r="B1361" s="30">
        <v>40122</v>
      </c>
      <c r="C1361">
        <v>120.7761</v>
      </c>
    </row>
    <row r="1362" spans="2:3">
      <c r="B1362" s="30">
        <v>40123</v>
      </c>
      <c r="C1362">
        <v>121.0395</v>
      </c>
    </row>
    <row r="1363" spans="2:3">
      <c r="B1363" s="30">
        <v>40126</v>
      </c>
      <c r="C1363">
        <v>121.77670000000001</v>
      </c>
    </row>
    <row r="1364" spans="2:3">
      <c r="B1364" s="30">
        <v>40127</v>
      </c>
      <c r="C1364">
        <v>121.79519999999999</v>
      </c>
    </row>
    <row r="1365" spans="2:3">
      <c r="B1365" s="30">
        <v>40129</v>
      </c>
      <c r="C1365">
        <v>121.8188</v>
      </c>
    </row>
    <row r="1366" spans="2:3">
      <c r="B1366" s="30">
        <v>40130</v>
      </c>
      <c r="C1366">
        <v>122.00149999999999</v>
      </c>
    </row>
    <row r="1367" spans="2:3">
      <c r="B1367" s="30">
        <v>40133</v>
      </c>
      <c r="C1367">
        <v>122.7457</v>
      </c>
    </row>
    <row r="1368" spans="2:3">
      <c r="B1368" s="30">
        <v>40134</v>
      </c>
      <c r="C1368">
        <v>122.8163</v>
      </c>
    </row>
    <row r="1369" spans="2:3">
      <c r="B1369" s="30">
        <v>40135</v>
      </c>
      <c r="C1369">
        <v>122.7268</v>
      </c>
    </row>
    <row r="1370" spans="2:3">
      <c r="B1370" s="30">
        <v>40136</v>
      </c>
      <c r="C1370">
        <v>122.4782</v>
      </c>
    </row>
    <row r="1371" spans="2:3">
      <c r="B1371" s="30">
        <v>40137</v>
      </c>
      <c r="C1371">
        <v>122.343</v>
      </c>
    </row>
    <row r="1372" spans="2:3">
      <c r="B1372" s="30">
        <v>40140</v>
      </c>
      <c r="C1372">
        <v>122.7076</v>
      </c>
    </row>
    <row r="1373" spans="2:3">
      <c r="B1373" s="30">
        <v>40141</v>
      </c>
      <c r="C1373">
        <v>122.9161</v>
      </c>
    </row>
    <row r="1374" spans="2:3">
      <c r="B1374" s="30">
        <v>40142</v>
      </c>
      <c r="C1374">
        <v>123.22709999999999</v>
      </c>
    </row>
    <row r="1375" spans="2:3">
      <c r="B1375" s="30">
        <v>40144</v>
      </c>
      <c r="C1375">
        <v>122.9376</v>
      </c>
    </row>
    <row r="1376" spans="2:3">
      <c r="B1376" s="30">
        <v>40147</v>
      </c>
      <c r="C1376">
        <v>123.1927</v>
      </c>
    </row>
    <row r="1377" spans="2:3">
      <c r="B1377" s="30">
        <v>40148</v>
      </c>
      <c r="C1377">
        <v>123.5274</v>
      </c>
    </row>
    <row r="1378" spans="2:3">
      <c r="B1378" s="30">
        <v>40149</v>
      </c>
      <c r="C1378">
        <v>123.3706</v>
      </c>
    </row>
    <row r="1379" spans="2:3">
      <c r="B1379" s="30">
        <v>40150</v>
      </c>
      <c r="C1379">
        <v>122.9299</v>
      </c>
    </row>
    <row r="1380" spans="2:3">
      <c r="B1380" s="30">
        <v>40151</v>
      </c>
      <c r="C1380">
        <v>122.8231</v>
      </c>
    </row>
    <row r="1381" spans="2:3">
      <c r="B1381" s="30">
        <v>40154</v>
      </c>
      <c r="C1381">
        <v>122.9575</v>
      </c>
    </row>
    <row r="1382" spans="2:3">
      <c r="B1382" s="30">
        <v>40155</v>
      </c>
      <c r="C1382">
        <v>122.77330000000001</v>
      </c>
    </row>
    <row r="1383" spans="2:3">
      <c r="B1383" s="30">
        <v>40156</v>
      </c>
      <c r="C1383">
        <v>122.8634</v>
      </c>
    </row>
    <row r="1384" spans="2:3">
      <c r="B1384" s="30">
        <v>40157</v>
      </c>
      <c r="C1384">
        <v>122.898</v>
      </c>
    </row>
    <row r="1385" spans="2:3">
      <c r="B1385" s="30">
        <v>40158</v>
      </c>
      <c r="C1385">
        <v>122.93219999999999</v>
      </c>
    </row>
    <row r="1386" spans="2:3">
      <c r="B1386" s="30">
        <v>40161</v>
      </c>
      <c r="C1386">
        <v>123.0817</v>
      </c>
    </row>
    <row r="1387" spans="2:3">
      <c r="B1387" s="30">
        <v>40162</v>
      </c>
      <c r="C1387">
        <v>122.7829</v>
      </c>
    </row>
    <row r="1388" spans="2:3">
      <c r="B1388" s="30">
        <v>40163</v>
      </c>
      <c r="C1388">
        <v>122.92700000000001</v>
      </c>
    </row>
    <row r="1389" spans="2:3">
      <c r="B1389" s="30">
        <v>40164</v>
      </c>
      <c r="C1389">
        <v>122.938</v>
      </c>
    </row>
    <row r="1390" spans="2:3">
      <c r="B1390" s="30">
        <v>40165</v>
      </c>
      <c r="C1390">
        <v>122.90349999999999</v>
      </c>
    </row>
    <row r="1391" spans="2:3">
      <c r="B1391" s="30">
        <v>40168</v>
      </c>
      <c r="C1391">
        <v>122.923</v>
      </c>
    </row>
    <row r="1392" spans="2:3">
      <c r="B1392" s="30">
        <v>40169</v>
      </c>
      <c r="C1392">
        <v>122.95189999999999</v>
      </c>
    </row>
    <row r="1393" spans="2:3">
      <c r="B1393" s="30">
        <v>40170</v>
      </c>
      <c r="C1393">
        <v>122.9696</v>
      </c>
    </row>
    <row r="1394" spans="2:3">
      <c r="B1394" s="30">
        <v>40171</v>
      </c>
      <c r="C1394">
        <v>123.0277</v>
      </c>
    </row>
    <row r="1395" spans="2:3">
      <c r="B1395" s="30">
        <v>40175</v>
      </c>
      <c r="C1395">
        <v>122.9492</v>
      </c>
    </row>
    <row r="1396" spans="2:3">
      <c r="B1396" s="30">
        <v>40176</v>
      </c>
      <c r="C1396">
        <v>122.96559999999999</v>
      </c>
    </row>
    <row r="1397" spans="2:3">
      <c r="B1397" s="30">
        <v>40177</v>
      </c>
      <c r="C1397">
        <v>123.00060000000001</v>
      </c>
    </row>
    <row r="1398" spans="2:3">
      <c r="B1398" s="30">
        <v>40178</v>
      </c>
      <c r="C1398">
        <v>122.35469999999999</v>
      </c>
    </row>
    <row r="1399" spans="2:3">
      <c r="B1399" s="30">
        <v>40182</v>
      </c>
      <c r="C1399">
        <v>123.24930000000001</v>
      </c>
    </row>
    <row r="1400" spans="2:3">
      <c r="B1400" s="30">
        <v>40183</v>
      </c>
      <c r="C1400">
        <v>123.7003</v>
      </c>
    </row>
    <row r="1401" spans="2:3">
      <c r="B1401" s="30">
        <v>40184</v>
      </c>
      <c r="C1401">
        <v>123.7118</v>
      </c>
    </row>
    <row r="1402" spans="2:3">
      <c r="B1402" s="30">
        <v>40185</v>
      </c>
      <c r="C1402">
        <v>123.7889</v>
      </c>
    </row>
    <row r="1403" spans="2:3">
      <c r="B1403" s="30">
        <v>40186</v>
      </c>
      <c r="C1403">
        <v>124.0849</v>
      </c>
    </row>
    <row r="1404" spans="2:3">
      <c r="B1404" s="30">
        <v>40189</v>
      </c>
      <c r="C1404">
        <v>124.1658</v>
      </c>
    </row>
    <row r="1405" spans="2:3">
      <c r="B1405" s="30">
        <v>40190</v>
      </c>
      <c r="C1405">
        <v>124.01179999999999</v>
      </c>
    </row>
    <row r="1406" spans="2:3">
      <c r="B1406" s="30">
        <v>40191</v>
      </c>
      <c r="C1406">
        <v>124.17700000000001</v>
      </c>
    </row>
    <row r="1407" spans="2:3">
      <c r="B1407" s="30">
        <v>40192</v>
      </c>
      <c r="C1407">
        <v>124.5217</v>
      </c>
    </row>
    <row r="1408" spans="2:3">
      <c r="B1408" s="30">
        <v>40193</v>
      </c>
      <c r="C1408">
        <v>124.0384</v>
      </c>
    </row>
    <row r="1409" spans="2:3">
      <c r="B1409" s="30">
        <v>40197</v>
      </c>
      <c r="C1409">
        <v>124.61920000000001</v>
      </c>
    </row>
    <row r="1410" spans="2:3">
      <c r="B1410" s="30">
        <v>40198</v>
      </c>
      <c r="C1410">
        <v>124.17449999999999</v>
      </c>
    </row>
    <row r="1411" spans="2:3">
      <c r="B1411" s="30">
        <v>40199</v>
      </c>
      <c r="C1411">
        <v>123.14490000000001</v>
      </c>
    </row>
    <row r="1412" spans="2:3">
      <c r="B1412" s="30">
        <v>40200</v>
      </c>
      <c r="C1412">
        <v>122.1232</v>
      </c>
    </row>
    <row r="1413" spans="2:3">
      <c r="B1413" s="30">
        <v>40203</v>
      </c>
      <c r="C1413">
        <v>122.1439</v>
      </c>
    </row>
    <row r="1414" spans="2:3">
      <c r="B1414" s="30">
        <v>40204</v>
      </c>
      <c r="C1414">
        <v>121.9487</v>
      </c>
    </row>
    <row r="1415" spans="2:3">
      <c r="B1415" s="30">
        <v>40205</v>
      </c>
      <c r="C1415">
        <v>122.16630000000001</v>
      </c>
    </row>
    <row r="1416" spans="2:3">
      <c r="B1416" s="30">
        <v>40206</v>
      </c>
      <c r="C1416">
        <v>121.5698</v>
      </c>
    </row>
    <row r="1417" spans="2:3">
      <c r="B1417" s="30">
        <v>40207</v>
      </c>
      <c r="C1417">
        <v>121.37</v>
      </c>
    </row>
    <row r="1418" spans="2:3">
      <c r="B1418" s="30">
        <v>40210</v>
      </c>
      <c r="C1418">
        <v>121.88930000000001</v>
      </c>
    </row>
    <row r="1419" spans="2:3">
      <c r="B1419" s="30">
        <v>40211</v>
      </c>
      <c r="C1419">
        <v>122.41759999999999</v>
      </c>
    </row>
    <row r="1420" spans="2:3">
      <c r="B1420" s="30">
        <v>40212</v>
      </c>
      <c r="C1420">
        <v>122.2017</v>
      </c>
    </row>
    <row r="1421" spans="2:3">
      <c r="B1421" s="30">
        <v>40213</v>
      </c>
      <c r="C1421">
        <v>121.038</v>
      </c>
    </row>
    <row r="1422" spans="2:3">
      <c r="B1422" s="30">
        <v>40214</v>
      </c>
      <c r="C1422">
        <v>121.17100000000001</v>
      </c>
    </row>
    <row r="1423" spans="2:3">
      <c r="B1423" s="30">
        <v>40217</v>
      </c>
      <c r="C1423">
        <v>120.8057</v>
      </c>
    </row>
    <row r="1424" spans="2:3">
      <c r="B1424" s="30">
        <v>40218</v>
      </c>
      <c r="C1424">
        <v>121.0668</v>
      </c>
    </row>
    <row r="1425" spans="2:3">
      <c r="B1425" s="30">
        <v>40219</v>
      </c>
      <c r="C1425">
        <v>120.77970000000001</v>
      </c>
    </row>
    <row r="1426" spans="2:3">
      <c r="B1426" s="30">
        <v>40220</v>
      </c>
      <c r="C1426">
        <v>121.2149</v>
      </c>
    </row>
    <row r="1427" spans="2:3">
      <c r="B1427" s="30">
        <v>40221</v>
      </c>
      <c r="C1427">
        <v>121.4177</v>
      </c>
    </row>
    <row r="1428" spans="2:3">
      <c r="B1428" s="30">
        <v>40225</v>
      </c>
      <c r="C1428">
        <v>121.9841</v>
      </c>
    </row>
    <row r="1429" spans="2:3">
      <c r="B1429" s="30">
        <v>40226</v>
      </c>
      <c r="C1429">
        <v>121.90600000000001</v>
      </c>
    </row>
    <row r="1430" spans="2:3">
      <c r="B1430" s="30">
        <v>40227</v>
      </c>
      <c r="C1430">
        <v>121.9297</v>
      </c>
    </row>
    <row r="1431" spans="2:3">
      <c r="B1431" s="30">
        <v>40228</v>
      </c>
      <c r="C1431">
        <v>122.0138</v>
      </c>
    </row>
    <row r="1432" spans="2:3">
      <c r="B1432" s="30">
        <v>40231</v>
      </c>
      <c r="C1432">
        <v>122.06</v>
      </c>
    </row>
    <row r="1433" spans="2:3">
      <c r="B1433" s="30">
        <v>40232</v>
      </c>
      <c r="C1433">
        <v>122.05880000000001</v>
      </c>
    </row>
    <row r="1434" spans="2:3">
      <c r="B1434" s="30">
        <v>40233</v>
      </c>
      <c r="C1434">
        <v>122.2786</v>
      </c>
    </row>
    <row r="1435" spans="2:3">
      <c r="B1435" s="30">
        <v>40234</v>
      </c>
      <c r="C1435">
        <v>122.44929999999999</v>
      </c>
    </row>
    <row r="1436" spans="2:3">
      <c r="B1436" s="30">
        <v>40235</v>
      </c>
      <c r="C1436">
        <v>122.7054</v>
      </c>
    </row>
    <row r="1437" spans="2:3">
      <c r="B1437" s="30">
        <v>40238</v>
      </c>
      <c r="C1437">
        <v>123.1152</v>
      </c>
    </row>
    <row r="1438" spans="2:3">
      <c r="B1438" s="30">
        <v>40239</v>
      </c>
      <c r="C1438">
        <v>123.211</v>
      </c>
    </row>
    <row r="1439" spans="2:3">
      <c r="B1439" s="30">
        <v>40240</v>
      </c>
      <c r="C1439">
        <v>123.25539999999999</v>
      </c>
    </row>
    <row r="1440" spans="2:3">
      <c r="B1440" s="30">
        <v>40241</v>
      </c>
      <c r="C1440">
        <v>123.40730000000001</v>
      </c>
    </row>
    <row r="1441" spans="2:3">
      <c r="B1441" s="30">
        <v>40242</v>
      </c>
      <c r="C1441">
        <v>123.7889</v>
      </c>
    </row>
    <row r="1442" spans="2:3">
      <c r="B1442" s="30">
        <v>40245</v>
      </c>
      <c r="C1442">
        <v>123.8272</v>
      </c>
    </row>
    <row r="1443" spans="2:3">
      <c r="B1443" s="30">
        <v>40246</v>
      </c>
      <c r="C1443">
        <v>123.982</v>
      </c>
    </row>
    <row r="1444" spans="2:3">
      <c r="B1444" s="30">
        <v>40247</v>
      </c>
      <c r="C1444">
        <v>124.1026</v>
      </c>
    </row>
    <row r="1445" spans="2:3">
      <c r="B1445" s="30">
        <v>40248</v>
      </c>
      <c r="C1445">
        <v>124.2351</v>
      </c>
    </row>
    <row r="1446" spans="2:3">
      <c r="B1446" s="30">
        <v>40249</v>
      </c>
      <c r="C1446">
        <v>124.28919999999999</v>
      </c>
    </row>
    <row r="1447" spans="2:3">
      <c r="B1447" s="30">
        <v>40252</v>
      </c>
      <c r="C1447">
        <v>124.27460000000001</v>
      </c>
    </row>
    <row r="1448" spans="2:3">
      <c r="B1448" s="30">
        <v>40253</v>
      </c>
      <c r="C1448">
        <v>124.8351</v>
      </c>
    </row>
    <row r="1449" spans="2:3">
      <c r="B1449" s="30">
        <v>40254</v>
      </c>
      <c r="C1449">
        <v>125.08329999999999</v>
      </c>
    </row>
    <row r="1450" spans="2:3">
      <c r="B1450" s="30">
        <v>40255</v>
      </c>
      <c r="C1450">
        <v>124.9511</v>
      </c>
    </row>
    <row r="1451" spans="2:3">
      <c r="B1451" s="30">
        <v>40256</v>
      </c>
      <c r="C1451">
        <v>124.65170000000001</v>
      </c>
    </row>
    <row r="1452" spans="2:3">
      <c r="B1452" s="30">
        <v>40259</v>
      </c>
      <c r="C1452">
        <v>125.0055</v>
      </c>
    </row>
    <row r="1453" spans="2:3">
      <c r="B1453" s="30">
        <v>40260</v>
      </c>
      <c r="C1453">
        <v>125.3734</v>
      </c>
    </row>
    <row r="1454" spans="2:3">
      <c r="B1454" s="30">
        <v>40261</v>
      </c>
      <c r="C1454">
        <v>124.6733</v>
      </c>
    </row>
    <row r="1455" spans="2:3">
      <c r="B1455" s="30">
        <v>40262</v>
      </c>
      <c r="C1455">
        <v>124.4442</v>
      </c>
    </row>
    <row r="1456" spans="2:3">
      <c r="B1456" s="30">
        <v>40263</v>
      </c>
      <c r="C1456">
        <v>124.6463</v>
      </c>
    </row>
    <row r="1457" spans="2:3">
      <c r="B1457" s="30">
        <v>40266</v>
      </c>
      <c r="C1457">
        <v>124.9033</v>
      </c>
    </row>
    <row r="1458" spans="2:3">
      <c r="B1458" s="30">
        <v>40267</v>
      </c>
      <c r="C1458">
        <v>124.9158</v>
      </c>
    </row>
    <row r="1459" spans="2:3">
      <c r="B1459" s="30">
        <v>40268</v>
      </c>
      <c r="C1459">
        <v>124.8553</v>
      </c>
    </row>
    <row r="1460" spans="2:3">
      <c r="B1460" s="30">
        <v>40269</v>
      </c>
      <c r="C1460">
        <v>125.1709</v>
      </c>
    </row>
    <row r="1461" spans="2:3">
      <c r="B1461" s="30">
        <v>40273</v>
      </c>
      <c r="C1461">
        <v>125.18049999999999</v>
      </c>
    </row>
    <row r="1462" spans="2:3">
      <c r="B1462" s="30">
        <v>40274</v>
      </c>
      <c r="C1462">
        <v>125.3678</v>
      </c>
    </row>
    <row r="1463" spans="2:3">
      <c r="B1463" s="30">
        <v>40275</v>
      </c>
      <c r="C1463">
        <v>125.3048</v>
      </c>
    </row>
    <row r="1464" spans="2:3">
      <c r="B1464" s="30">
        <v>40276</v>
      </c>
      <c r="C1464">
        <v>125.50109999999999</v>
      </c>
    </row>
    <row r="1465" spans="2:3">
      <c r="B1465" s="30">
        <v>40277</v>
      </c>
      <c r="C1465">
        <v>126.01439999999999</v>
      </c>
    </row>
    <row r="1466" spans="2:3">
      <c r="B1466" s="30">
        <v>40280</v>
      </c>
      <c r="C1466">
        <v>126.15089999999999</v>
      </c>
    </row>
    <row r="1467" spans="2:3">
      <c r="B1467" s="30">
        <v>40281</v>
      </c>
      <c r="C1467">
        <v>126.25749999999999</v>
      </c>
    </row>
    <row r="1468" spans="2:3">
      <c r="B1468" s="30">
        <v>40282</v>
      </c>
      <c r="C1468">
        <v>127.01220000000001</v>
      </c>
    </row>
    <row r="1469" spans="2:3">
      <c r="B1469" s="30">
        <v>40283</v>
      </c>
      <c r="C1469">
        <v>127.1915</v>
      </c>
    </row>
    <row r="1470" spans="2:3">
      <c r="B1470" s="30">
        <v>40284</v>
      </c>
      <c r="C1470">
        <v>126.13079999999999</v>
      </c>
    </row>
    <row r="1471" spans="2:3">
      <c r="B1471" s="30">
        <v>40287</v>
      </c>
      <c r="C1471">
        <v>126.3789</v>
      </c>
    </row>
    <row r="1472" spans="2:3">
      <c r="B1472" s="30">
        <v>40288</v>
      </c>
      <c r="C1472">
        <v>127.0261</v>
      </c>
    </row>
    <row r="1473" spans="2:3">
      <c r="B1473" s="30">
        <v>40289</v>
      </c>
      <c r="C1473">
        <v>126.8267</v>
      </c>
    </row>
    <row r="1474" spans="2:3">
      <c r="B1474" s="30">
        <v>40290</v>
      </c>
      <c r="C1474">
        <v>126.7868</v>
      </c>
    </row>
    <row r="1475" spans="2:3">
      <c r="B1475" s="30">
        <v>40291</v>
      </c>
      <c r="C1475">
        <v>127.24720000000001</v>
      </c>
    </row>
    <row r="1476" spans="2:3">
      <c r="B1476" s="30">
        <v>40294</v>
      </c>
      <c r="C1476">
        <v>127.0286</v>
      </c>
    </row>
    <row r="1477" spans="2:3">
      <c r="B1477" s="30">
        <v>40295</v>
      </c>
      <c r="C1477">
        <v>125.8117</v>
      </c>
    </row>
    <row r="1478" spans="2:3">
      <c r="B1478" s="30">
        <v>40296</v>
      </c>
      <c r="C1478">
        <v>126.1634</v>
      </c>
    </row>
    <row r="1479" spans="2:3">
      <c r="B1479" s="30">
        <v>40297</v>
      </c>
      <c r="C1479">
        <v>127.17789999999999</v>
      </c>
    </row>
    <row r="1480" spans="2:3">
      <c r="B1480" s="30">
        <v>40298</v>
      </c>
      <c r="C1480">
        <v>126.31480000000001</v>
      </c>
    </row>
    <row r="1481" spans="2:3">
      <c r="B1481" s="30">
        <v>40301</v>
      </c>
      <c r="C1481">
        <v>126.8473</v>
      </c>
    </row>
    <row r="1482" spans="2:3">
      <c r="B1482" s="30">
        <v>40302</v>
      </c>
      <c r="C1482">
        <v>125.96510000000001</v>
      </c>
    </row>
    <row r="1483" spans="2:3">
      <c r="B1483" s="30">
        <v>40303</v>
      </c>
      <c r="C1483">
        <v>125.7625</v>
      </c>
    </row>
    <row r="1484" spans="2:3">
      <c r="B1484" s="30">
        <v>40304</v>
      </c>
      <c r="C1484">
        <v>124.4901</v>
      </c>
    </row>
    <row r="1485" spans="2:3">
      <c r="B1485" s="30">
        <v>40305</v>
      </c>
      <c r="C1485">
        <v>123.914</v>
      </c>
    </row>
    <row r="1486" spans="2:3">
      <c r="B1486" s="30">
        <v>40308</v>
      </c>
      <c r="C1486">
        <v>125.5311</v>
      </c>
    </row>
    <row r="1487" spans="2:3">
      <c r="B1487" s="30">
        <v>40309</v>
      </c>
      <c r="C1487">
        <v>125.4285</v>
      </c>
    </row>
    <row r="1488" spans="2:3">
      <c r="B1488" s="30">
        <v>40310</v>
      </c>
      <c r="C1488">
        <v>125.77079999999999</v>
      </c>
    </row>
    <row r="1489" spans="2:3">
      <c r="B1489" s="30">
        <v>40311</v>
      </c>
      <c r="C1489">
        <v>125.4997</v>
      </c>
    </row>
    <row r="1490" spans="2:3">
      <c r="B1490" s="30">
        <v>40312</v>
      </c>
      <c r="C1490">
        <v>125.42100000000001</v>
      </c>
    </row>
    <row r="1491" spans="2:3">
      <c r="B1491" s="30">
        <v>40315</v>
      </c>
      <c r="C1491">
        <v>125.26739999999999</v>
      </c>
    </row>
    <row r="1492" spans="2:3">
      <c r="B1492" s="30">
        <v>40316</v>
      </c>
      <c r="C1492">
        <v>125.1086</v>
      </c>
    </row>
    <row r="1493" spans="2:3">
      <c r="B1493" s="30">
        <v>40317</v>
      </c>
      <c r="C1493">
        <v>124.9952</v>
      </c>
    </row>
    <row r="1494" spans="2:3">
      <c r="B1494" s="30">
        <v>40318</v>
      </c>
      <c r="C1494">
        <v>124.3073</v>
      </c>
    </row>
    <row r="1495" spans="2:3">
      <c r="B1495" s="30">
        <v>40319</v>
      </c>
      <c r="C1495">
        <v>124.9006</v>
      </c>
    </row>
    <row r="1496" spans="2:3">
      <c r="B1496" s="30">
        <v>40322</v>
      </c>
      <c r="C1496">
        <v>124.44329999999999</v>
      </c>
    </row>
    <row r="1497" spans="2:3">
      <c r="B1497" s="30">
        <v>40323</v>
      </c>
      <c r="C1497">
        <v>124.74679999999999</v>
      </c>
    </row>
    <row r="1498" spans="2:3">
      <c r="B1498" s="30">
        <v>40324</v>
      </c>
      <c r="C1498">
        <v>124.13679999999999</v>
      </c>
    </row>
    <row r="1499" spans="2:3">
      <c r="B1499" s="30">
        <v>40325</v>
      </c>
      <c r="C1499">
        <v>124.70829999999999</v>
      </c>
    </row>
    <row r="1500" spans="2:3">
      <c r="B1500" s="30">
        <v>40326</v>
      </c>
      <c r="C1500">
        <v>124.6943</v>
      </c>
    </row>
    <row r="1501" spans="2:3">
      <c r="B1501" s="30">
        <v>40330</v>
      </c>
      <c r="C1501">
        <v>124.2465</v>
      </c>
    </row>
    <row r="1502" spans="2:3">
      <c r="B1502" s="30">
        <v>40331</v>
      </c>
      <c r="C1502">
        <v>124.6922</v>
      </c>
    </row>
    <row r="1503" spans="2:3">
      <c r="B1503" s="30">
        <v>40332</v>
      </c>
      <c r="C1503">
        <v>124.7101</v>
      </c>
    </row>
    <row r="1504" spans="2:3">
      <c r="B1504" s="30">
        <v>40333</v>
      </c>
      <c r="C1504">
        <v>124.5818</v>
      </c>
    </row>
    <row r="1505" spans="2:3">
      <c r="B1505" s="30">
        <v>40336</v>
      </c>
      <c r="C1505">
        <v>124.1524</v>
      </c>
    </row>
    <row r="1506" spans="2:3">
      <c r="B1506" s="30">
        <v>40337</v>
      </c>
      <c r="C1506">
        <v>124.46080000000001</v>
      </c>
    </row>
    <row r="1507" spans="2:3">
      <c r="B1507" s="30">
        <v>40338</v>
      </c>
      <c r="C1507">
        <v>124.3137</v>
      </c>
    </row>
    <row r="1508" spans="2:3">
      <c r="B1508" s="30">
        <v>40339</v>
      </c>
      <c r="C1508">
        <v>124.55500000000001</v>
      </c>
    </row>
    <row r="1509" spans="2:3">
      <c r="B1509" s="30">
        <v>40340</v>
      </c>
      <c r="C1509">
        <v>125.11239999999999</v>
      </c>
    </row>
    <row r="1510" spans="2:3">
      <c r="B1510" s="30">
        <v>40343</v>
      </c>
      <c r="C1510">
        <v>125.0026</v>
      </c>
    </row>
    <row r="1511" spans="2:3">
      <c r="B1511" s="30">
        <v>40344</v>
      </c>
      <c r="C1511">
        <v>125.4156</v>
      </c>
    </row>
    <row r="1512" spans="2:3">
      <c r="B1512" s="30">
        <v>40345</v>
      </c>
      <c r="C1512">
        <v>125.5521</v>
      </c>
    </row>
    <row r="1513" spans="2:3">
      <c r="B1513" s="30">
        <v>40346</v>
      </c>
      <c r="C1513">
        <v>126.0274</v>
      </c>
    </row>
    <row r="1514" spans="2:3">
      <c r="B1514" s="30">
        <v>40347</v>
      </c>
      <c r="C1514">
        <v>125.929</v>
      </c>
    </row>
    <row r="1515" spans="2:3">
      <c r="B1515" s="30">
        <v>40350</v>
      </c>
      <c r="C1515">
        <v>125.9408</v>
      </c>
    </row>
    <row r="1516" spans="2:3">
      <c r="B1516" s="30">
        <v>40351</v>
      </c>
      <c r="C1516">
        <v>125.6743</v>
      </c>
    </row>
    <row r="1517" spans="2:3">
      <c r="B1517" s="30">
        <v>40352</v>
      </c>
      <c r="C1517">
        <v>125.8005</v>
      </c>
    </row>
    <row r="1518" spans="2:3">
      <c r="B1518" s="30">
        <v>40353</v>
      </c>
      <c r="C1518">
        <v>125.3116</v>
      </c>
    </row>
    <row r="1519" spans="2:3">
      <c r="B1519" s="30">
        <v>40354</v>
      </c>
      <c r="C1519">
        <v>125.59820000000001</v>
      </c>
    </row>
    <row r="1520" spans="2:3">
      <c r="B1520" s="30">
        <v>40357</v>
      </c>
      <c r="C1520">
        <v>125.78700000000001</v>
      </c>
    </row>
    <row r="1521" spans="2:3">
      <c r="B1521" s="30">
        <v>40358</v>
      </c>
      <c r="C1521">
        <v>125.0874</v>
      </c>
    </row>
    <row r="1522" spans="2:3">
      <c r="B1522" s="30">
        <v>40359</v>
      </c>
      <c r="C1522">
        <v>124.89319999999999</v>
      </c>
    </row>
    <row r="1523" spans="2:3">
      <c r="B1523" s="30">
        <v>40360</v>
      </c>
      <c r="C1523">
        <v>124.87439999999999</v>
      </c>
    </row>
    <row r="1524" spans="2:3">
      <c r="B1524" s="30">
        <v>40361</v>
      </c>
      <c r="C1524">
        <v>124.5861</v>
      </c>
    </row>
    <row r="1525" spans="2:3">
      <c r="B1525" s="30">
        <v>40365</v>
      </c>
      <c r="C1525">
        <v>125.0004</v>
      </c>
    </row>
    <row r="1526" spans="2:3">
      <c r="B1526" s="30">
        <v>40366</v>
      </c>
      <c r="C1526">
        <v>125.774</v>
      </c>
    </row>
    <row r="1527" spans="2:3">
      <c r="B1527" s="30">
        <v>40367</v>
      </c>
      <c r="C1527">
        <v>125.8883</v>
      </c>
    </row>
    <row r="1528" spans="2:3">
      <c r="B1528" s="30">
        <v>40368</v>
      </c>
      <c r="C1528">
        <v>125.9532</v>
      </c>
    </row>
    <row r="1529" spans="2:3">
      <c r="B1529" s="30">
        <v>40371</v>
      </c>
      <c r="C1529">
        <v>126.0697</v>
      </c>
    </row>
    <row r="1530" spans="2:3">
      <c r="B1530" s="30">
        <v>40372</v>
      </c>
      <c r="C1530">
        <v>126.25369999999999</v>
      </c>
    </row>
    <row r="1531" spans="2:3">
      <c r="B1531" s="30">
        <v>40373</v>
      </c>
      <c r="C1531">
        <v>126.5693</v>
      </c>
    </row>
    <row r="1532" spans="2:3">
      <c r="B1532" s="30">
        <v>40374</v>
      </c>
      <c r="C1532">
        <v>126.8138</v>
      </c>
    </row>
    <row r="1533" spans="2:3">
      <c r="B1533" s="30">
        <v>40375</v>
      </c>
      <c r="C1533">
        <v>126.2255</v>
      </c>
    </row>
    <row r="1534" spans="2:3">
      <c r="B1534" s="30">
        <v>40378</v>
      </c>
      <c r="C1534">
        <v>126.15949999999999</v>
      </c>
    </row>
    <row r="1535" spans="2:3">
      <c r="B1535" s="30">
        <v>40379</v>
      </c>
      <c r="C1535">
        <v>126.7054</v>
      </c>
    </row>
    <row r="1536" spans="2:3">
      <c r="B1536" s="30">
        <v>40380</v>
      </c>
      <c r="C1536">
        <v>126.471</v>
      </c>
    </row>
    <row r="1537" spans="2:3">
      <c r="B1537" s="30">
        <v>40381</v>
      </c>
      <c r="C1537">
        <v>126.9538</v>
      </c>
    </row>
    <row r="1538" spans="2:3">
      <c r="B1538" s="30">
        <v>40382</v>
      </c>
      <c r="C1538">
        <v>127.0789</v>
      </c>
    </row>
    <row r="1539" spans="2:3">
      <c r="B1539" s="30">
        <v>40385</v>
      </c>
      <c r="C1539">
        <v>127.3634</v>
      </c>
    </row>
    <row r="1540" spans="2:3">
      <c r="B1540" s="30">
        <v>40386</v>
      </c>
      <c r="C1540">
        <v>127.1707</v>
      </c>
    </row>
    <row r="1541" spans="2:3">
      <c r="B1541" s="30">
        <v>40387</v>
      </c>
      <c r="C1541">
        <v>127.1236</v>
      </c>
    </row>
    <row r="1542" spans="2:3">
      <c r="B1542" s="30">
        <v>40388</v>
      </c>
      <c r="C1542">
        <v>127.11060000000001</v>
      </c>
    </row>
    <row r="1543" spans="2:3">
      <c r="B1543" s="30">
        <v>40389</v>
      </c>
      <c r="C1543">
        <v>127.50530000000001</v>
      </c>
    </row>
    <row r="1544" spans="2:3">
      <c r="B1544" s="30">
        <v>40392</v>
      </c>
      <c r="C1544">
        <v>128.07159999999999</v>
      </c>
    </row>
    <row r="1545" spans="2:3">
      <c r="B1545" s="30">
        <v>40393</v>
      </c>
      <c r="C1545">
        <v>128.18430000000001</v>
      </c>
    </row>
    <row r="1546" spans="2:3">
      <c r="B1546" s="30">
        <v>40394</v>
      </c>
      <c r="C1546">
        <v>128.20359999999999</v>
      </c>
    </row>
    <row r="1547" spans="2:3">
      <c r="B1547" s="30">
        <v>40395</v>
      </c>
      <c r="C1547">
        <v>128.25980000000001</v>
      </c>
    </row>
    <row r="1548" spans="2:3">
      <c r="B1548" s="30">
        <v>40396</v>
      </c>
      <c r="C1548">
        <v>128.35669999999999</v>
      </c>
    </row>
    <row r="1549" spans="2:3">
      <c r="B1549" s="30">
        <v>40399</v>
      </c>
      <c r="C1549">
        <v>128.5068</v>
      </c>
    </row>
    <row r="1550" spans="2:3">
      <c r="B1550" s="30">
        <v>40400</v>
      </c>
      <c r="C1550">
        <v>128.39230000000001</v>
      </c>
    </row>
    <row r="1551" spans="2:3">
      <c r="B1551" s="30">
        <v>40401</v>
      </c>
      <c r="C1551">
        <v>127.5733</v>
      </c>
    </row>
    <row r="1552" spans="2:3">
      <c r="B1552" s="30">
        <v>40402</v>
      </c>
      <c r="C1552">
        <v>127.3074</v>
      </c>
    </row>
    <row r="1553" spans="2:3">
      <c r="B1553" s="30">
        <v>40403</v>
      </c>
      <c r="C1553">
        <v>127.3702</v>
      </c>
    </row>
    <row r="1554" spans="2:3">
      <c r="B1554" s="30">
        <v>40406</v>
      </c>
      <c r="C1554">
        <v>127.7269</v>
      </c>
    </row>
    <row r="1555" spans="2:3">
      <c r="B1555" s="30">
        <v>40407</v>
      </c>
      <c r="C1555">
        <v>127.9597</v>
      </c>
    </row>
    <row r="1556" spans="2:3">
      <c r="B1556" s="30">
        <v>40408</v>
      </c>
      <c r="C1556">
        <v>127.9773</v>
      </c>
    </row>
    <row r="1557" spans="2:3">
      <c r="B1557" s="30">
        <v>40409</v>
      </c>
      <c r="C1557">
        <v>127.6643</v>
      </c>
    </row>
    <row r="1558" spans="2:3">
      <c r="B1558" s="30">
        <v>40410</v>
      </c>
      <c r="C1558">
        <v>127.5076</v>
      </c>
    </row>
    <row r="1559" spans="2:3">
      <c r="B1559" s="30">
        <v>40413</v>
      </c>
      <c r="C1559">
        <v>127.4075</v>
      </c>
    </row>
    <row r="1560" spans="2:3">
      <c r="B1560" s="30">
        <v>40414</v>
      </c>
      <c r="C1560">
        <v>127.18170000000001</v>
      </c>
    </row>
    <row r="1561" spans="2:3">
      <c r="B1561" s="30">
        <v>40415</v>
      </c>
      <c r="C1561">
        <v>127.1571</v>
      </c>
    </row>
    <row r="1562" spans="2:3">
      <c r="B1562" s="30">
        <v>40416</v>
      </c>
      <c r="C1562">
        <v>126.9575</v>
      </c>
    </row>
    <row r="1563" spans="2:3">
      <c r="B1563" s="30">
        <v>40417</v>
      </c>
      <c r="C1563">
        <v>127.205</v>
      </c>
    </row>
    <row r="1564" spans="2:3">
      <c r="B1564" s="30">
        <v>40420</v>
      </c>
      <c r="C1564">
        <v>126.94070000000001</v>
      </c>
    </row>
    <row r="1565" spans="2:3">
      <c r="B1565" s="30">
        <v>40421</v>
      </c>
      <c r="C1565">
        <v>127.2189</v>
      </c>
    </row>
    <row r="1566" spans="2:3">
      <c r="B1566" s="30">
        <v>40422</v>
      </c>
      <c r="C1566">
        <v>128.13130000000001</v>
      </c>
    </row>
    <row r="1567" spans="2:3">
      <c r="B1567" s="30">
        <v>40423</v>
      </c>
      <c r="C1567">
        <v>128.33199999999999</v>
      </c>
    </row>
    <row r="1568" spans="2:3">
      <c r="B1568" s="30">
        <v>40424</v>
      </c>
      <c r="C1568">
        <v>128.65309999999999</v>
      </c>
    </row>
    <row r="1569" spans="2:3">
      <c r="B1569" s="30">
        <v>40428</v>
      </c>
      <c r="C1569">
        <v>128.50810000000001</v>
      </c>
    </row>
    <row r="1570" spans="2:3">
      <c r="B1570" s="30">
        <v>40429</v>
      </c>
      <c r="C1570">
        <v>128.62029999999999</v>
      </c>
    </row>
    <row r="1571" spans="2:3">
      <c r="B1571" s="30">
        <v>40430</v>
      </c>
      <c r="C1571">
        <v>128.3674</v>
      </c>
    </row>
    <row r="1572" spans="2:3">
      <c r="B1572" s="30">
        <v>40431</v>
      </c>
      <c r="C1572">
        <v>128.56880000000001</v>
      </c>
    </row>
    <row r="1573" spans="2:3">
      <c r="B1573" s="30">
        <v>40434</v>
      </c>
      <c r="C1573">
        <v>129.1431</v>
      </c>
    </row>
    <row r="1574" spans="2:3">
      <c r="B1574" s="30">
        <v>40435</v>
      </c>
      <c r="C1574">
        <v>129.31120000000001</v>
      </c>
    </row>
    <row r="1575" spans="2:3">
      <c r="B1575" s="30">
        <v>40436</v>
      </c>
      <c r="C1575">
        <v>129.37870000000001</v>
      </c>
    </row>
    <row r="1576" spans="2:3">
      <c r="B1576" s="30">
        <v>40437</v>
      </c>
      <c r="C1576">
        <v>129.32849999999999</v>
      </c>
    </row>
    <row r="1577" spans="2:3">
      <c r="B1577" s="30">
        <v>40438</v>
      </c>
      <c r="C1577">
        <v>129.2852</v>
      </c>
    </row>
    <row r="1578" spans="2:3">
      <c r="B1578" s="30">
        <v>40441</v>
      </c>
      <c r="C1578">
        <v>130.05359999999999</v>
      </c>
    </row>
    <row r="1579" spans="2:3">
      <c r="B1579" s="30">
        <v>40442</v>
      </c>
      <c r="C1579">
        <v>130.2706</v>
      </c>
    </row>
    <row r="1580" spans="2:3">
      <c r="B1580" s="30">
        <v>40443</v>
      </c>
      <c r="C1580">
        <v>130.10740000000001</v>
      </c>
    </row>
    <row r="1581" spans="2:3">
      <c r="B1581" s="30">
        <v>40444</v>
      </c>
      <c r="C1581">
        <v>129.72749999999999</v>
      </c>
    </row>
    <row r="1582" spans="2:3">
      <c r="B1582" s="30">
        <v>40445</v>
      </c>
      <c r="C1582">
        <v>130.5463</v>
      </c>
    </row>
    <row r="1583" spans="2:3">
      <c r="B1583" s="30">
        <v>40448</v>
      </c>
      <c r="C1583">
        <v>130.59909999999999</v>
      </c>
    </row>
    <row r="1584" spans="2:3">
      <c r="B1584" s="30">
        <v>40449</v>
      </c>
      <c r="C1584">
        <v>130.93960000000001</v>
      </c>
    </row>
    <row r="1585" spans="2:3">
      <c r="B1585" s="30">
        <v>40450</v>
      </c>
      <c r="C1585">
        <v>130.82900000000001</v>
      </c>
    </row>
    <row r="1586" spans="2:3">
      <c r="B1586" s="30">
        <v>40451</v>
      </c>
      <c r="C1586">
        <v>130.69990000000001</v>
      </c>
    </row>
    <row r="1587" spans="2:3">
      <c r="B1587" s="30">
        <v>40452</v>
      </c>
      <c r="C1587">
        <v>130.94499999999999</v>
      </c>
    </row>
    <row r="1588" spans="2:3">
      <c r="B1588" s="30">
        <v>40455</v>
      </c>
      <c r="C1588">
        <v>130.76310000000001</v>
      </c>
    </row>
    <row r="1589" spans="2:3">
      <c r="B1589" s="30">
        <v>40456</v>
      </c>
      <c r="C1589">
        <v>131.6866</v>
      </c>
    </row>
    <row r="1590" spans="2:3">
      <c r="B1590" s="30">
        <v>40457</v>
      </c>
      <c r="C1590">
        <v>131.93430000000001</v>
      </c>
    </row>
    <row r="1591" spans="2:3">
      <c r="B1591" s="30">
        <v>40458</v>
      </c>
      <c r="C1591">
        <v>131.96100000000001</v>
      </c>
    </row>
    <row r="1592" spans="2:3">
      <c r="B1592" s="30">
        <v>40459</v>
      </c>
      <c r="C1592">
        <v>132.1798</v>
      </c>
    </row>
    <row r="1593" spans="2:3">
      <c r="B1593" s="30">
        <v>40463</v>
      </c>
      <c r="C1593">
        <v>132.2071</v>
      </c>
    </row>
    <row r="1594" spans="2:3">
      <c r="B1594" s="30">
        <v>40464</v>
      </c>
      <c r="C1594">
        <v>132.6508</v>
      </c>
    </row>
    <row r="1595" spans="2:3">
      <c r="B1595" s="30">
        <v>40465</v>
      </c>
      <c r="C1595">
        <v>132.31489999999999</v>
      </c>
    </row>
    <row r="1596" spans="2:3">
      <c r="B1596" s="30">
        <v>40466</v>
      </c>
      <c r="C1596">
        <v>132.20079999999999</v>
      </c>
    </row>
    <row r="1597" spans="2:3">
      <c r="B1597" s="30">
        <v>40469</v>
      </c>
      <c r="C1597">
        <v>132.6037</v>
      </c>
    </row>
    <row r="1598" spans="2:3">
      <c r="B1598" s="30">
        <v>40470</v>
      </c>
      <c r="C1598">
        <v>132.01859999999999</v>
      </c>
    </row>
    <row r="1599" spans="2:3">
      <c r="B1599" s="30">
        <v>40471</v>
      </c>
      <c r="C1599">
        <v>132.5419</v>
      </c>
    </row>
    <row r="1600" spans="2:3">
      <c r="B1600" s="30">
        <v>40472</v>
      </c>
      <c r="C1600">
        <v>132.45750000000001</v>
      </c>
    </row>
    <row r="1601" spans="2:3">
      <c r="B1601" s="30">
        <v>40473</v>
      </c>
      <c r="C1601">
        <v>132.62209999999999</v>
      </c>
    </row>
    <row r="1602" spans="2:3">
      <c r="B1602" s="30">
        <v>40476</v>
      </c>
      <c r="C1602">
        <v>132.792</v>
      </c>
    </row>
    <row r="1603" spans="2:3">
      <c r="B1603" s="30">
        <v>40477</v>
      </c>
      <c r="C1603">
        <v>132.51339999999999</v>
      </c>
    </row>
    <row r="1604" spans="2:3">
      <c r="B1604" s="30">
        <v>40478</v>
      </c>
      <c r="C1604">
        <v>132.14609999999999</v>
      </c>
    </row>
    <row r="1605" spans="2:3">
      <c r="B1605" s="30">
        <v>40479</v>
      </c>
      <c r="C1605">
        <v>132.36799999999999</v>
      </c>
    </row>
    <row r="1606" spans="2:3">
      <c r="B1606" s="30">
        <v>40480</v>
      </c>
      <c r="C1606">
        <v>132.5745</v>
      </c>
    </row>
    <row r="1607" spans="2:3">
      <c r="B1607" s="30">
        <v>40483</v>
      </c>
      <c r="C1607">
        <v>132.69399999999999</v>
      </c>
    </row>
    <row r="1608" spans="2:3">
      <c r="B1608" s="30">
        <v>40484</v>
      </c>
      <c r="C1608">
        <v>133.30549999999999</v>
      </c>
    </row>
    <row r="1609" spans="2:3">
      <c r="B1609" s="30">
        <v>40485</v>
      </c>
      <c r="C1609">
        <v>133.4494</v>
      </c>
    </row>
    <row r="1610" spans="2:3">
      <c r="B1610" s="30">
        <v>40486</v>
      </c>
      <c r="C1610">
        <v>134.81790000000001</v>
      </c>
    </row>
    <row r="1611" spans="2:3">
      <c r="B1611" s="30">
        <v>40487</v>
      </c>
      <c r="C1611">
        <v>134.80940000000001</v>
      </c>
    </row>
    <row r="1612" spans="2:3">
      <c r="B1612" s="30">
        <v>40490</v>
      </c>
      <c r="C1612">
        <v>134.60069999999999</v>
      </c>
    </row>
    <row r="1613" spans="2:3">
      <c r="B1613" s="30">
        <v>40491</v>
      </c>
      <c r="C1613">
        <v>133.80199999999999</v>
      </c>
    </row>
    <row r="1614" spans="2:3">
      <c r="B1614" s="30">
        <v>40492</v>
      </c>
      <c r="C1614">
        <v>134.0436</v>
      </c>
    </row>
    <row r="1615" spans="2:3">
      <c r="B1615" s="30">
        <v>40494</v>
      </c>
      <c r="C1615">
        <v>132.9169</v>
      </c>
    </row>
    <row r="1616" spans="2:3">
      <c r="B1616" s="30">
        <v>40497</v>
      </c>
      <c r="C1616">
        <v>132.51079999999999</v>
      </c>
    </row>
    <row r="1617" spans="2:3">
      <c r="B1617" s="30">
        <v>40498</v>
      </c>
      <c r="C1617">
        <v>131.98769999999999</v>
      </c>
    </row>
    <row r="1618" spans="2:3">
      <c r="B1618" s="30">
        <v>40499</v>
      </c>
      <c r="C1618">
        <v>132.07859999999999</v>
      </c>
    </row>
    <row r="1619" spans="2:3">
      <c r="B1619" s="30">
        <v>40500</v>
      </c>
      <c r="C1619">
        <v>132.6799</v>
      </c>
    </row>
    <row r="1620" spans="2:3">
      <c r="B1620" s="30">
        <v>40501</v>
      </c>
      <c r="C1620">
        <v>132.75710000000001</v>
      </c>
    </row>
    <row r="1621" spans="2:3">
      <c r="B1621" s="30">
        <v>40504</v>
      </c>
      <c r="C1621">
        <v>132.98419999999999</v>
      </c>
    </row>
    <row r="1622" spans="2:3">
      <c r="B1622" s="30">
        <v>40505</v>
      </c>
      <c r="C1622">
        <v>132.53809999999999</v>
      </c>
    </row>
    <row r="1623" spans="2:3">
      <c r="B1623" s="30">
        <v>40506</v>
      </c>
      <c r="C1623">
        <v>132.48339999999999</v>
      </c>
    </row>
    <row r="1624" spans="2:3">
      <c r="B1624" s="30">
        <v>40508</v>
      </c>
      <c r="C1624">
        <v>132.36770000000001</v>
      </c>
    </row>
    <row r="1625" spans="2:3">
      <c r="B1625" s="30">
        <v>40511</v>
      </c>
      <c r="C1625">
        <v>132.5445</v>
      </c>
    </row>
    <row r="1626" spans="2:3">
      <c r="B1626" s="30">
        <v>40512</v>
      </c>
      <c r="C1626">
        <v>132.53380000000001</v>
      </c>
    </row>
    <row r="1627" spans="2:3">
      <c r="B1627" s="30">
        <v>40513</v>
      </c>
      <c r="C1627">
        <v>132.4023</v>
      </c>
    </row>
    <row r="1628" spans="2:3">
      <c r="B1628" s="30">
        <v>40514</v>
      </c>
      <c r="C1628">
        <v>132.72149999999999</v>
      </c>
    </row>
    <row r="1629" spans="2:3">
      <c r="B1629" s="30">
        <v>40515</v>
      </c>
      <c r="C1629">
        <v>132.8723</v>
      </c>
    </row>
    <row r="1630" spans="2:3">
      <c r="B1630" s="30">
        <v>40518</v>
      </c>
      <c r="C1630">
        <v>133.2919</v>
      </c>
    </row>
    <row r="1631" spans="2:3">
      <c r="B1631" s="30">
        <v>40519</v>
      </c>
      <c r="C1631">
        <v>132.3587</v>
      </c>
    </row>
    <row r="1632" spans="2:3">
      <c r="B1632" s="30">
        <v>40520</v>
      </c>
      <c r="C1632">
        <v>132.17840000000001</v>
      </c>
    </row>
    <row r="1633" spans="2:3">
      <c r="B1633" s="30">
        <v>40521</v>
      </c>
      <c r="C1633">
        <v>132.25980000000001</v>
      </c>
    </row>
    <row r="1634" spans="2:3">
      <c r="B1634" s="30">
        <v>40522</v>
      </c>
      <c r="C1634">
        <v>132.20089999999999</v>
      </c>
    </row>
    <row r="1635" spans="2:3">
      <c r="B1635" s="30">
        <v>40525</v>
      </c>
      <c r="C1635">
        <v>132.44329999999999</v>
      </c>
    </row>
    <row r="1636" spans="2:3">
      <c r="B1636" s="30">
        <v>40526</v>
      </c>
      <c r="C1636">
        <v>131.69710000000001</v>
      </c>
    </row>
    <row r="1637" spans="2:3">
      <c r="B1637" s="30">
        <v>40527</v>
      </c>
      <c r="C1637">
        <v>131.3801</v>
      </c>
    </row>
    <row r="1638" spans="2:3">
      <c r="B1638" s="30">
        <v>40528</v>
      </c>
      <c r="C1638">
        <v>131.6455</v>
      </c>
    </row>
    <row r="1639" spans="2:3">
      <c r="B1639" s="30">
        <v>40529</v>
      </c>
      <c r="C1639">
        <v>132.23759999999999</v>
      </c>
    </row>
    <row r="1640" spans="2:3">
      <c r="B1640" s="30">
        <v>40532</v>
      </c>
      <c r="C1640">
        <v>132.21899999999999</v>
      </c>
    </row>
    <row r="1641" spans="2:3">
      <c r="B1641" s="30">
        <v>40533</v>
      </c>
      <c r="C1641">
        <v>132.47800000000001</v>
      </c>
    </row>
    <row r="1642" spans="2:3">
      <c r="B1642" s="30">
        <v>40534</v>
      </c>
      <c r="C1642">
        <v>132.416</v>
      </c>
    </row>
    <row r="1643" spans="2:3">
      <c r="B1643" s="30">
        <v>40535</v>
      </c>
      <c r="C1643">
        <v>132.1771</v>
      </c>
    </row>
    <row r="1644" spans="2:3">
      <c r="B1644" s="30">
        <v>40539</v>
      </c>
      <c r="C1644">
        <v>132.3391</v>
      </c>
    </row>
    <row r="1645" spans="2:3">
      <c r="B1645" s="30">
        <v>40540</v>
      </c>
      <c r="C1645">
        <v>131.88919999999999</v>
      </c>
    </row>
    <row r="1646" spans="2:3">
      <c r="B1646" s="30">
        <v>40541</v>
      </c>
      <c r="C1646">
        <v>132.60759999999999</v>
      </c>
    </row>
    <row r="1647" spans="2:3">
      <c r="B1647" s="30">
        <v>40542</v>
      </c>
      <c r="C1647">
        <v>132.43719999999999</v>
      </c>
    </row>
    <row r="1648" spans="2:3">
      <c r="B1648" s="30">
        <v>40543</v>
      </c>
      <c r="C1648">
        <v>132.70920000000001</v>
      </c>
    </row>
    <row r="1649" spans="2:3">
      <c r="B1649" s="30">
        <v>40546</v>
      </c>
      <c r="C1649">
        <v>132.94909999999999</v>
      </c>
    </row>
    <row r="1650" spans="2:3">
      <c r="B1650" s="30">
        <v>40547</v>
      </c>
      <c r="C1650">
        <v>132.96870000000001</v>
      </c>
    </row>
    <row r="1651" spans="2:3">
      <c r="B1651" s="30">
        <v>40548</v>
      </c>
      <c r="C1651">
        <v>132.542</v>
      </c>
    </row>
    <row r="1652" spans="2:3">
      <c r="B1652" s="30">
        <v>40549</v>
      </c>
      <c r="C1652">
        <v>132.6474</v>
      </c>
    </row>
    <row r="1653" spans="2:3">
      <c r="B1653" s="30">
        <v>40550</v>
      </c>
      <c r="C1653">
        <v>132.91370000000001</v>
      </c>
    </row>
    <row r="1654" spans="2:3">
      <c r="B1654" s="30">
        <v>40553</v>
      </c>
      <c r="C1654">
        <v>132.92230000000001</v>
      </c>
    </row>
    <row r="1655" spans="2:3">
      <c r="B1655" s="30">
        <v>40554</v>
      </c>
      <c r="C1655">
        <v>133.08920000000001</v>
      </c>
    </row>
    <row r="1656" spans="2:3">
      <c r="B1656" s="30">
        <v>40555</v>
      </c>
      <c r="C1656">
        <v>133.63</v>
      </c>
    </row>
    <row r="1657" spans="2:3">
      <c r="B1657" s="30">
        <v>40556</v>
      </c>
      <c r="C1657">
        <v>133.7268</v>
      </c>
    </row>
    <row r="1658" spans="2:3">
      <c r="B1658" s="30">
        <v>40557</v>
      </c>
      <c r="C1658">
        <v>134.01689999999999</v>
      </c>
    </row>
    <row r="1659" spans="2:3">
      <c r="B1659" s="30">
        <v>40561</v>
      </c>
      <c r="C1659">
        <v>134.20240000000001</v>
      </c>
    </row>
    <row r="1660" spans="2:3">
      <c r="B1660" s="30">
        <v>40562</v>
      </c>
      <c r="C1660">
        <v>133.51310000000001</v>
      </c>
    </row>
    <row r="1661" spans="2:3">
      <c r="B1661" s="30">
        <v>40563</v>
      </c>
      <c r="C1661">
        <v>133.02189999999999</v>
      </c>
    </row>
    <row r="1662" spans="2:3">
      <c r="B1662" s="30">
        <v>40564</v>
      </c>
      <c r="C1662">
        <v>133.36330000000001</v>
      </c>
    </row>
    <row r="1663" spans="2:3">
      <c r="B1663" s="30">
        <v>40567</v>
      </c>
      <c r="C1663">
        <v>133.85220000000001</v>
      </c>
    </row>
    <row r="1664" spans="2:3">
      <c r="B1664" s="30">
        <v>40568</v>
      </c>
      <c r="C1664">
        <v>134.06139999999999</v>
      </c>
    </row>
    <row r="1665" spans="2:3">
      <c r="B1665" s="30">
        <v>40569</v>
      </c>
      <c r="C1665">
        <v>134.11940000000001</v>
      </c>
    </row>
    <row r="1666" spans="2:3">
      <c r="B1666" s="30">
        <v>40570</v>
      </c>
      <c r="C1666">
        <v>134.40129999999999</v>
      </c>
    </row>
    <row r="1667" spans="2:3">
      <c r="B1667" s="30">
        <v>40571</v>
      </c>
      <c r="C1667">
        <v>133.1635</v>
      </c>
    </row>
    <row r="1668" spans="2:3">
      <c r="B1668" s="30">
        <v>40574</v>
      </c>
      <c r="C1668">
        <v>133.6876</v>
      </c>
    </row>
    <row r="1669" spans="2:3">
      <c r="B1669" s="30">
        <v>40575</v>
      </c>
      <c r="C1669">
        <v>134.59360000000001</v>
      </c>
    </row>
    <row r="1670" spans="2:3">
      <c r="B1670" s="30">
        <v>40576</v>
      </c>
      <c r="C1670">
        <v>134.28020000000001</v>
      </c>
    </row>
    <row r="1671" spans="2:3">
      <c r="B1671" s="30">
        <v>40577</v>
      </c>
      <c r="C1671">
        <v>134.27109999999999</v>
      </c>
    </row>
    <row r="1672" spans="2:3">
      <c r="B1672" s="30">
        <v>40578</v>
      </c>
      <c r="C1672">
        <v>134.07380000000001</v>
      </c>
    </row>
    <row r="1673" spans="2:3">
      <c r="B1673" s="30">
        <v>40581</v>
      </c>
      <c r="C1673">
        <v>134.50579999999999</v>
      </c>
    </row>
    <row r="1674" spans="2:3">
      <c r="B1674" s="30">
        <v>40582</v>
      </c>
      <c r="C1674">
        <v>134.46369999999999</v>
      </c>
    </row>
    <row r="1675" spans="2:3">
      <c r="B1675" s="30">
        <v>40583</v>
      </c>
      <c r="C1675">
        <v>134.59979999999999</v>
      </c>
    </row>
    <row r="1676" spans="2:3">
      <c r="B1676" s="30">
        <v>40584</v>
      </c>
      <c r="C1676">
        <v>134.29929999999999</v>
      </c>
    </row>
    <row r="1677" spans="2:3">
      <c r="B1677" s="30">
        <v>40585</v>
      </c>
      <c r="C1677">
        <v>134.88489999999999</v>
      </c>
    </row>
    <row r="1678" spans="2:3">
      <c r="B1678" s="30">
        <v>40588</v>
      </c>
      <c r="C1678">
        <v>134.9803</v>
      </c>
    </row>
    <row r="1679" spans="2:3">
      <c r="B1679" s="30">
        <v>40589</v>
      </c>
      <c r="C1679">
        <v>134.93600000000001</v>
      </c>
    </row>
    <row r="1680" spans="2:3">
      <c r="B1680" s="30">
        <v>40590</v>
      </c>
      <c r="C1680">
        <v>135.20779999999999</v>
      </c>
    </row>
    <row r="1681" spans="2:3">
      <c r="B1681" s="30">
        <v>40591</v>
      </c>
      <c r="C1681">
        <v>135.64680000000001</v>
      </c>
    </row>
    <row r="1682" spans="2:3">
      <c r="B1682" s="30">
        <v>40592</v>
      </c>
      <c r="C1682">
        <v>135.86969999999999</v>
      </c>
    </row>
    <row r="1683" spans="2:3">
      <c r="B1683" s="30">
        <v>40596</v>
      </c>
      <c r="C1683">
        <v>134.91720000000001</v>
      </c>
    </row>
    <row r="1684" spans="2:3">
      <c r="B1684" s="30">
        <v>40597</v>
      </c>
      <c r="C1684">
        <v>134.3673</v>
      </c>
    </row>
    <row r="1685" spans="2:3">
      <c r="B1685" s="30">
        <v>40598</v>
      </c>
      <c r="C1685">
        <v>134.3974</v>
      </c>
    </row>
    <row r="1686" spans="2:3">
      <c r="B1686" s="30">
        <v>40599</v>
      </c>
      <c r="C1686">
        <v>135.179</v>
      </c>
    </row>
    <row r="1687" spans="2:3">
      <c r="B1687" s="30">
        <v>40602</v>
      </c>
      <c r="C1687">
        <v>135.61340000000001</v>
      </c>
    </row>
    <row r="1688" spans="2:3">
      <c r="B1688" s="30">
        <v>40603</v>
      </c>
      <c r="C1688">
        <v>134.63810000000001</v>
      </c>
    </row>
    <row r="1689" spans="2:3">
      <c r="B1689" s="30">
        <v>40604</v>
      </c>
      <c r="C1689">
        <v>134.63200000000001</v>
      </c>
    </row>
    <row r="1690" spans="2:3">
      <c r="B1690" s="30">
        <v>40605</v>
      </c>
      <c r="C1690">
        <v>135.1808</v>
      </c>
    </row>
    <row r="1691" spans="2:3">
      <c r="B1691" s="30">
        <v>40606</v>
      </c>
      <c r="C1691">
        <v>135.1403</v>
      </c>
    </row>
    <row r="1692" spans="2:3">
      <c r="B1692" s="30">
        <v>40609</v>
      </c>
      <c r="C1692">
        <v>134.666</v>
      </c>
    </row>
    <row r="1693" spans="2:3">
      <c r="B1693" s="30">
        <v>40610</v>
      </c>
      <c r="C1693">
        <v>134.9401</v>
      </c>
    </row>
    <row r="1694" spans="2:3">
      <c r="B1694" s="30">
        <v>40611</v>
      </c>
      <c r="C1694">
        <v>135.0249</v>
      </c>
    </row>
    <row r="1695" spans="2:3">
      <c r="B1695" s="30">
        <v>40612</v>
      </c>
      <c r="C1695">
        <v>134.51609999999999</v>
      </c>
    </row>
    <row r="1696" spans="2:3">
      <c r="B1696" s="30">
        <v>40613</v>
      </c>
      <c r="C1696">
        <v>135.01929999999999</v>
      </c>
    </row>
    <row r="1697" spans="2:3">
      <c r="B1697" s="30">
        <v>40616</v>
      </c>
      <c r="C1697">
        <v>134.85419999999999</v>
      </c>
    </row>
    <row r="1698" spans="2:3">
      <c r="B1698" s="30">
        <v>40617</v>
      </c>
      <c r="C1698">
        <v>134.35659999999999</v>
      </c>
    </row>
    <row r="1699" spans="2:3">
      <c r="B1699" s="30">
        <v>40618</v>
      </c>
      <c r="C1699">
        <v>133.93530000000001</v>
      </c>
    </row>
    <row r="1700" spans="2:3">
      <c r="B1700" s="30">
        <v>40619</v>
      </c>
      <c r="C1700">
        <v>134.3407</v>
      </c>
    </row>
    <row r="1701" spans="2:3">
      <c r="B1701" s="30">
        <v>40620</v>
      </c>
      <c r="C1701">
        <v>134.5016</v>
      </c>
    </row>
    <row r="1702" spans="2:3">
      <c r="B1702" s="30">
        <v>40623</v>
      </c>
      <c r="C1702">
        <v>134.92420000000001</v>
      </c>
    </row>
    <row r="1703" spans="2:3">
      <c r="B1703" s="30">
        <v>40624</v>
      </c>
      <c r="C1703">
        <v>134.69049999999999</v>
      </c>
    </row>
    <row r="1704" spans="2:3">
      <c r="B1704" s="30">
        <v>40625</v>
      </c>
      <c r="C1704">
        <v>134.7801</v>
      </c>
    </row>
    <row r="1705" spans="2:3">
      <c r="B1705" s="30">
        <v>40626</v>
      </c>
      <c r="C1705">
        <v>135.08619999999999</v>
      </c>
    </row>
    <row r="1706" spans="2:3">
      <c r="B1706" s="30">
        <v>40627</v>
      </c>
      <c r="C1706">
        <v>135.03659999999999</v>
      </c>
    </row>
    <row r="1707" spans="2:3">
      <c r="B1707" s="30">
        <v>40630</v>
      </c>
      <c r="C1707">
        <v>134.72030000000001</v>
      </c>
    </row>
    <row r="1708" spans="2:3">
      <c r="B1708" s="30">
        <v>40631</v>
      </c>
      <c r="C1708">
        <v>135.0575</v>
      </c>
    </row>
    <row r="1709" spans="2:3">
      <c r="B1709" s="30">
        <v>40632</v>
      </c>
      <c r="C1709">
        <v>135.5171</v>
      </c>
    </row>
    <row r="1710" spans="2:3">
      <c r="B1710" s="30">
        <v>40633</v>
      </c>
      <c r="C1710">
        <v>135.38589999999999</v>
      </c>
    </row>
    <row r="1711" spans="2:3">
      <c r="B1711" s="30">
        <v>40634</v>
      </c>
      <c r="C1711">
        <v>135.62989999999999</v>
      </c>
    </row>
    <row r="1712" spans="2:3">
      <c r="B1712" s="30">
        <v>40637</v>
      </c>
      <c r="C1712">
        <v>135.81720000000001</v>
      </c>
    </row>
    <row r="1713" spans="2:3">
      <c r="B1713" s="30">
        <v>40638</v>
      </c>
      <c r="C1713">
        <v>135.4872</v>
      </c>
    </row>
    <row r="1714" spans="2:3">
      <c r="B1714" s="30">
        <v>40639</v>
      </c>
      <c r="C1714">
        <v>135.39519999999999</v>
      </c>
    </row>
    <row r="1715" spans="2:3">
      <c r="B1715" s="30">
        <v>40640</v>
      </c>
      <c r="C1715">
        <v>135.40090000000001</v>
      </c>
    </row>
    <row r="1716" spans="2:3">
      <c r="B1716" s="30">
        <v>40641</v>
      </c>
      <c r="C1716">
        <v>135.1568</v>
      </c>
    </row>
    <row r="1717" spans="2:3">
      <c r="B1717" s="30">
        <v>40644</v>
      </c>
      <c r="C1717">
        <v>134.99430000000001</v>
      </c>
    </row>
    <row r="1718" spans="2:3">
      <c r="B1718" s="30">
        <v>40645</v>
      </c>
      <c r="C1718">
        <v>134.83529999999999</v>
      </c>
    </row>
    <row r="1719" spans="2:3">
      <c r="B1719" s="30">
        <v>40646</v>
      </c>
      <c r="C1719">
        <v>134.98949999999999</v>
      </c>
    </row>
    <row r="1720" spans="2:3">
      <c r="B1720" s="30">
        <v>40647</v>
      </c>
      <c r="C1720">
        <v>134.9691</v>
      </c>
    </row>
    <row r="1721" spans="2:3">
      <c r="B1721" s="30">
        <v>40648</v>
      </c>
      <c r="C1721">
        <v>135.6722</v>
      </c>
    </row>
    <row r="1722" spans="2:3">
      <c r="B1722" s="30">
        <v>40651</v>
      </c>
      <c r="C1722">
        <v>135.0804</v>
      </c>
    </row>
    <row r="1723" spans="2:3">
      <c r="B1723" s="30">
        <v>40652</v>
      </c>
      <c r="C1723">
        <v>135.46250000000001</v>
      </c>
    </row>
    <row r="1724" spans="2:3">
      <c r="B1724" s="30">
        <v>40653</v>
      </c>
      <c r="C1724">
        <v>136.1403</v>
      </c>
    </row>
    <row r="1725" spans="2:3">
      <c r="B1725" s="30">
        <v>40654</v>
      </c>
      <c r="C1725">
        <v>136.2561</v>
      </c>
    </row>
    <row r="1726" spans="2:3">
      <c r="B1726" s="30">
        <v>40658</v>
      </c>
      <c r="C1726">
        <v>136.40610000000001</v>
      </c>
    </row>
    <row r="1727" spans="2:3">
      <c r="B1727" s="30">
        <v>40659</v>
      </c>
      <c r="C1727">
        <v>137.02359999999999</v>
      </c>
    </row>
    <row r="1728" spans="2:3">
      <c r="B1728" s="30">
        <v>40660</v>
      </c>
      <c r="C1728">
        <v>137.33349999999999</v>
      </c>
    </row>
    <row r="1729" spans="2:3">
      <c r="B1729" s="30">
        <v>40661</v>
      </c>
      <c r="C1729">
        <v>137.7901</v>
      </c>
    </row>
    <row r="1730" spans="2:3">
      <c r="B1730" s="30">
        <v>40662</v>
      </c>
      <c r="C1730">
        <v>138.1121</v>
      </c>
    </row>
    <row r="1731" spans="2:3">
      <c r="B1731" s="30">
        <v>40665</v>
      </c>
      <c r="C1731">
        <v>138.05789999999999</v>
      </c>
    </row>
    <row r="1732" spans="2:3">
      <c r="B1732" s="30">
        <v>40666</v>
      </c>
      <c r="C1732">
        <v>137.8964</v>
      </c>
    </row>
    <row r="1733" spans="2:3">
      <c r="B1733" s="30">
        <v>40667</v>
      </c>
      <c r="C1733">
        <v>137.56399999999999</v>
      </c>
    </row>
    <row r="1734" spans="2:3">
      <c r="B1734" s="30">
        <v>40668</v>
      </c>
      <c r="C1734">
        <v>137.36670000000001</v>
      </c>
    </row>
    <row r="1735" spans="2:3">
      <c r="B1735" s="30">
        <v>40669</v>
      </c>
      <c r="C1735">
        <v>137.41640000000001</v>
      </c>
    </row>
    <row r="1736" spans="2:3">
      <c r="B1736" s="30">
        <v>40672</v>
      </c>
      <c r="C1736">
        <v>137.88560000000001</v>
      </c>
    </row>
    <row r="1737" spans="2:3">
      <c r="B1737" s="30">
        <v>40673</v>
      </c>
      <c r="C1737">
        <v>138.2593</v>
      </c>
    </row>
    <row r="1738" spans="2:3">
      <c r="B1738" s="30">
        <v>40674</v>
      </c>
      <c r="C1738">
        <v>137.68510000000001</v>
      </c>
    </row>
    <row r="1739" spans="2:3">
      <c r="B1739" s="30">
        <v>40675</v>
      </c>
      <c r="C1739">
        <v>137.9973</v>
      </c>
    </row>
    <row r="1740" spans="2:3">
      <c r="B1740" s="30">
        <v>40676</v>
      </c>
      <c r="C1740">
        <v>137.46719999999999</v>
      </c>
    </row>
    <row r="1741" spans="2:3">
      <c r="B1741" s="30">
        <v>40679</v>
      </c>
      <c r="C1741">
        <v>137.1798</v>
      </c>
    </row>
    <row r="1742" spans="2:3">
      <c r="B1742" s="30">
        <v>40680</v>
      </c>
      <c r="C1742">
        <v>137.27260000000001</v>
      </c>
    </row>
    <row r="1743" spans="2:3">
      <c r="B1743" s="30">
        <v>40681</v>
      </c>
      <c r="C1743">
        <v>137.72460000000001</v>
      </c>
    </row>
    <row r="1744" spans="2:3">
      <c r="B1744" s="30">
        <v>40682</v>
      </c>
      <c r="C1744">
        <v>137.91890000000001</v>
      </c>
    </row>
    <row r="1745" spans="2:3">
      <c r="B1745" s="30">
        <v>40683</v>
      </c>
      <c r="C1745">
        <v>137.28399999999999</v>
      </c>
    </row>
    <row r="1746" spans="2:3">
      <c r="B1746" s="30">
        <v>40686</v>
      </c>
      <c r="C1746">
        <v>136.6514</v>
      </c>
    </row>
    <row r="1747" spans="2:3">
      <c r="B1747" s="30">
        <v>40687</v>
      </c>
      <c r="C1747">
        <v>136.60390000000001</v>
      </c>
    </row>
    <row r="1748" spans="2:3">
      <c r="B1748" s="30">
        <v>40688</v>
      </c>
      <c r="C1748">
        <v>136.7688</v>
      </c>
    </row>
    <row r="1749" spans="2:3">
      <c r="B1749" s="30">
        <v>40689</v>
      </c>
      <c r="C1749">
        <v>137.5369</v>
      </c>
    </row>
    <row r="1750" spans="2:3">
      <c r="B1750" s="30">
        <v>40690</v>
      </c>
      <c r="C1750">
        <v>137.73390000000001</v>
      </c>
    </row>
    <row r="1751" spans="2:3">
      <c r="B1751" s="30">
        <v>40694</v>
      </c>
      <c r="C1751">
        <v>138.5427</v>
      </c>
    </row>
    <row r="1752" spans="2:3">
      <c r="B1752" s="30">
        <v>40695</v>
      </c>
      <c r="C1752">
        <v>137.14330000000001</v>
      </c>
    </row>
    <row r="1753" spans="2:3">
      <c r="B1753" s="30">
        <v>40696</v>
      </c>
      <c r="C1753">
        <v>136.94890000000001</v>
      </c>
    </row>
    <row r="1754" spans="2:3">
      <c r="B1754" s="30">
        <v>40697</v>
      </c>
      <c r="C1754">
        <v>136.33500000000001</v>
      </c>
    </row>
    <row r="1755" spans="2:3">
      <c r="B1755" s="30">
        <v>40700</v>
      </c>
      <c r="C1755">
        <v>135.8175</v>
      </c>
    </row>
    <row r="1756" spans="2:3">
      <c r="B1756" s="30">
        <v>40701</v>
      </c>
      <c r="C1756">
        <v>135.8143</v>
      </c>
    </row>
    <row r="1757" spans="2:3">
      <c r="B1757" s="30">
        <v>40702</v>
      </c>
      <c r="C1757">
        <v>135.71299999999999</v>
      </c>
    </row>
    <row r="1758" spans="2:3">
      <c r="B1758" s="30">
        <v>40703</v>
      </c>
      <c r="C1758">
        <v>135.92519999999999</v>
      </c>
    </row>
    <row r="1759" spans="2:3">
      <c r="B1759" s="30">
        <v>40704</v>
      </c>
      <c r="C1759">
        <v>135.3167</v>
      </c>
    </row>
    <row r="1760" spans="2:3">
      <c r="B1760" s="30">
        <v>40707</v>
      </c>
      <c r="C1760">
        <v>135.33590000000001</v>
      </c>
    </row>
    <row r="1761" spans="2:3">
      <c r="B1761" s="30">
        <v>40708</v>
      </c>
      <c r="C1761">
        <v>135.68610000000001</v>
      </c>
    </row>
    <row r="1762" spans="2:3">
      <c r="B1762" s="30">
        <v>40709</v>
      </c>
      <c r="C1762">
        <v>135.17699999999999</v>
      </c>
    </row>
    <row r="1763" spans="2:3">
      <c r="B1763" s="30">
        <v>40710</v>
      </c>
      <c r="C1763">
        <v>135.5043</v>
      </c>
    </row>
    <row r="1764" spans="2:3">
      <c r="B1764" s="30">
        <v>40711</v>
      </c>
      <c r="C1764">
        <v>135.50919999999999</v>
      </c>
    </row>
    <row r="1765" spans="2:3">
      <c r="B1765" s="30">
        <v>40714</v>
      </c>
      <c r="C1765">
        <v>135.78270000000001</v>
      </c>
    </row>
    <row r="1766" spans="2:3">
      <c r="B1766" s="30">
        <v>40715</v>
      </c>
      <c r="C1766">
        <v>136.3237</v>
      </c>
    </row>
    <row r="1767" spans="2:3">
      <c r="B1767" s="30">
        <v>40716</v>
      </c>
      <c r="C1767">
        <v>135.99119999999999</v>
      </c>
    </row>
    <row r="1768" spans="2:3">
      <c r="B1768" s="30">
        <v>40717</v>
      </c>
      <c r="C1768">
        <v>136.1979</v>
      </c>
    </row>
    <row r="1769" spans="2:3">
      <c r="B1769" s="30">
        <v>40718</v>
      </c>
      <c r="C1769">
        <v>135.7747</v>
      </c>
    </row>
    <row r="1770" spans="2:3">
      <c r="B1770" s="30">
        <v>40721</v>
      </c>
      <c r="C1770">
        <v>136.0136</v>
      </c>
    </row>
    <row r="1771" spans="2:3">
      <c r="B1771" s="30">
        <v>40722</v>
      </c>
      <c r="C1771">
        <v>136.2851</v>
      </c>
    </row>
    <row r="1772" spans="2:3">
      <c r="B1772" s="30">
        <v>40723</v>
      </c>
      <c r="C1772">
        <v>136.55109999999999</v>
      </c>
    </row>
    <row r="1773" spans="2:3">
      <c r="B1773" s="30">
        <v>40724</v>
      </c>
      <c r="C1773">
        <v>136.8913</v>
      </c>
    </row>
    <row r="1774" spans="2:3">
      <c r="B1774" s="30">
        <v>40725</v>
      </c>
      <c r="C1774">
        <v>137.55510000000001</v>
      </c>
    </row>
    <row r="1775" spans="2:3">
      <c r="B1775" s="30">
        <v>40729</v>
      </c>
      <c r="C1775">
        <v>137.8828</v>
      </c>
    </row>
    <row r="1776" spans="2:3">
      <c r="B1776" s="30">
        <v>40730</v>
      </c>
      <c r="C1776">
        <v>137.9829</v>
      </c>
    </row>
    <row r="1777" spans="2:3">
      <c r="B1777" s="30">
        <v>40731</v>
      </c>
      <c r="C1777">
        <v>138.45249999999999</v>
      </c>
    </row>
    <row r="1778" spans="2:3">
      <c r="B1778" s="30">
        <v>40732</v>
      </c>
      <c r="C1778">
        <v>138.5718</v>
      </c>
    </row>
    <row r="1779" spans="2:3">
      <c r="B1779" s="30">
        <v>40735</v>
      </c>
      <c r="C1779">
        <v>137.9008</v>
      </c>
    </row>
    <row r="1780" spans="2:3">
      <c r="B1780" s="30">
        <v>40736</v>
      </c>
      <c r="C1780">
        <v>137.58789999999999</v>
      </c>
    </row>
    <row r="1781" spans="2:3">
      <c r="B1781" s="30">
        <v>40737</v>
      </c>
      <c r="C1781">
        <v>137.755</v>
      </c>
    </row>
    <row r="1782" spans="2:3">
      <c r="B1782" s="30">
        <v>40738</v>
      </c>
      <c r="C1782">
        <v>137.34809999999999</v>
      </c>
    </row>
    <row r="1783" spans="2:3">
      <c r="B1783" s="30">
        <v>40739</v>
      </c>
      <c r="C1783">
        <v>137.8237</v>
      </c>
    </row>
    <row r="1784" spans="2:3">
      <c r="B1784" s="30">
        <v>40742</v>
      </c>
      <c r="C1784">
        <v>137.1592</v>
      </c>
    </row>
    <row r="1785" spans="2:3">
      <c r="B1785" s="30">
        <v>40743</v>
      </c>
      <c r="C1785">
        <v>138.1728</v>
      </c>
    </row>
    <row r="1786" spans="2:3">
      <c r="B1786" s="30">
        <v>40744</v>
      </c>
      <c r="C1786">
        <v>138.05969999999999</v>
      </c>
    </row>
    <row r="1787" spans="2:3">
      <c r="B1787" s="30">
        <v>40745</v>
      </c>
      <c r="C1787">
        <v>138.66239999999999</v>
      </c>
    </row>
    <row r="1788" spans="2:3">
      <c r="B1788" s="30">
        <v>40746</v>
      </c>
      <c r="C1788">
        <v>138.7885</v>
      </c>
    </row>
    <row r="1789" spans="2:3">
      <c r="B1789" s="30">
        <v>40749</v>
      </c>
      <c r="C1789">
        <v>138.30969999999999</v>
      </c>
    </row>
    <row r="1790" spans="2:3">
      <c r="B1790" s="30">
        <v>40750</v>
      </c>
      <c r="C1790">
        <v>138.25309999999999</v>
      </c>
    </row>
    <row r="1791" spans="2:3">
      <c r="B1791" s="30">
        <v>40751</v>
      </c>
      <c r="C1791">
        <v>137.029</v>
      </c>
    </row>
    <row r="1792" spans="2:3">
      <c r="B1792" s="30">
        <v>40752</v>
      </c>
      <c r="C1792">
        <v>137.09139999999999</v>
      </c>
    </row>
    <row r="1793" spans="2:3">
      <c r="B1793" s="30">
        <v>40753</v>
      </c>
      <c r="C1793">
        <v>137.39920000000001</v>
      </c>
    </row>
    <row r="1794" spans="2:3">
      <c r="B1794" s="30">
        <v>40756</v>
      </c>
      <c r="C1794">
        <v>137.2884</v>
      </c>
    </row>
    <row r="1795" spans="2:3">
      <c r="B1795" s="30">
        <v>40757</v>
      </c>
      <c r="C1795">
        <v>136.4006</v>
      </c>
    </row>
    <row r="1796" spans="2:3">
      <c r="B1796" s="30">
        <v>40758</v>
      </c>
      <c r="C1796">
        <v>136.77869999999999</v>
      </c>
    </row>
    <row r="1797" spans="2:3">
      <c r="B1797" s="30">
        <v>40759</v>
      </c>
      <c r="C1797">
        <v>135.06469999999999</v>
      </c>
    </row>
    <row r="1798" spans="2:3">
      <c r="B1798" s="30">
        <v>40760</v>
      </c>
      <c r="C1798">
        <v>134.6189</v>
      </c>
    </row>
    <row r="1799" spans="2:3">
      <c r="B1799" s="30">
        <v>40763</v>
      </c>
      <c r="C1799">
        <v>132.1225</v>
      </c>
    </row>
    <row r="1800" spans="2:3">
      <c r="B1800" s="30">
        <v>40764</v>
      </c>
      <c r="C1800">
        <v>134.90940000000001</v>
      </c>
    </row>
    <row r="1801" spans="2:3">
      <c r="B1801" s="30">
        <v>40765</v>
      </c>
      <c r="C1801">
        <v>133.53030000000001</v>
      </c>
    </row>
    <row r="1802" spans="2:3">
      <c r="B1802" s="30">
        <v>40766</v>
      </c>
      <c r="C1802">
        <v>134.01679999999999</v>
      </c>
    </row>
    <row r="1803" spans="2:3">
      <c r="B1803" s="30">
        <v>40767</v>
      </c>
      <c r="C1803">
        <v>134.6465</v>
      </c>
    </row>
    <row r="1804" spans="2:3">
      <c r="B1804" s="30">
        <v>40770</v>
      </c>
      <c r="C1804">
        <v>134.9966</v>
      </c>
    </row>
    <row r="1805" spans="2:3">
      <c r="B1805" s="30">
        <v>40771</v>
      </c>
      <c r="C1805">
        <v>135.15950000000001</v>
      </c>
    </row>
    <row r="1806" spans="2:3">
      <c r="B1806" s="30">
        <v>40772</v>
      </c>
      <c r="C1806">
        <v>135.4616</v>
      </c>
    </row>
    <row r="1807" spans="2:3">
      <c r="B1807" s="30">
        <v>40773</v>
      </c>
      <c r="C1807">
        <v>135.27699999999999</v>
      </c>
    </row>
    <row r="1808" spans="2:3">
      <c r="B1808" s="30">
        <v>40774</v>
      </c>
      <c r="C1808">
        <v>135.07769999999999</v>
      </c>
    </row>
    <row r="1809" spans="2:3">
      <c r="B1809" s="30">
        <v>40777</v>
      </c>
      <c r="C1809">
        <v>134.84809999999999</v>
      </c>
    </row>
    <row r="1810" spans="2:3">
      <c r="B1810" s="30">
        <v>40778</v>
      </c>
      <c r="C1810">
        <v>134.8099</v>
      </c>
    </row>
    <row r="1811" spans="2:3">
      <c r="B1811" s="30">
        <v>40779</v>
      </c>
      <c r="C1811">
        <v>134.3134</v>
      </c>
    </row>
    <row r="1812" spans="2:3">
      <c r="B1812" s="30">
        <v>40780</v>
      </c>
      <c r="C1812">
        <v>134.49590000000001</v>
      </c>
    </row>
    <row r="1813" spans="2:3">
      <c r="B1813" s="30">
        <v>40781</v>
      </c>
      <c r="C1813">
        <v>134.83920000000001</v>
      </c>
    </row>
    <row r="1814" spans="2:3">
      <c r="B1814" s="30">
        <v>40784</v>
      </c>
      <c r="C1814">
        <v>134.76519999999999</v>
      </c>
    </row>
    <row r="1815" spans="2:3">
      <c r="B1815" s="30">
        <v>40785</v>
      </c>
      <c r="C1815">
        <v>135.3793</v>
      </c>
    </row>
    <row r="1816" spans="2:3">
      <c r="B1816" s="30">
        <v>40786</v>
      </c>
      <c r="C1816">
        <v>135.24440000000001</v>
      </c>
    </row>
    <row r="1817" spans="2:3">
      <c r="B1817" s="30">
        <v>40787</v>
      </c>
      <c r="C1817">
        <v>135.42689999999999</v>
      </c>
    </row>
    <row r="1818" spans="2:3">
      <c r="B1818" s="30">
        <v>40788</v>
      </c>
      <c r="C1818">
        <v>135.78319999999999</v>
      </c>
    </row>
    <row r="1819" spans="2:3">
      <c r="B1819" s="30">
        <v>40792</v>
      </c>
      <c r="C1819">
        <v>135.637</v>
      </c>
    </row>
    <row r="1820" spans="2:3">
      <c r="B1820" s="30">
        <v>40793</v>
      </c>
      <c r="C1820">
        <v>135.69909999999999</v>
      </c>
    </row>
    <row r="1821" spans="2:3">
      <c r="B1821" s="30">
        <v>40794</v>
      </c>
      <c r="C1821">
        <v>135.7063</v>
      </c>
    </row>
    <row r="1822" spans="2:3">
      <c r="B1822" s="30">
        <v>40795</v>
      </c>
      <c r="C1822">
        <v>135.5026</v>
      </c>
    </row>
    <row r="1823" spans="2:3">
      <c r="B1823" s="30">
        <v>40798</v>
      </c>
      <c r="C1823">
        <v>135.29470000000001</v>
      </c>
    </row>
    <row r="1824" spans="2:3">
      <c r="B1824" s="30">
        <v>40799</v>
      </c>
      <c r="C1824">
        <v>135.2611</v>
      </c>
    </row>
    <row r="1825" spans="2:3">
      <c r="B1825" s="30">
        <v>40800</v>
      </c>
      <c r="C1825">
        <v>135.52760000000001</v>
      </c>
    </row>
    <row r="1826" spans="2:3">
      <c r="B1826" s="30">
        <v>40801</v>
      </c>
      <c r="C1826">
        <v>135.6387</v>
      </c>
    </row>
    <row r="1827" spans="2:3">
      <c r="B1827" s="30">
        <v>40802</v>
      </c>
      <c r="C1827">
        <v>135.79669999999999</v>
      </c>
    </row>
    <row r="1828" spans="2:3">
      <c r="B1828" s="30">
        <v>40805</v>
      </c>
      <c r="C1828">
        <v>136.2302</v>
      </c>
    </row>
    <row r="1829" spans="2:3">
      <c r="B1829" s="30">
        <v>40806</v>
      </c>
      <c r="C1829">
        <v>136.16390000000001</v>
      </c>
    </row>
    <row r="1830" spans="2:3">
      <c r="B1830" s="30">
        <v>40807</v>
      </c>
      <c r="C1830">
        <v>135.75559999999999</v>
      </c>
    </row>
    <row r="1831" spans="2:3">
      <c r="B1831" s="30">
        <v>40808</v>
      </c>
      <c r="C1831">
        <v>135.95419999999999</v>
      </c>
    </row>
    <row r="1832" spans="2:3">
      <c r="B1832" s="30">
        <v>40809</v>
      </c>
      <c r="C1832">
        <v>135.74610000000001</v>
      </c>
    </row>
    <row r="1833" spans="2:3">
      <c r="B1833" s="30">
        <v>40812</v>
      </c>
      <c r="C1833">
        <v>135.7636</v>
      </c>
    </row>
    <row r="1834" spans="2:3">
      <c r="B1834" s="30">
        <v>40813</v>
      </c>
      <c r="C1834">
        <v>135.40870000000001</v>
      </c>
    </row>
    <row r="1835" spans="2:3">
      <c r="B1835" s="30">
        <v>40814</v>
      </c>
      <c r="C1835">
        <v>135.03620000000001</v>
      </c>
    </row>
    <row r="1836" spans="2:3">
      <c r="B1836" s="30">
        <v>40815</v>
      </c>
      <c r="C1836">
        <v>135.44649999999999</v>
      </c>
    </row>
    <row r="1837" spans="2:3">
      <c r="B1837" s="30">
        <v>40816</v>
      </c>
      <c r="C1837">
        <v>134.98339999999999</v>
      </c>
    </row>
    <row r="1838" spans="2:3">
      <c r="B1838" s="30">
        <v>40819</v>
      </c>
      <c r="C1838">
        <v>134.91</v>
      </c>
    </row>
    <row r="1839" spans="2:3">
      <c r="B1839" s="30">
        <v>40820</v>
      </c>
      <c r="C1839">
        <v>135.33510000000001</v>
      </c>
    </row>
    <row r="1840" spans="2:3">
      <c r="B1840" s="30">
        <v>40821</v>
      </c>
      <c r="C1840">
        <v>135.2645</v>
      </c>
    </row>
    <row r="1841" spans="2:3">
      <c r="B1841" s="30">
        <v>40822</v>
      </c>
      <c r="C1841">
        <v>135.44550000000001</v>
      </c>
    </row>
    <row r="1842" spans="2:3">
      <c r="B1842" s="30">
        <v>40823</v>
      </c>
      <c r="C1842">
        <v>135.05160000000001</v>
      </c>
    </row>
    <row r="1843" spans="2:3">
      <c r="B1843" s="30">
        <v>40827</v>
      </c>
      <c r="C1843">
        <v>135.5283</v>
      </c>
    </row>
    <row r="1844" spans="2:3">
      <c r="B1844" s="30">
        <v>40828</v>
      </c>
      <c r="C1844">
        <v>135.59880000000001</v>
      </c>
    </row>
    <row r="1845" spans="2:3">
      <c r="B1845" s="30">
        <v>40829</v>
      </c>
      <c r="C1845">
        <v>135.83940000000001</v>
      </c>
    </row>
    <row r="1846" spans="2:3">
      <c r="B1846" s="30">
        <v>40830</v>
      </c>
      <c r="C1846">
        <v>136.2039</v>
      </c>
    </row>
    <row r="1847" spans="2:3">
      <c r="B1847" s="30">
        <v>40833</v>
      </c>
      <c r="C1847">
        <v>135.81290000000001</v>
      </c>
    </row>
    <row r="1848" spans="2:3">
      <c r="B1848" s="30">
        <v>40834</v>
      </c>
      <c r="C1848">
        <v>136.54060000000001</v>
      </c>
    </row>
    <row r="1849" spans="2:3">
      <c r="B1849" s="30">
        <v>40835</v>
      </c>
      <c r="C1849">
        <v>136.11529999999999</v>
      </c>
    </row>
    <row r="1850" spans="2:3">
      <c r="B1850" s="30">
        <v>40836</v>
      </c>
      <c r="C1850">
        <v>136.11770000000001</v>
      </c>
    </row>
    <row r="1851" spans="2:3">
      <c r="B1851" s="30">
        <v>40837</v>
      </c>
      <c r="C1851">
        <v>136.63229999999999</v>
      </c>
    </row>
    <row r="1852" spans="2:3">
      <c r="B1852" s="30">
        <v>40840</v>
      </c>
      <c r="C1852">
        <v>136.92699999999999</v>
      </c>
    </row>
    <row r="1853" spans="2:3">
      <c r="B1853" s="30">
        <v>40841</v>
      </c>
      <c r="C1853">
        <v>136.8631</v>
      </c>
    </row>
    <row r="1854" spans="2:3">
      <c r="B1854" s="30">
        <v>40842</v>
      </c>
      <c r="C1854">
        <v>136.92089999999999</v>
      </c>
    </row>
    <row r="1855" spans="2:3">
      <c r="B1855" s="30">
        <v>40843</v>
      </c>
      <c r="C1855">
        <v>137.499</v>
      </c>
    </row>
    <row r="1856" spans="2:3">
      <c r="B1856" s="30">
        <v>40844</v>
      </c>
      <c r="C1856">
        <v>137.87049999999999</v>
      </c>
    </row>
    <row r="1857" spans="2:3">
      <c r="B1857" s="30">
        <v>40847</v>
      </c>
      <c r="C1857">
        <v>137.6028</v>
      </c>
    </row>
    <row r="1858" spans="2:3">
      <c r="B1858" s="30">
        <v>40848</v>
      </c>
      <c r="C1858">
        <v>137.6225</v>
      </c>
    </row>
    <row r="1859" spans="2:3">
      <c r="B1859" s="30">
        <v>40849</v>
      </c>
      <c r="C1859">
        <v>137.89160000000001</v>
      </c>
    </row>
    <row r="1860" spans="2:3">
      <c r="B1860" s="30">
        <v>40850</v>
      </c>
      <c r="C1860">
        <v>138.29079999999999</v>
      </c>
    </row>
    <row r="1861" spans="2:3">
      <c r="B1861" s="30">
        <v>40851</v>
      </c>
      <c r="C1861">
        <v>138.2234</v>
      </c>
    </row>
    <row r="1862" spans="2:3">
      <c r="B1862" s="30">
        <v>40854</v>
      </c>
      <c r="C1862">
        <v>138.56110000000001</v>
      </c>
    </row>
    <row r="1863" spans="2:3">
      <c r="B1863" s="30">
        <v>40855</v>
      </c>
      <c r="C1863">
        <v>138.6875</v>
      </c>
    </row>
    <row r="1864" spans="2:3">
      <c r="B1864" s="30">
        <v>40856</v>
      </c>
      <c r="C1864">
        <v>137.7928</v>
      </c>
    </row>
    <row r="1865" spans="2:3">
      <c r="B1865" s="30">
        <v>40857</v>
      </c>
      <c r="C1865">
        <v>137.77019999999999</v>
      </c>
    </row>
    <row r="1866" spans="2:3">
      <c r="B1866" s="30">
        <v>40861</v>
      </c>
      <c r="C1866">
        <v>138.2253</v>
      </c>
    </row>
    <row r="1867" spans="2:3">
      <c r="B1867" s="30">
        <v>40862</v>
      </c>
      <c r="C1867">
        <v>138.1155</v>
      </c>
    </row>
    <row r="1868" spans="2:3">
      <c r="B1868" s="30">
        <v>40863</v>
      </c>
      <c r="C1868">
        <v>137.66130000000001</v>
      </c>
    </row>
    <row r="1869" spans="2:3">
      <c r="B1869" s="30">
        <v>40864</v>
      </c>
      <c r="C1869">
        <v>137.47479999999999</v>
      </c>
    </row>
    <row r="1870" spans="2:3">
      <c r="B1870" s="30">
        <v>40865</v>
      </c>
      <c r="C1870">
        <v>137.2595</v>
      </c>
    </row>
    <row r="1871" spans="2:3">
      <c r="B1871" s="30">
        <v>40868</v>
      </c>
      <c r="C1871">
        <v>136.79679999999999</v>
      </c>
    </row>
    <row r="1872" spans="2:3">
      <c r="B1872" s="30">
        <v>40869</v>
      </c>
      <c r="C1872">
        <v>136.72620000000001</v>
      </c>
    </row>
    <row r="1873" spans="2:3">
      <c r="B1873" s="30">
        <v>40870</v>
      </c>
      <c r="C1873">
        <v>136.31039999999999</v>
      </c>
    </row>
    <row r="1874" spans="2:3">
      <c r="B1874" s="30">
        <v>40872</v>
      </c>
      <c r="C1874">
        <v>135.72479999999999</v>
      </c>
    </row>
    <row r="1875" spans="2:3">
      <c r="B1875" s="30">
        <v>40875</v>
      </c>
      <c r="C1875">
        <v>136.9101</v>
      </c>
    </row>
    <row r="1876" spans="2:3">
      <c r="B1876" s="30">
        <v>40876</v>
      </c>
      <c r="C1876">
        <v>136.9204</v>
      </c>
    </row>
    <row r="1877" spans="2:3">
      <c r="B1877" s="30">
        <v>40877</v>
      </c>
      <c r="C1877">
        <v>138.07320000000001</v>
      </c>
    </row>
    <row r="1878" spans="2:3">
      <c r="B1878" s="30">
        <v>40878</v>
      </c>
      <c r="C1878">
        <v>137.8639</v>
      </c>
    </row>
    <row r="1879" spans="2:3">
      <c r="B1879" s="30">
        <v>40879</v>
      </c>
      <c r="C1879">
        <v>138.2482</v>
      </c>
    </row>
    <row r="1880" spans="2:3">
      <c r="B1880" s="30">
        <v>40882</v>
      </c>
      <c r="C1880">
        <v>138.524</v>
      </c>
    </row>
    <row r="1881" spans="2:3">
      <c r="B1881" s="30">
        <v>40883</v>
      </c>
      <c r="C1881">
        <v>138.39769999999999</v>
      </c>
    </row>
    <row r="1882" spans="2:3">
      <c r="B1882" s="30">
        <v>40884</v>
      </c>
      <c r="C1882">
        <v>139.01679999999999</v>
      </c>
    </row>
    <row r="1883" spans="2:3">
      <c r="B1883" s="30">
        <v>40885</v>
      </c>
      <c r="C1883">
        <v>138.416</v>
      </c>
    </row>
    <row r="1884" spans="2:3">
      <c r="B1884" s="30">
        <v>40886</v>
      </c>
      <c r="C1884">
        <v>138.71180000000001</v>
      </c>
    </row>
    <row r="1885" spans="2:3">
      <c r="B1885" s="30">
        <v>40889</v>
      </c>
      <c r="C1885">
        <v>138.31710000000001</v>
      </c>
    </row>
    <row r="1886" spans="2:3">
      <c r="B1886" s="30">
        <v>40890</v>
      </c>
      <c r="C1886">
        <v>138.21719999999999</v>
      </c>
    </row>
    <row r="1887" spans="2:3">
      <c r="B1887" s="30">
        <v>40891</v>
      </c>
      <c r="C1887">
        <v>138.06649999999999</v>
      </c>
    </row>
    <row r="1888" spans="2:3">
      <c r="B1888" s="30">
        <v>40892</v>
      </c>
      <c r="C1888">
        <v>138.1335</v>
      </c>
    </row>
    <row r="1889" spans="2:3">
      <c r="B1889" s="30">
        <v>40893</v>
      </c>
      <c r="C1889">
        <v>138.3451</v>
      </c>
    </row>
    <row r="1890" spans="2:3">
      <c r="B1890" s="30">
        <v>40896</v>
      </c>
      <c r="C1890">
        <v>138.18719999999999</v>
      </c>
    </row>
    <row r="1891" spans="2:3">
      <c r="B1891" s="30">
        <v>40897</v>
      </c>
      <c r="C1891">
        <v>138.8023</v>
      </c>
    </row>
    <row r="1892" spans="2:3">
      <c r="B1892" s="30">
        <v>40898</v>
      </c>
      <c r="C1892">
        <v>138.666</v>
      </c>
    </row>
    <row r="1893" spans="2:3">
      <c r="B1893" s="30">
        <v>40899</v>
      </c>
      <c r="C1893">
        <v>139.0813</v>
      </c>
    </row>
    <row r="1894" spans="2:3">
      <c r="B1894" s="30">
        <v>40900</v>
      </c>
      <c r="C1894">
        <v>138.93039999999999</v>
      </c>
    </row>
    <row r="1895" spans="2:3">
      <c r="B1895" s="30">
        <v>40904</v>
      </c>
      <c r="C1895">
        <v>139.10069999999999</v>
      </c>
    </row>
    <row r="1896" spans="2:3">
      <c r="B1896" s="30">
        <v>40905</v>
      </c>
      <c r="C1896">
        <v>139.18510000000001</v>
      </c>
    </row>
    <row r="1897" spans="2:3">
      <c r="B1897" s="30">
        <v>40906</v>
      </c>
      <c r="C1897">
        <v>139.5848</v>
      </c>
    </row>
    <row r="1898" spans="2:3">
      <c r="B1898" s="30">
        <v>40907</v>
      </c>
      <c r="C1898">
        <v>139.59219999999999</v>
      </c>
    </row>
    <row r="1899" spans="2:3">
      <c r="B1899" s="30">
        <v>40911</v>
      </c>
      <c r="C1899">
        <v>139.76849999999999</v>
      </c>
    </row>
    <row r="1900" spans="2:3">
      <c r="B1900" s="30">
        <v>40912</v>
      </c>
      <c r="C1900">
        <v>139.65469999999999</v>
      </c>
    </row>
    <row r="1901" spans="2:3">
      <c r="B1901" s="30">
        <v>40913</v>
      </c>
      <c r="C1901">
        <v>139.6104</v>
      </c>
    </row>
    <row r="1902" spans="2:3">
      <c r="B1902" s="30">
        <v>40914</v>
      </c>
      <c r="C1902">
        <v>139.7987</v>
      </c>
    </row>
    <row r="1903" spans="2:3">
      <c r="B1903" s="30">
        <v>40917</v>
      </c>
      <c r="C1903">
        <v>139.87870000000001</v>
      </c>
    </row>
    <row r="1904" spans="2:3">
      <c r="B1904" s="30">
        <v>40918</v>
      </c>
      <c r="C1904">
        <v>140.1825</v>
      </c>
    </row>
    <row r="1905" spans="2:3">
      <c r="B1905" s="30">
        <v>40919</v>
      </c>
      <c r="C1905">
        <v>140.51609999999999</v>
      </c>
    </row>
    <row r="1906" spans="2:3">
      <c r="B1906" s="30">
        <v>40920</v>
      </c>
      <c r="C1906">
        <v>140.5692</v>
      </c>
    </row>
    <row r="1907" spans="2:3">
      <c r="B1907" s="30">
        <v>40921</v>
      </c>
      <c r="C1907">
        <v>140.77500000000001</v>
      </c>
    </row>
    <row r="1908" spans="2:3">
      <c r="B1908" s="30">
        <v>40925</v>
      </c>
      <c r="C1908">
        <v>140.9084</v>
      </c>
    </row>
    <row r="1909" spans="2:3">
      <c r="B1909" s="30">
        <v>40926</v>
      </c>
      <c r="C1909">
        <v>141.13759999999999</v>
      </c>
    </row>
    <row r="1910" spans="2:3">
      <c r="B1910" s="30">
        <v>40927</v>
      </c>
      <c r="C1910">
        <v>141.10939999999999</v>
      </c>
    </row>
    <row r="1911" spans="2:3">
      <c r="B1911" s="30">
        <v>40928</v>
      </c>
      <c r="C1911">
        <v>140.9545</v>
      </c>
    </row>
    <row r="1912" spans="2:3">
      <c r="B1912" s="30">
        <v>40931</v>
      </c>
      <c r="C1912">
        <v>140.93</v>
      </c>
    </row>
    <row r="1913" spans="2:3">
      <c r="B1913" s="30">
        <v>40932</v>
      </c>
      <c r="C1913">
        <v>140.94560000000001</v>
      </c>
    </row>
    <row r="1914" spans="2:3">
      <c r="B1914" s="30">
        <v>40933</v>
      </c>
      <c r="C1914">
        <v>141.48060000000001</v>
      </c>
    </row>
    <row r="1915" spans="2:3">
      <c r="B1915" s="30">
        <v>40934</v>
      </c>
      <c r="C1915">
        <v>141.65539999999999</v>
      </c>
    </row>
    <row r="1916" spans="2:3">
      <c r="B1916" s="30">
        <v>40935</v>
      </c>
      <c r="C1916">
        <v>141.73220000000001</v>
      </c>
    </row>
    <row r="1917" spans="2:3">
      <c r="B1917" s="30">
        <v>40938</v>
      </c>
      <c r="C1917">
        <v>141.76939999999999</v>
      </c>
    </row>
    <row r="1918" spans="2:3">
      <c r="B1918" s="30">
        <v>40939</v>
      </c>
      <c r="C1918">
        <v>141.94450000000001</v>
      </c>
    </row>
    <row r="1919" spans="2:3">
      <c r="B1919" s="30">
        <v>40940</v>
      </c>
      <c r="C1919">
        <v>142.1754</v>
      </c>
    </row>
    <row r="1920" spans="2:3">
      <c r="B1920" s="30">
        <v>40941</v>
      </c>
      <c r="C1920">
        <v>142.3683</v>
      </c>
    </row>
    <row r="1921" spans="2:3">
      <c r="B1921" s="30">
        <v>40942</v>
      </c>
      <c r="C1921">
        <v>142.72059999999999</v>
      </c>
    </row>
    <row r="1922" spans="2:3">
      <c r="B1922" s="30">
        <v>40945</v>
      </c>
      <c r="C1922">
        <v>142.88730000000001</v>
      </c>
    </row>
    <row r="1923" spans="2:3">
      <c r="B1923" s="30">
        <v>40946</v>
      </c>
      <c r="C1923">
        <v>142.89699999999999</v>
      </c>
    </row>
    <row r="1924" spans="2:3">
      <c r="B1924" s="30">
        <v>40947</v>
      </c>
      <c r="C1924">
        <v>142.97880000000001</v>
      </c>
    </row>
    <row r="1925" spans="2:3">
      <c r="B1925" s="30">
        <v>40948</v>
      </c>
      <c r="C1925">
        <v>142.82310000000001</v>
      </c>
    </row>
    <row r="1926" spans="2:3">
      <c r="B1926" s="30">
        <v>40949</v>
      </c>
      <c r="C1926">
        <v>142.6335</v>
      </c>
    </row>
    <row r="1927" spans="2:3">
      <c r="B1927" s="30">
        <v>40952</v>
      </c>
      <c r="C1927">
        <v>142.99959999999999</v>
      </c>
    </row>
    <row r="1928" spans="2:3">
      <c r="B1928" s="30">
        <v>40953</v>
      </c>
      <c r="C1928">
        <v>143.0668</v>
      </c>
    </row>
    <row r="1929" spans="2:3">
      <c r="B1929" s="30">
        <v>40954</v>
      </c>
      <c r="C1929">
        <v>142.72239999999999</v>
      </c>
    </row>
    <row r="1930" spans="2:3">
      <c r="B1930" s="30">
        <v>40955</v>
      </c>
      <c r="C1930">
        <v>143.16900000000001</v>
      </c>
    </row>
    <row r="1931" spans="2:3">
      <c r="B1931" s="30">
        <v>40956</v>
      </c>
      <c r="C1931">
        <v>143.4007</v>
      </c>
    </row>
    <row r="1932" spans="2:3">
      <c r="B1932" s="30">
        <v>40960</v>
      </c>
      <c r="C1932">
        <v>143.34110000000001</v>
      </c>
    </row>
    <row r="1933" spans="2:3">
      <c r="B1933" s="30">
        <v>40961</v>
      </c>
      <c r="C1933">
        <v>143.2636</v>
      </c>
    </row>
    <row r="1934" spans="2:3">
      <c r="B1934" s="30">
        <v>40962</v>
      </c>
      <c r="C1934">
        <v>143.72210000000001</v>
      </c>
    </row>
    <row r="1935" spans="2:3">
      <c r="B1935" s="30">
        <v>40963</v>
      </c>
      <c r="C1935">
        <v>143.76339999999999</v>
      </c>
    </row>
    <row r="1936" spans="2:3">
      <c r="B1936" s="30">
        <v>40966</v>
      </c>
      <c r="C1936">
        <v>144.16460000000001</v>
      </c>
    </row>
    <row r="1937" spans="2:3">
      <c r="B1937" s="30">
        <v>40967</v>
      </c>
      <c r="C1937">
        <v>144.45740000000001</v>
      </c>
    </row>
    <row r="1938" spans="2:3">
      <c r="B1938" s="30">
        <v>40968</v>
      </c>
      <c r="C1938">
        <v>143.90350000000001</v>
      </c>
    </row>
    <row r="1939" spans="2:3">
      <c r="B1939" s="30">
        <v>40969</v>
      </c>
      <c r="C1939">
        <v>144.50020000000001</v>
      </c>
    </row>
    <row r="1940" spans="2:3">
      <c r="B1940" s="30">
        <v>40970</v>
      </c>
      <c r="C1940">
        <v>144.2115</v>
      </c>
    </row>
    <row r="1941" spans="2:3">
      <c r="B1941" s="30">
        <v>40973</v>
      </c>
      <c r="C1941">
        <v>143.83629999999999</v>
      </c>
    </row>
    <row r="1942" spans="2:3">
      <c r="B1942" s="30">
        <v>40974</v>
      </c>
      <c r="C1942">
        <v>142.39859999999999</v>
      </c>
    </row>
    <row r="1943" spans="2:3">
      <c r="B1943" s="30">
        <v>40975</v>
      </c>
      <c r="C1943">
        <v>143.11680000000001</v>
      </c>
    </row>
    <row r="1944" spans="2:3">
      <c r="B1944" s="30">
        <v>40976</v>
      </c>
      <c r="C1944">
        <v>143.98750000000001</v>
      </c>
    </row>
    <row r="1945" spans="2:3">
      <c r="B1945" s="30">
        <v>40977</v>
      </c>
      <c r="C1945">
        <v>144.33449999999999</v>
      </c>
    </row>
    <row r="1946" spans="2:3">
      <c r="B1946" s="30">
        <v>40980</v>
      </c>
      <c r="C1946">
        <v>144.36150000000001</v>
      </c>
    </row>
    <row r="1947" spans="2:3">
      <c r="B1947" s="30">
        <v>40981</v>
      </c>
      <c r="C1947">
        <v>145.65960000000001</v>
      </c>
    </row>
    <row r="1948" spans="2:3">
      <c r="B1948" s="30">
        <v>40982</v>
      </c>
      <c r="C1948">
        <v>145.12049999999999</v>
      </c>
    </row>
    <row r="1949" spans="2:3">
      <c r="B1949" s="30">
        <v>40983</v>
      </c>
      <c r="C1949">
        <v>145.5667</v>
      </c>
    </row>
    <row r="1950" spans="2:3">
      <c r="B1950" s="30">
        <v>40984</v>
      </c>
      <c r="C1950">
        <v>145.69880000000001</v>
      </c>
    </row>
    <row r="1951" spans="2:3">
      <c r="B1951" s="30">
        <v>40987</v>
      </c>
      <c r="C1951">
        <v>145.8245</v>
      </c>
    </row>
    <row r="1952" spans="2:3">
      <c r="B1952" s="30">
        <v>40988</v>
      </c>
      <c r="C1952">
        <v>145.72290000000001</v>
      </c>
    </row>
    <row r="1953" spans="2:3">
      <c r="B1953" s="30">
        <v>40989</v>
      </c>
      <c r="C1953">
        <v>145.84190000000001</v>
      </c>
    </row>
    <row r="1954" spans="2:3">
      <c r="B1954" s="30">
        <v>40990</v>
      </c>
      <c r="C1954">
        <v>145.3861</v>
      </c>
    </row>
    <row r="1955" spans="2:3">
      <c r="B1955" s="30">
        <v>40991</v>
      </c>
      <c r="C1955">
        <v>145.75210000000001</v>
      </c>
    </row>
    <row r="1956" spans="2:3">
      <c r="B1956" s="30">
        <v>40994</v>
      </c>
      <c r="C1956">
        <v>146.87909999999999</v>
      </c>
    </row>
    <row r="1957" spans="2:3">
      <c r="B1957" s="30">
        <v>40995</v>
      </c>
      <c r="C1957">
        <v>146.59790000000001</v>
      </c>
    </row>
    <row r="1958" spans="2:3">
      <c r="B1958" s="30">
        <v>40996</v>
      </c>
      <c r="C1958">
        <v>146.2629</v>
      </c>
    </row>
    <row r="1959" spans="2:3">
      <c r="B1959" s="30">
        <v>40997</v>
      </c>
      <c r="C1959">
        <v>146.23779999999999</v>
      </c>
    </row>
    <row r="1960" spans="2:3">
      <c r="B1960" s="30">
        <v>40998</v>
      </c>
      <c r="C1960">
        <v>146.31950000000001</v>
      </c>
    </row>
    <row r="1961" spans="2:3">
      <c r="B1961" s="30">
        <v>41001</v>
      </c>
      <c r="C1961">
        <v>146.8441</v>
      </c>
    </row>
    <row r="1962" spans="2:3">
      <c r="B1962" s="30">
        <v>41002</v>
      </c>
      <c r="C1962">
        <v>146.36170000000001</v>
      </c>
    </row>
    <row r="1963" spans="2:3">
      <c r="B1963" s="30">
        <v>41003</v>
      </c>
      <c r="C1963">
        <v>145.80369999999999</v>
      </c>
    </row>
    <row r="1964" spans="2:3">
      <c r="B1964" s="30">
        <v>41004</v>
      </c>
      <c r="C1964">
        <v>145.75069999999999</v>
      </c>
    </row>
    <row r="1965" spans="2:3">
      <c r="B1965" s="30">
        <v>41008</v>
      </c>
      <c r="C1965">
        <v>145.3536</v>
      </c>
    </row>
    <row r="1966" spans="2:3">
      <c r="B1966" s="30">
        <v>41009</v>
      </c>
      <c r="C1966">
        <v>144.56530000000001</v>
      </c>
    </row>
    <row r="1967" spans="2:3">
      <c r="B1967" s="30">
        <v>41010</v>
      </c>
      <c r="C1967">
        <v>144.85570000000001</v>
      </c>
    </row>
    <row r="1968" spans="2:3">
      <c r="B1968" s="30">
        <v>41011</v>
      </c>
      <c r="C1968">
        <v>145.959</v>
      </c>
    </row>
    <row r="1969" spans="2:3">
      <c r="B1969" s="30">
        <v>41012</v>
      </c>
      <c r="C1969">
        <v>144.97929999999999</v>
      </c>
    </row>
    <row r="1970" spans="2:3">
      <c r="B1970" s="30">
        <v>41015</v>
      </c>
      <c r="C1970">
        <v>145.0301</v>
      </c>
    </row>
    <row r="1971" spans="2:3">
      <c r="B1971" s="30">
        <v>41016</v>
      </c>
      <c r="C1971">
        <v>145.8329</v>
      </c>
    </row>
    <row r="1972" spans="2:3">
      <c r="B1972" s="30">
        <v>41017</v>
      </c>
      <c r="C1972">
        <v>145.6739</v>
      </c>
    </row>
    <row r="1973" spans="2:3">
      <c r="B1973" s="30">
        <v>41018</v>
      </c>
      <c r="C1973">
        <v>145.51900000000001</v>
      </c>
    </row>
    <row r="1974" spans="2:3">
      <c r="B1974" s="30">
        <v>41019</v>
      </c>
      <c r="C1974">
        <v>145.5796</v>
      </c>
    </row>
    <row r="1975" spans="2:3">
      <c r="B1975" s="30">
        <v>41022</v>
      </c>
      <c r="C1975">
        <v>145.2372</v>
      </c>
    </row>
    <row r="1976" spans="2:3">
      <c r="B1976" s="30">
        <v>41023</v>
      </c>
      <c r="C1976">
        <v>145.4606</v>
      </c>
    </row>
    <row r="1977" spans="2:3">
      <c r="B1977" s="30">
        <v>41024</v>
      </c>
      <c r="C1977">
        <v>146.13839999999999</v>
      </c>
    </row>
    <row r="1978" spans="2:3">
      <c r="B1978" s="30">
        <v>41025</v>
      </c>
      <c r="C1978">
        <v>146.66980000000001</v>
      </c>
    </row>
    <row r="1979" spans="2:3">
      <c r="B1979" s="30">
        <v>41026</v>
      </c>
      <c r="C1979">
        <v>146.876</v>
      </c>
    </row>
    <row r="1980" spans="2:3">
      <c r="B1980" s="30">
        <v>41029</v>
      </c>
      <c r="C1980">
        <v>146.70699999999999</v>
      </c>
    </row>
    <row r="1981" spans="2:3">
      <c r="B1981" s="30">
        <v>41030</v>
      </c>
      <c r="C1981">
        <v>146.857</v>
      </c>
    </row>
    <row r="1982" spans="2:3">
      <c r="B1982" s="30">
        <v>41031</v>
      </c>
      <c r="C1982">
        <v>146.87020000000001</v>
      </c>
    </row>
    <row r="1983" spans="2:3">
      <c r="B1983" s="30">
        <v>41032</v>
      </c>
      <c r="C1983">
        <v>146.3587</v>
      </c>
    </row>
    <row r="1984" spans="2:3">
      <c r="B1984" s="30">
        <v>41033</v>
      </c>
      <c r="C1984">
        <v>145.53389999999999</v>
      </c>
    </row>
    <row r="1985" spans="2:3">
      <c r="B1985" s="30">
        <v>41036</v>
      </c>
      <c r="C1985">
        <v>145.63929999999999</v>
      </c>
    </row>
    <row r="1986" spans="2:3">
      <c r="B1986" s="30">
        <v>41037</v>
      </c>
      <c r="C1986">
        <v>145.48990000000001</v>
      </c>
    </row>
    <row r="1987" spans="2:3">
      <c r="B1987" s="30">
        <v>41038</v>
      </c>
      <c r="C1987">
        <v>145.12</v>
      </c>
    </row>
    <row r="1988" spans="2:3">
      <c r="B1988" s="30">
        <v>41039</v>
      </c>
      <c r="C1988">
        <v>145.2681</v>
      </c>
    </row>
    <row r="1989" spans="2:3">
      <c r="B1989" s="30">
        <v>41040</v>
      </c>
      <c r="C1989">
        <v>145.0462</v>
      </c>
    </row>
    <row r="1990" spans="2:3">
      <c r="B1990" s="30">
        <v>41043</v>
      </c>
      <c r="C1990">
        <v>144.35130000000001</v>
      </c>
    </row>
    <row r="1991" spans="2:3">
      <c r="B1991" s="30">
        <v>41044</v>
      </c>
      <c r="C1991">
        <v>144.0376</v>
      </c>
    </row>
    <row r="1992" spans="2:3">
      <c r="B1992" s="30">
        <v>41045</v>
      </c>
      <c r="C1992">
        <v>143.77070000000001</v>
      </c>
    </row>
    <row r="1993" spans="2:3">
      <c r="B1993" s="30">
        <v>41046</v>
      </c>
      <c r="C1993">
        <v>142.9298</v>
      </c>
    </row>
    <row r="1994" spans="2:3">
      <c r="B1994" s="30">
        <v>41047</v>
      </c>
      <c r="C1994">
        <v>142.47389999999999</v>
      </c>
    </row>
    <row r="1995" spans="2:3">
      <c r="B1995" s="30">
        <v>41050</v>
      </c>
      <c r="C1995">
        <v>143.64420000000001</v>
      </c>
    </row>
    <row r="1996" spans="2:3">
      <c r="B1996" s="30">
        <v>41051</v>
      </c>
      <c r="C1996">
        <v>143.37299999999999</v>
      </c>
    </row>
    <row r="1997" spans="2:3">
      <c r="B1997" s="30">
        <v>41052</v>
      </c>
      <c r="C1997">
        <v>143.71190000000001</v>
      </c>
    </row>
    <row r="1998" spans="2:3">
      <c r="B1998" s="30">
        <v>41053</v>
      </c>
      <c r="C1998">
        <v>143.84039999999999</v>
      </c>
    </row>
    <row r="1999" spans="2:3">
      <c r="B1999" s="30">
        <v>41054</v>
      </c>
      <c r="C1999">
        <v>143.59229999999999</v>
      </c>
    </row>
    <row r="2000" spans="2:3">
      <c r="B2000" s="30">
        <v>41058</v>
      </c>
      <c r="C2000">
        <v>144.38919999999999</v>
      </c>
    </row>
    <row r="2001" spans="2:3">
      <c r="B2001" s="30">
        <v>41059</v>
      </c>
      <c r="C2001">
        <v>143.6319</v>
      </c>
    </row>
    <row r="2002" spans="2:3">
      <c r="B2002" s="30">
        <v>41060</v>
      </c>
      <c r="C2002">
        <v>143.73869999999999</v>
      </c>
    </row>
    <row r="2003" spans="2:3">
      <c r="B2003" s="30">
        <v>41061</v>
      </c>
      <c r="C2003">
        <v>142.77539999999999</v>
      </c>
    </row>
    <row r="2004" spans="2:3">
      <c r="B2004" s="30">
        <v>41064</v>
      </c>
      <c r="C2004">
        <v>142.53270000000001</v>
      </c>
    </row>
    <row r="2005" spans="2:3">
      <c r="B2005" s="30">
        <v>41065</v>
      </c>
      <c r="C2005">
        <v>142.89609999999999</v>
      </c>
    </row>
    <row r="2006" spans="2:3">
      <c r="B2006" s="30">
        <v>41066</v>
      </c>
      <c r="C2006">
        <v>143.72620000000001</v>
      </c>
    </row>
    <row r="2007" spans="2:3">
      <c r="B2007" s="30">
        <v>41067</v>
      </c>
      <c r="C2007">
        <v>143.74610000000001</v>
      </c>
    </row>
    <row r="2008" spans="2:3">
      <c r="B2008" s="30">
        <v>41068</v>
      </c>
      <c r="C2008">
        <v>144.1739</v>
      </c>
    </row>
    <row r="2009" spans="2:3">
      <c r="B2009" s="30">
        <v>41071</v>
      </c>
      <c r="C2009">
        <v>143.52109999999999</v>
      </c>
    </row>
    <row r="2010" spans="2:3">
      <c r="B2010" s="30">
        <v>41072</v>
      </c>
      <c r="C2010">
        <v>143.92250000000001</v>
      </c>
    </row>
    <row r="2011" spans="2:3">
      <c r="B2011" s="30">
        <v>41073</v>
      </c>
      <c r="C2011">
        <v>143.77959999999999</v>
      </c>
    </row>
    <row r="2012" spans="2:3">
      <c r="B2012" s="30">
        <v>41074</v>
      </c>
      <c r="C2012">
        <v>144.40469999999999</v>
      </c>
    </row>
    <row r="2013" spans="2:3">
      <c r="B2013" s="30">
        <v>41075</v>
      </c>
      <c r="C2013">
        <v>144.9564</v>
      </c>
    </row>
    <row r="2014" spans="2:3">
      <c r="B2014" s="30">
        <v>41078</v>
      </c>
      <c r="C2014">
        <v>145.0147</v>
      </c>
    </row>
    <row r="2015" spans="2:3">
      <c r="B2015" s="30">
        <v>41079</v>
      </c>
      <c r="C2015">
        <v>145.26750000000001</v>
      </c>
    </row>
    <row r="2016" spans="2:3">
      <c r="B2016" s="30">
        <v>41080</v>
      </c>
      <c r="C2016">
        <v>145.19970000000001</v>
      </c>
    </row>
    <row r="2017" spans="2:3">
      <c r="B2017" s="30">
        <v>41081</v>
      </c>
      <c r="C2017">
        <v>144.21350000000001</v>
      </c>
    </row>
    <row r="2018" spans="2:3">
      <c r="B2018" s="30">
        <v>41082</v>
      </c>
      <c r="C2018">
        <v>144.3409</v>
      </c>
    </row>
    <row r="2019" spans="2:3">
      <c r="B2019" s="30">
        <v>41085</v>
      </c>
      <c r="C2019">
        <v>143.95750000000001</v>
      </c>
    </row>
    <row r="2020" spans="2:3">
      <c r="B2020" s="30">
        <v>41086</v>
      </c>
      <c r="C2020">
        <v>144.1455</v>
      </c>
    </row>
    <row r="2021" spans="2:3">
      <c r="B2021" s="30">
        <v>41087</v>
      </c>
      <c r="C2021">
        <v>144.5147</v>
      </c>
    </row>
    <row r="2022" spans="2:3">
      <c r="B2022" s="30">
        <v>41088</v>
      </c>
      <c r="C2022">
        <v>144.58340000000001</v>
      </c>
    </row>
    <row r="2023" spans="2:3">
      <c r="B2023" s="30">
        <v>41089</v>
      </c>
      <c r="C2023">
        <v>145.40270000000001</v>
      </c>
    </row>
    <row r="2024" spans="2:3">
      <c r="B2024" s="30">
        <v>41092</v>
      </c>
      <c r="C2024">
        <v>145.90950000000001</v>
      </c>
    </row>
    <row r="2025" spans="2:3">
      <c r="B2025" s="30">
        <v>41093</v>
      </c>
      <c r="C2025">
        <v>146.07919999999999</v>
      </c>
    </row>
    <row r="2026" spans="2:3">
      <c r="B2026" s="30">
        <v>41095</v>
      </c>
      <c r="C2026">
        <v>145.94319999999999</v>
      </c>
    </row>
    <row r="2027" spans="2:3">
      <c r="B2027" s="30">
        <v>41096</v>
      </c>
      <c r="C2027">
        <v>145.75880000000001</v>
      </c>
    </row>
    <row r="2028" spans="2:3">
      <c r="B2028" s="30">
        <v>41099</v>
      </c>
      <c r="C2028">
        <v>145.8775</v>
      </c>
    </row>
    <row r="2029" spans="2:3">
      <c r="B2029" s="30">
        <v>41100</v>
      </c>
      <c r="C2029">
        <v>145.51329999999999</v>
      </c>
    </row>
    <row r="2030" spans="2:3">
      <c r="B2030" s="30">
        <v>41101</v>
      </c>
      <c r="C2030">
        <v>145.54910000000001</v>
      </c>
    </row>
    <row r="2031" spans="2:3">
      <c r="B2031" s="30">
        <v>41102</v>
      </c>
      <c r="C2031">
        <v>145.36369999999999</v>
      </c>
    </row>
    <row r="2032" spans="2:3">
      <c r="B2032" s="30">
        <v>41103</v>
      </c>
      <c r="C2032">
        <v>146.06200000000001</v>
      </c>
    </row>
    <row r="2033" spans="2:3">
      <c r="B2033" s="30">
        <v>41106</v>
      </c>
      <c r="C2033">
        <v>146.06970000000001</v>
      </c>
    </row>
    <row r="2034" spans="2:3">
      <c r="B2034" s="30">
        <v>41107</v>
      </c>
      <c r="C2034">
        <v>146.2938</v>
      </c>
    </row>
    <row r="2035" spans="2:3">
      <c r="B2035" s="30">
        <v>41108</v>
      </c>
      <c r="C2035">
        <v>146.762</v>
      </c>
    </row>
    <row r="2036" spans="2:3">
      <c r="B2036" s="30">
        <v>41109</v>
      </c>
      <c r="C2036">
        <v>146.79480000000001</v>
      </c>
    </row>
    <row r="2037" spans="2:3">
      <c r="B2037" s="30">
        <v>41110</v>
      </c>
      <c r="C2037">
        <v>146.4983</v>
      </c>
    </row>
    <row r="2038" spans="2:3">
      <c r="B2038" s="30">
        <v>41113</v>
      </c>
      <c r="C2038">
        <v>146.05539999999999</v>
      </c>
    </row>
    <row r="2039" spans="2:3">
      <c r="B2039" s="30">
        <v>41114</v>
      </c>
      <c r="C2039">
        <v>145.59460000000001</v>
      </c>
    </row>
    <row r="2040" spans="2:3">
      <c r="B2040" s="30">
        <v>41115</v>
      </c>
      <c r="C2040">
        <v>145.81649999999999</v>
      </c>
    </row>
    <row r="2041" spans="2:3">
      <c r="B2041" s="30">
        <v>41116</v>
      </c>
      <c r="C2041">
        <v>146.5112</v>
      </c>
    </row>
    <row r="2042" spans="2:3">
      <c r="B2042" s="30">
        <v>41117</v>
      </c>
      <c r="C2042">
        <v>147.10409999999999</v>
      </c>
    </row>
    <row r="2043" spans="2:3">
      <c r="B2043" s="30">
        <v>41120</v>
      </c>
      <c r="C2043">
        <v>147.25460000000001</v>
      </c>
    </row>
    <row r="2044" spans="2:3">
      <c r="B2044" s="30">
        <v>41121</v>
      </c>
      <c r="C2044">
        <v>147.06049999999999</v>
      </c>
    </row>
    <row r="2045" spans="2:3">
      <c r="B2045" s="30">
        <v>41122</v>
      </c>
      <c r="C2045">
        <v>146.79580000000001</v>
      </c>
    </row>
    <row r="2046" spans="2:3">
      <c r="B2046" s="30">
        <v>41123</v>
      </c>
      <c r="C2046">
        <v>146.64070000000001</v>
      </c>
    </row>
    <row r="2047" spans="2:3">
      <c r="B2047" s="30">
        <v>41124</v>
      </c>
      <c r="C2047">
        <v>147.32249999999999</v>
      </c>
    </row>
    <row r="2048" spans="2:3">
      <c r="B2048" s="30">
        <v>41127</v>
      </c>
      <c r="C2048">
        <v>147.47819999999999</v>
      </c>
    </row>
    <row r="2049" spans="2:3">
      <c r="B2049" s="30">
        <v>41128</v>
      </c>
      <c r="C2049">
        <v>147.41759999999999</v>
      </c>
    </row>
    <row r="2050" spans="2:3">
      <c r="B2050" s="30">
        <v>41129</v>
      </c>
      <c r="C2050">
        <v>147.39840000000001</v>
      </c>
    </row>
    <row r="2051" spans="2:3">
      <c r="B2051" s="30">
        <v>41130</v>
      </c>
      <c r="C2051">
        <v>147.4494</v>
      </c>
    </row>
    <row r="2052" spans="2:3">
      <c r="B2052" s="30">
        <v>41131</v>
      </c>
      <c r="C2052">
        <v>147.67439999999999</v>
      </c>
    </row>
    <row r="2053" spans="2:3">
      <c r="B2053" s="30">
        <v>41134</v>
      </c>
      <c r="C2053">
        <v>147.65369999999999</v>
      </c>
    </row>
    <row r="2054" spans="2:3">
      <c r="B2054" s="30">
        <v>41135</v>
      </c>
      <c r="C2054">
        <v>147.35480000000001</v>
      </c>
    </row>
    <row r="2055" spans="2:3">
      <c r="B2055" s="30">
        <v>41136</v>
      </c>
      <c r="C2055">
        <v>147.14680000000001</v>
      </c>
    </row>
    <row r="2056" spans="2:3">
      <c r="B2056" s="30">
        <v>41137</v>
      </c>
      <c r="C2056">
        <v>147.44990000000001</v>
      </c>
    </row>
    <row r="2057" spans="2:3">
      <c r="B2057" s="30">
        <v>41138</v>
      </c>
      <c r="C2057">
        <v>147.63329999999999</v>
      </c>
    </row>
    <row r="2058" spans="2:3">
      <c r="B2058" s="30">
        <v>41141</v>
      </c>
      <c r="C2058">
        <v>147.6859</v>
      </c>
    </row>
    <row r="2059" spans="2:3">
      <c r="B2059" s="30">
        <v>41142</v>
      </c>
      <c r="C2059">
        <v>147.6328</v>
      </c>
    </row>
    <row r="2060" spans="2:3">
      <c r="B2060" s="30">
        <v>41143</v>
      </c>
      <c r="C2060">
        <v>147.90479999999999</v>
      </c>
    </row>
    <row r="2061" spans="2:3">
      <c r="B2061" s="30">
        <v>41144</v>
      </c>
      <c r="C2061">
        <v>147.48650000000001</v>
      </c>
    </row>
    <row r="2062" spans="2:3">
      <c r="B2062" s="30">
        <v>41145</v>
      </c>
      <c r="C2062">
        <v>147.85919999999999</v>
      </c>
    </row>
    <row r="2063" spans="2:3">
      <c r="B2063" s="30">
        <v>41148</v>
      </c>
      <c r="C2063">
        <v>147.93170000000001</v>
      </c>
    </row>
    <row r="2064" spans="2:3">
      <c r="B2064" s="30">
        <v>41149</v>
      </c>
      <c r="C2064">
        <v>147.9444</v>
      </c>
    </row>
    <row r="2065" spans="2:3">
      <c r="B2065" s="30">
        <v>41150</v>
      </c>
      <c r="C2065">
        <v>147.87200000000001</v>
      </c>
    </row>
    <row r="2066" spans="2:3">
      <c r="B2066" s="30">
        <v>41151</v>
      </c>
      <c r="C2066">
        <v>147.4691</v>
      </c>
    </row>
    <row r="2067" spans="2:3">
      <c r="B2067" s="30">
        <v>41152</v>
      </c>
      <c r="C2067">
        <v>148.0763</v>
      </c>
    </row>
    <row r="2068" spans="2:3">
      <c r="B2068" s="30">
        <v>41156</v>
      </c>
      <c r="C2068">
        <v>148.08330000000001</v>
      </c>
    </row>
    <row r="2069" spans="2:3">
      <c r="B2069" s="30">
        <v>41157</v>
      </c>
      <c r="C2069">
        <v>147.94710000000001</v>
      </c>
    </row>
    <row r="2070" spans="2:3">
      <c r="B2070" s="30">
        <v>41158</v>
      </c>
      <c r="C2070">
        <v>149.1087</v>
      </c>
    </row>
    <row r="2071" spans="2:3">
      <c r="B2071" s="30">
        <v>41159</v>
      </c>
      <c r="C2071">
        <v>149.5335</v>
      </c>
    </row>
    <row r="2072" spans="2:3">
      <c r="B2072" s="30">
        <v>41162</v>
      </c>
      <c r="C2072">
        <v>148.9067</v>
      </c>
    </row>
    <row r="2073" spans="2:3">
      <c r="B2073" s="30">
        <v>41163</v>
      </c>
      <c r="C2073">
        <v>149.0986</v>
      </c>
    </row>
    <row r="2074" spans="2:3">
      <c r="B2074" s="30">
        <v>41164</v>
      </c>
      <c r="C2074">
        <v>149.39019999999999</v>
      </c>
    </row>
    <row r="2075" spans="2:3">
      <c r="B2075" s="30">
        <v>41165</v>
      </c>
      <c r="C2075">
        <v>150.3612</v>
      </c>
    </row>
    <row r="2076" spans="2:3">
      <c r="B2076" s="30">
        <v>41166</v>
      </c>
      <c r="C2076">
        <v>150.47</v>
      </c>
    </row>
    <row r="2077" spans="2:3">
      <c r="B2077" s="30">
        <v>41169</v>
      </c>
      <c r="C2077">
        <v>150.28829999999999</v>
      </c>
    </row>
    <row r="2078" spans="2:3">
      <c r="B2078" s="30">
        <v>41170</v>
      </c>
      <c r="C2078">
        <v>150.29580000000001</v>
      </c>
    </row>
    <row r="2079" spans="2:3">
      <c r="B2079" s="30">
        <v>41171</v>
      </c>
      <c r="C2079">
        <v>150.37690000000001</v>
      </c>
    </row>
    <row r="2080" spans="2:3">
      <c r="B2080" s="30">
        <v>41172</v>
      </c>
      <c r="C2080">
        <v>150.40100000000001</v>
      </c>
    </row>
    <row r="2081" spans="2:3">
      <c r="B2081" s="30">
        <v>41173</v>
      </c>
      <c r="C2081">
        <v>150.35679999999999</v>
      </c>
    </row>
    <row r="2082" spans="2:3">
      <c r="B2082" s="30">
        <v>41176</v>
      </c>
      <c r="C2082">
        <v>150.38489999999999</v>
      </c>
    </row>
    <row r="2083" spans="2:3">
      <c r="B2083" s="30">
        <v>41177</v>
      </c>
      <c r="C2083">
        <v>149.6883</v>
      </c>
    </row>
    <row r="2084" spans="2:3">
      <c r="B2084" s="30">
        <v>41178</v>
      </c>
      <c r="C2084">
        <v>149.32900000000001</v>
      </c>
    </row>
    <row r="2085" spans="2:3">
      <c r="B2085" s="30">
        <v>41179</v>
      </c>
      <c r="C2085">
        <v>150.07230000000001</v>
      </c>
    </row>
    <row r="2086" spans="2:3">
      <c r="B2086" s="30">
        <v>41180</v>
      </c>
      <c r="C2086">
        <v>149.72810000000001</v>
      </c>
    </row>
    <row r="2087" spans="2:3">
      <c r="B2087" s="30">
        <v>41183</v>
      </c>
      <c r="C2087">
        <v>149.90129999999999</v>
      </c>
    </row>
    <row r="2088" spans="2:3">
      <c r="B2088" s="30">
        <v>41184</v>
      </c>
      <c r="C2088">
        <v>150.1464</v>
      </c>
    </row>
    <row r="2089" spans="2:3">
      <c r="B2089" s="30">
        <v>41185</v>
      </c>
      <c r="C2089">
        <v>150.3613</v>
      </c>
    </row>
    <row r="2090" spans="2:3">
      <c r="B2090" s="30">
        <v>41186</v>
      </c>
      <c r="C2090">
        <v>150.7662</v>
      </c>
    </row>
    <row r="2091" spans="2:3">
      <c r="B2091" s="30">
        <v>41187</v>
      </c>
      <c r="C2091">
        <v>150.54310000000001</v>
      </c>
    </row>
    <row r="2092" spans="2:3">
      <c r="B2092" s="30">
        <v>41191</v>
      </c>
      <c r="C2092">
        <v>149.57259999999999</v>
      </c>
    </row>
    <row r="2093" spans="2:3">
      <c r="B2093" s="30">
        <v>41192</v>
      </c>
      <c r="C2093">
        <v>149.1292</v>
      </c>
    </row>
    <row r="2094" spans="2:3">
      <c r="B2094" s="30">
        <v>41193</v>
      </c>
      <c r="C2094">
        <v>149.33279999999999</v>
      </c>
    </row>
    <row r="2095" spans="2:3">
      <c r="B2095" s="30">
        <v>41194</v>
      </c>
      <c r="C2095">
        <v>148.9803</v>
      </c>
    </row>
    <row r="2096" spans="2:3">
      <c r="B2096" s="30">
        <v>41197</v>
      </c>
      <c r="C2096">
        <v>149.78559999999999</v>
      </c>
    </row>
    <row r="2097" spans="2:3">
      <c r="B2097" s="30">
        <v>41198</v>
      </c>
      <c r="C2097">
        <v>150.44929999999999</v>
      </c>
    </row>
    <row r="2098" spans="2:3">
      <c r="B2098" s="30">
        <v>41199</v>
      </c>
      <c r="C2098">
        <v>150.65870000000001</v>
      </c>
    </row>
    <row r="2099" spans="2:3">
      <c r="B2099" s="30">
        <v>41200</v>
      </c>
      <c r="C2099">
        <v>150.3115</v>
      </c>
    </row>
    <row r="2100" spans="2:3">
      <c r="B2100" s="30">
        <v>41201</v>
      </c>
      <c r="C2100">
        <v>148.99350000000001</v>
      </c>
    </row>
    <row r="2101" spans="2:3">
      <c r="B2101" s="30">
        <v>41204</v>
      </c>
      <c r="C2101">
        <v>149.23650000000001</v>
      </c>
    </row>
    <row r="2102" spans="2:3">
      <c r="B2102" s="30">
        <v>41205</v>
      </c>
      <c r="C2102">
        <v>148.14449999999999</v>
      </c>
    </row>
    <row r="2103" spans="2:3">
      <c r="B2103" s="30">
        <v>41206</v>
      </c>
      <c r="C2103">
        <v>148.0213</v>
      </c>
    </row>
    <row r="2104" spans="2:3">
      <c r="B2104" s="30">
        <v>41207</v>
      </c>
      <c r="C2104">
        <v>147.99100000000001</v>
      </c>
    </row>
    <row r="2105" spans="2:3">
      <c r="B2105" s="30">
        <v>41208</v>
      </c>
      <c r="C2105">
        <v>148.1876</v>
      </c>
    </row>
    <row r="2106" spans="2:3">
      <c r="B2106" s="30">
        <v>41213</v>
      </c>
      <c r="C2106">
        <v>148.3279</v>
      </c>
    </row>
    <row r="2107" spans="2:3">
      <c r="B2107" s="30">
        <v>41214</v>
      </c>
      <c r="C2107">
        <v>149.06219999999999</v>
      </c>
    </row>
    <row r="2108" spans="2:3">
      <c r="B2108" s="30">
        <v>41215</v>
      </c>
      <c r="C2108">
        <v>148.20480000000001</v>
      </c>
    </row>
    <row r="2109" spans="2:3">
      <c r="B2109" s="30">
        <v>41218</v>
      </c>
      <c r="C2109">
        <v>148.6574</v>
      </c>
    </row>
    <row r="2110" spans="2:3">
      <c r="B2110" s="30">
        <v>41219</v>
      </c>
      <c r="C2110">
        <v>149.01840000000001</v>
      </c>
    </row>
    <row r="2111" spans="2:3">
      <c r="B2111" s="30">
        <v>41220</v>
      </c>
      <c r="C2111">
        <v>147.83920000000001</v>
      </c>
    </row>
    <row r="2112" spans="2:3">
      <c r="B2112" s="30">
        <v>41221</v>
      </c>
      <c r="C2112">
        <v>147.32859999999999</v>
      </c>
    </row>
    <row r="2113" spans="2:3">
      <c r="B2113" s="30">
        <v>41222</v>
      </c>
      <c r="C2113">
        <v>147.357</v>
      </c>
    </row>
    <row r="2114" spans="2:3">
      <c r="B2114" s="30">
        <v>41226</v>
      </c>
      <c r="C2114">
        <v>147.3015</v>
      </c>
    </row>
    <row r="2115" spans="2:3">
      <c r="B2115" s="30">
        <v>41227</v>
      </c>
      <c r="C2115">
        <v>146.6011</v>
      </c>
    </row>
    <row r="2116" spans="2:3">
      <c r="B2116" s="30">
        <v>41228</v>
      </c>
      <c r="C2116">
        <v>146.4803</v>
      </c>
    </row>
    <row r="2117" spans="2:3">
      <c r="B2117" s="30">
        <v>41229</v>
      </c>
      <c r="C2117">
        <v>146.87200000000001</v>
      </c>
    </row>
    <row r="2118" spans="2:3">
      <c r="B2118" s="30">
        <v>41232</v>
      </c>
      <c r="C2118">
        <v>147.73259999999999</v>
      </c>
    </row>
    <row r="2119" spans="2:3">
      <c r="B2119" s="30">
        <v>41233</v>
      </c>
      <c r="C2119">
        <v>147.73519999999999</v>
      </c>
    </row>
    <row r="2120" spans="2:3">
      <c r="B2120" s="30">
        <v>41234</v>
      </c>
      <c r="C2120">
        <v>147.7208</v>
      </c>
    </row>
    <row r="2121" spans="2:3">
      <c r="B2121" s="30">
        <v>41236</v>
      </c>
      <c r="C2121">
        <v>148.34520000000001</v>
      </c>
    </row>
    <row r="2122" spans="2:3">
      <c r="B2122" s="30">
        <v>41239</v>
      </c>
      <c r="C2122">
        <v>148.36189999999999</v>
      </c>
    </row>
    <row r="2123" spans="2:3">
      <c r="B2123" s="30">
        <v>41240</v>
      </c>
      <c r="C2123">
        <v>148.17240000000001</v>
      </c>
    </row>
    <row r="2124" spans="2:3">
      <c r="B2124" s="30">
        <v>41241</v>
      </c>
      <c r="C2124">
        <v>148.65690000000001</v>
      </c>
    </row>
    <row r="2125" spans="2:3">
      <c r="B2125" s="30">
        <v>41242</v>
      </c>
      <c r="C2125">
        <v>149</v>
      </c>
    </row>
    <row r="2126" spans="2:3">
      <c r="B2126" s="30">
        <v>41243</v>
      </c>
      <c r="C2126">
        <v>149.0307</v>
      </c>
    </row>
    <row r="2127" spans="2:3">
      <c r="B2127" s="30">
        <v>41246</v>
      </c>
      <c r="C2127">
        <v>148.6634</v>
      </c>
    </row>
    <row r="2128" spans="2:3">
      <c r="B2128" s="30">
        <v>41247</v>
      </c>
      <c r="C2128">
        <v>148.6825</v>
      </c>
    </row>
    <row r="2129" spans="2:3">
      <c r="B2129" s="30">
        <v>41248</v>
      </c>
      <c r="C2129">
        <v>148.8973</v>
      </c>
    </row>
    <row r="2130" spans="2:3">
      <c r="B2130" s="30">
        <v>41249</v>
      </c>
      <c r="C2130">
        <v>149.1277</v>
      </c>
    </row>
    <row r="2131" spans="2:3">
      <c r="B2131" s="30">
        <v>41250</v>
      </c>
      <c r="C2131">
        <v>149.114</v>
      </c>
    </row>
    <row r="2132" spans="2:3">
      <c r="B2132" s="30">
        <v>41253</v>
      </c>
      <c r="C2132">
        <v>149.35890000000001</v>
      </c>
    </row>
    <row r="2133" spans="2:3">
      <c r="B2133" s="30">
        <v>41254</v>
      </c>
      <c r="C2133">
        <v>149.7585</v>
      </c>
    </row>
    <row r="2134" spans="2:3">
      <c r="B2134" s="30">
        <v>41255</v>
      </c>
      <c r="C2134">
        <v>149.44630000000001</v>
      </c>
    </row>
    <row r="2135" spans="2:3">
      <c r="B2135" s="30">
        <v>41256</v>
      </c>
      <c r="C2135">
        <v>148.9614</v>
      </c>
    </row>
    <row r="2136" spans="2:3">
      <c r="B2136" s="30">
        <v>41257</v>
      </c>
      <c r="C2136">
        <v>148.9134</v>
      </c>
    </row>
    <row r="2137" spans="2:3">
      <c r="B2137" s="30">
        <v>41260</v>
      </c>
      <c r="C2137">
        <v>149.5258</v>
      </c>
    </row>
    <row r="2138" spans="2:3">
      <c r="B2138" s="30">
        <v>41261</v>
      </c>
      <c r="C2138">
        <v>149.91569999999999</v>
      </c>
    </row>
    <row r="2139" spans="2:3">
      <c r="B2139" s="30">
        <v>41262</v>
      </c>
      <c r="C2139">
        <v>149.68539999999999</v>
      </c>
    </row>
    <row r="2140" spans="2:3">
      <c r="B2140" s="30">
        <v>41263</v>
      </c>
      <c r="C2140">
        <v>149.9896</v>
      </c>
    </row>
    <row r="2141" spans="2:3">
      <c r="B2141" s="30">
        <v>41264</v>
      </c>
      <c r="C2141">
        <v>149.45959999999999</v>
      </c>
    </row>
    <row r="2142" spans="2:3">
      <c r="B2142" s="30">
        <v>41267</v>
      </c>
      <c r="C2142">
        <v>149.13310000000001</v>
      </c>
    </row>
    <row r="2143" spans="2:3">
      <c r="B2143" s="30">
        <v>41269</v>
      </c>
      <c r="C2143">
        <v>148.87440000000001</v>
      </c>
    </row>
    <row r="2144" spans="2:3">
      <c r="B2144" s="30">
        <v>41270</v>
      </c>
      <c r="C2144">
        <v>148.923</v>
      </c>
    </row>
    <row r="2145" spans="2:3">
      <c r="B2145" s="30">
        <v>41271</v>
      </c>
      <c r="C2145">
        <v>147.72640000000001</v>
      </c>
    </row>
    <row r="2146" spans="2:3">
      <c r="B2146" s="30">
        <v>41274</v>
      </c>
      <c r="C2146">
        <v>149.2482</v>
      </c>
    </row>
    <row r="2147" spans="2:3">
      <c r="B2147" s="30">
        <v>41276</v>
      </c>
      <c r="C2147">
        <v>150.66030000000001</v>
      </c>
    </row>
    <row r="2148" spans="2:3">
      <c r="B2148" s="30">
        <v>41277</v>
      </c>
      <c r="C2148">
        <v>150.27850000000001</v>
      </c>
    </row>
    <row r="2149" spans="2:3">
      <c r="B2149" s="30">
        <v>41278</v>
      </c>
      <c r="C2149">
        <v>150.37979999999999</v>
      </c>
    </row>
    <row r="2150" spans="2:3">
      <c r="B2150" s="30">
        <v>41281</v>
      </c>
      <c r="C2150">
        <v>150.3784</v>
      </c>
    </row>
    <row r="2151" spans="2:3">
      <c r="B2151" s="30">
        <v>41282</v>
      </c>
      <c r="C2151">
        <v>150.37110000000001</v>
      </c>
    </row>
    <row r="2152" spans="2:3">
      <c r="B2152" s="30">
        <v>41283</v>
      </c>
      <c r="C2152">
        <v>150.55779999999999</v>
      </c>
    </row>
    <row r="2153" spans="2:3">
      <c r="B2153" s="30">
        <v>41284</v>
      </c>
      <c r="C2153">
        <v>150.76419999999999</v>
      </c>
    </row>
    <row r="2154" spans="2:3">
      <c r="B2154" s="30">
        <v>41285</v>
      </c>
      <c r="C2154">
        <v>150.84059999999999</v>
      </c>
    </row>
    <row r="2155" spans="2:3">
      <c r="B2155" s="30">
        <v>41288</v>
      </c>
      <c r="C2155">
        <v>150.7484</v>
      </c>
    </row>
    <row r="2156" spans="2:3">
      <c r="B2156" s="30">
        <v>41289</v>
      </c>
      <c r="C2156">
        <v>150.90860000000001</v>
      </c>
    </row>
    <row r="2157" spans="2:3">
      <c r="B2157" s="30">
        <v>41290</v>
      </c>
      <c r="C2157">
        <v>150.93109999999999</v>
      </c>
    </row>
    <row r="2158" spans="2:3">
      <c r="B2158" s="30">
        <v>41291</v>
      </c>
      <c r="C2158">
        <v>151.05430000000001</v>
      </c>
    </row>
    <row r="2159" spans="2:3">
      <c r="B2159" s="30">
        <v>41292</v>
      </c>
      <c r="C2159">
        <v>151.31360000000001</v>
      </c>
    </row>
    <row r="2160" spans="2:3">
      <c r="B2160" s="30">
        <v>41296</v>
      </c>
      <c r="C2160">
        <v>151.74109999999999</v>
      </c>
    </row>
    <row r="2161" spans="2:3">
      <c r="B2161" s="30">
        <v>41297</v>
      </c>
      <c r="C2161">
        <v>151.7637</v>
      </c>
    </row>
    <row r="2162" spans="2:3">
      <c r="B2162" s="30">
        <v>41298</v>
      </c>
      <c r="C2162">
        <v>151.7731</v>
      </c>
    </row>
    <row r="2163" spans="2:3">
      <c r="B2163" s="30">
        <v>41299</v>
      </c>
      <c r="C2163">
        <v>151.5273</v>
      </c>
    </row>
    <row r="2164" spans="2:3">
      <c r="B2164" s="30">
        <v>41302</v>
      </c>
      <c r="C2164">
        <v>151.4496</v>
      </c>
    </row>
    <row r="2165" spans="2:3">
      <c r="B2165" s="30">
        <v>41303</v>
      </c>
      <c r="C2165">
        <v>151.68979999999999</v>
      </c>
    </row>
    <row r="2166" spans="2:3">
      <c r="B2166" s="30">
        <v>41304</v>
      </c>
      <c r="C2166">
        <v>151.2132</v>
      </c>
    </row>
    <row r="2167" spans="2:3">
      <c r="B2167" s="30">
        <v>41305</v>
      </c>
      <c r="C2167">
        <v>151.24930000000001</v>
      </c>
    </row>
    <row r="2168" spans="2:3">
      <c r="B2168" s="30">
        <v>41306</v>
      </c>
      <c r="C2168">
        <v>151.77260000000001</v>
      </c>
    </row>
    <row r="2169" spans="2:3">
      <c r="B2169" s="30">
        <v>41309</v>
      </c>
      <c r="C2169">
        <v>151.2944</v>
      </c>
    </row>
    <row r="2170" spans="2:3">
      <c r="B2170" s="30">
        <v>41310</v>
      </c>
      <c r="C2170">
        <v>151.67699999999999</v>
      </c>
    </row>
    <row r="2171" spans="2:3">
      <c r="B2171" s="30">
        <v>41311</v>
      </c>
      <c r="C2171">
        <v>151.8613</v>
      </c>
    </row>
    <row r="2172" spans="2:3">
      <c r="B2172" s="30">
        <v>41312</v>
      </c>
      <c r="C2172">
        <v>151.8519</v>
      </c>
    </row>
    <row r="2173" spans="2:3">
      <c r="B2173" s="30">
        <v>41313</v>
      </c>
      <c r="C2173">
        <v>152.1379</v>
      </c>
    </row>
    <row r="2174" spans="2:3">
      <c r="B2174" s="30">
        <v>41316</v>
      </c>
      <c r="C2174">
        <v>152.16130000000001</v>
      </c>
    </row>
    <row r="2175" spans="2:3">
      <c r="B2175" s="30">
        <v>41317</v>
      </c>
      <c r="C2175">
        <v>152.2011</v>
      </c>
    </row>
    <row r="2176" spans="2:3">
      <c r="B2176" s="30">
        <v>41318</v>
      </c>
      <c r="C2176">
        <v>152.13910000000001</v>
      </c>
    </row>
    <row r="2177" spans="2:3">
      <c r="B2177" s="30">
        <v>41319</v>
      </c>
      <c r="C2177">
        <v>152.3878</v>
      </c>
    </row>
    <row r="2178" spans="2:3">
      <c r="B2178" s="30">
        <v>41320</v>
      </c>
      <c r="C2178">
        <v>152.27850000000001</v>
      </c>
    </row>
    <row r="2179" spans="2:3">
      <c r="B2179" s="30">
        <v>41324</v>
      </c>
      <c r="C2179">
        <v>152.68209999999999</v>
      </c>
    </row>
    <row r="2180" spans="2:3">
      <c r="B2180" s="30">
        <v>41325</v>
      </c>
      <c r="C2180">
        <v>151.80709999999999</v>
      </c>
    </row>
    <row r="2181" spans="2:3">
      <c r="B2181" s="30">
        <v>41326</v>
      </c>
      <c r="C2181">
        <v>151.69409999999999</v>
      </c>
    </row>
    <row r="2182" spans="2:3">
      <c r="B2182" s="30">
        <v>41327</v>
      </c>
      <c r="C2182">
        <v>152.33199999999999</v>
      </c>
    </row>
    <row r="2183" spans="2:3">
      <c r="B2183" s="30">
        <v>41330</v>
      </c>
      <c r="C2183">
        <v>151.41810000000001</v>
      </c>
    </row>
    <row r="2184" spans="2:3">
      <c r="B2184" s="30">
        <v>41331</v>
      </c>
      <c r="C2184">
        <v>151.72550000000001</v>
      </c>
    </row>
    <row r="2185" spans="2:3">
      <c r="B2185" s="30">
        <v>41332</v>
      </c>
      <c r="C2185">
        <v>152.59909999999999</v>
      </c>
    </row>
    <row r="2186" spans="2:3">
      <c r="B2186" s="30">
        <v>41333</v>
      </c>
      <c r="C2186">
        <v>152.5335</v>
      </c>
    </row>
    <row r="2187" spans="2:3">
      <c r="B2187" s="30">
        <v>41334</v>
      </c>
      <c r="C2187">
        <v>152.81569999999999</v>
      </c>
    </row>
    <row r="2188" spans="2:3">
      <c r="B2188" s="30">
        <v>41337</v>
      </c>
      <c r="C2188">
        <v>153.1739</v>
      </c>
    </row>
    <row r="2189" spans="2:3">
      <c r="B2189" s="30">
        <v>41338</v>
      </c>
      <c r="C2189">
        <v>153.6232</v>
      </c>
    </row>
    <row r="2190" spans="2:3">
      <c r="B2190" s="30">
        <v>41339</v>
      </c>
      <c r="C2190">
        <v>153.53469999999999</v>
      </c>
    </row>
    <row r="2191" spans="2:3">
      <c r="B2191" s="30">
        <v>41340</v>
      </c>
      <c r="C2191">
        <v>153.5264</v>
      </c>
    </row>
    <row r="2192" spans="2:3">
      <c r="B2192" s="30">
        <v>41341</v>
      </c>
      <c r="C2192">
        <v>153.68100000000001</v>
      </c>
    </row>
    <row r="2193" spans="2:3">
      <c r="B2193" s="30">
        <v>41344</v>
      </c>
      <c r="C2193">
        <v>153.9786</v>
      </c>
    </row>
    <row r="2194" spans="2:3">
      <c r="B2194" s="30">
        <v>41345</v>
      </c>
      <c r="C2194">
        <v>153.92869999999999</v>
      </c>
    </row>
    <row r="2195" spans="2:3">
      <c r="B2195" s="30">
        <v>41346</v>
      </c>
      <c r="C2195">
        <v>154.0797</v>
      </c>
    </row>
    <row r="2196" spans="2:3">
      <c r="B2196" s="30">
        <v>41347</v>
      </c>
      <c r="C2196">
        <v>154.3262</v>
      </c>
    </row>
    <row r="2197" spans="2:3">
      <c r="B2197" s="30">
        <v>41348</v>
      </c>
      <c r="C2197">
        <v>154.35409999999999</v>
      </c>
    </row>
    <row r="2198" spans="2:3">
      <c r="B2198" s="30">
        <v>41351</v>
      </c>
      <c r="C2198">
        <v>154.17019999999999</v>
      </c>
    </row>
    <row r="2199" spans="2:3">
      <c r="B2199" s="30">
        <v>41352</v>
      </c>
      <c r="C2199">
        <v>154.09979999999999</v>
      </c>
    </row>
    <row r="2200" spans="2:3">
      <c r="B2200" s="30">
        <v>41353</v>
      </c>
      <c r="C2200">
        <v>154.3467</v>
      </c>
    </row>
    <row r="2201" spans="2:3">
      <c r="B2201" s="30">
        <v>41354</v>
      </c>
      <c r="C2201">
        <v>153.88159999999999</v>
      </c>
    </row>
    <row r="2202" spans="2:3">
      <c r="B2202" s="30">
        <v>41355</v>
      </c>
      <c r="C2202">
        <v>154.5607</v>
      </c>
    </row>
    <row r="2203" spans="2:3">
      <c r="B2203" s="30">
        <v>41358</v>
      </c>
      <c r="C2203">
        <v>154.3175</v>
      </c>
    </row>
    <row r="2204" spans="2:3">
      <c r="B2204" s="30">
        <v>41359</v>
      </c>
      <c r="C2204">
        <v>154.86590000000001</v>
      </c>
    </row>
    <row r="2205" spans="2:3">
      <c r="B2205" s="30">
        <v>41360</v>
      </c>
      <c r="C2205">
        <v>154.95249999999999</v>
      </c>
    </row>
    <row r="2206" spans="2:3">
      <c r="B2206" s="30">
        <v>41361</v>
      </c>
      <c r="C2206">
        <v>155.24600000000001</v>
      </c>
    </row>
    <row r="2207" spans="2:3">
      <c r="B2207" s="30">
        <v>41365</v>
      </c>
      <c r="C2207">
        <v>155.0017</v>
      </c>
    </row>
    <row r="2208" spans="2:3">
      <c r="B2208" s="30">
        <v>41366</v>
      </c>
      <c r="C2208">
        <v>155.42599999999999</v>
      </c>
    </row>
    <row r="2209" spans="2:3">
      <c r="B2209" s="30">
        <v>41367</v>
      </c>
      <c r="C2209">
        <v>154.74359999999999</v>
      </c>
    </row>
    <row r="2210" spans="2:3">
      <c r="B2210" s="30">
        <v>41368</v>
      </c>
      <c r="C2210">
        <v>155.26079999999999</v>
      </c>
    </row>
    <row r="2211" spans="2:3">
      <c r="B2211" s="30">
        <v>41369</v>
      </c>
      <c r="C2211">
        <v>155.05179999999999</v>
      </c>
    </row>
    <row r="2212" spans="2:3">
      <c r="B2212" s="30">
        <v>41372</v>
      </c>
      <c r="C2212">
        <v>155.67089999999999</v>
      </c>
    </row>
    <row r="2213" spans="2:3">
      <c r="B2213" s="30">
        <v>41373</v>
      </c>
      <c r="C2213">
        <v>155.85300000000001</v>
      </c>
    </row>
    <row r="2214" spans="2:3">
      <c r="B2214" s="30">
        <v>41374</v>
      </c>
      <c r="C2214">
        <v>156.7285</v>
      </c>
    </row>
    <row r="2215" spans="2:3">
      <c r="B2215" s="30">
        <v>41375</v>
      </c>
      <c r="C2215">
        <v>157.0386</v>
      </c>
    </row>
    <row r="2216" spans="2:3">
      <c r="B2216" s="30">
        <v>41376</v>
      </c>
      <c r="C2216">
        <v>156.95859999999999</v>
      </c>
    </row>
    <row r="2217" spans="2:3">
      <c r="B2217" s="30">
        <v>41379</v>
      </c>
      <c r="C2217">
        <v>155.04849999999999</v>
      </c>
    </row>
    <row r="2218" spans="2:3">
      <c r="B2218" s="30">
        <v>41380</v>
      </c>
      <c r="C2218">
        <v>156.3219</v>
      </c>
    </row>
    <row r="2219" spans="2:3">
      <c r="B2219" s="30">
        <v>41381</v>
      </c>
      <c r="C2219">
        <v>155.26480000000001</v>
      </c>
    </row>
    <row r="2220" spans="2:3">
      <c r="B2220" s="30">
        <v>41382</v>
      </c>
      <c r="C2220">
        <v>154.78149999999999</v>
      </c>
    </row>
    <row r="2221" spans="2:3">
      <c r="B2221" s="30">
        <v>41383</v>
      </c>
      <c r="C2221">
        <v>155.30250000000001</v>
      </c>
    </row>
    <row r="2222" spans="2:3">
      <c r="B2222" s="30">
        <v>41386</v>
      </c>
      <c r="C2222">
        <v>155.70529999999999</v>
      </c>
    </row>
    <row r="2223" spans="2:3">
      <c r="B2223" s="30">
        <v>41387</v>
      </c>
      <c r="C2223">
        <v>156.3296</v>
      </c>
    </row>
    <row r="2224" spans="2:3">
      <c r="B2224" s="30">
        <v>41388</v>
      </c>
      <c r="C2224">
        <v>156.3946</v>
      </c>
    </row>
    <row r="2225" spans="2:3">
      <c r="B2225" s="30">
        <v>41389</v>
      </c>
      <c r="C2225">
        <v>156.63579999999999</v>
      </c>
    </row>
    <row r="2226" spans="2:3">
      <c r="B2226" s="30">
        <v>41390</v>
      </c>
      <c r="C2226">
        <v>156.7045</v>
      </c>
    </row>
    <row r="2227" spans="2:3">
      <c r="B2227" s="30">
        <v>41393</v>
      </c>
      <c r="C2227">
        <v>157.1242</v>
      </c>
    </row>
    <row r="2228" spans="2:3">
      <c r="B2228" s="30">
        <v>41394</v>
      </c>
      <c r="C2228">
        <v>157.24959999999999</v>
      </c>
    </row>
    <row r="2229" spans="2:3">
      <c r="B2229" s="30">
        <v>41395</v>
      </c>
      <c r="C2229">
        <v>156.83029999999999</v>
      </c>
    </row>
    <row r="2230" spans="2:3">
      <c r="B2230" s="30">
        <v>41396</v>
      </c>
      <c r="C2230">
        <v>157.47970000000001</v>
      </c>
    </row>
    <row r="2231" spans="2:3">
      <c r="B2231" s="30">
        <v>41397</v>
      </c>
      <c r="C2231">
        <v>157.6275</v>
      </c>
    </row>
    <row r="2232" spans="2:3">
      <c r="B2232" s="30">
        <v>41400</v>
      </c>
      <c r="C2232">
        <v>157.70670000000001</v>
      </c>
    </row>
    <row r="2233" spans="2:3">
      <c r="B2233" s="30">
        <v>41401</v>
      </c>
      <c r="C2233">
        <v>157.93109999999999</v>
      </c>
    </row>
    <row r="2234" spans="2:3">
      <c r="B2234" s="30">
        <v>41402</v>
      </c>
      <c r="C2234">
        <v>158.291</v>
      </c>
    </row>
    <row r="2235" spans="2:3">
      <c r="B2235" s="30">
        <v>41403</v>
      </c>
      <c r="C2235">
        <v>158.03319999999999</v>
      </c>
    </row>
    <row r="2236" spans="2:3">
      <c r="B2236" s="30">
        <v>41404</v>
      </c>
      <c r="C2236">
        <v>157.79650000000001</v>
      </c>
    </row>
    <row r="2237" spans="2:3">
      <c r="B2237" s="30">
        <v>41407</v>
      </c>
      <c r="C2237">
        <v>157.7114</v>
      </c>
    </row>
    <row r="2238" spans="2:3">
      <c r="B2238" s="30">
        <v>41408</v>
      </c>
      <c r="C2238">
        <v>158.1831</v>
      </c>
    </row>
    <row r="2239" spans="2:3">
      <c r="B2239" s="30">
        <v>41409</v>
      </c>
      <c r="C2239">
        <v>158.47720000000001</v>
      </c>
    </row>
    <row r="2240" spans="2:3">
      <c r="B2240" s="30">
        <v>41410</v>
      </c>
      <c r="C2240">
        <v>158.5351</v>
      </c>
    </row>
    <row r="2241" spans="2:3">
      <c r="B2241" s="30">
        <v>41411</v>
      </c>
      <c r="C2241">
        <v>158.8366</v>
      </c>
    </row>
    <row r="2242" spans="2:3">
      <c r="B2242" s="30">
        <v>41414</v>
      </c>
      <c r="C2242">
        <v>158.84950000000001</v>
      </c>
    </row>
    <row r="2243" spans="2:3">
      <c r="B2243" s="30">
        <v>41415</v>
      </c>
      <c r="C2243">
        <v>158.9778</v>
      </c>
    </row>
    <row r="2244" spans="2:3">
      <c r="B2244" s="30">
        <v>41416</v>
      </c>
      <c r="C2244">
        <v>158.26060000000001</v>
      </c>
    </row>
    <row r="2245" spans="2:3">
      <c r="B2245" s="30">
        <v>41417</v>
      </c>
      <c r="C2245">
        <v>158.01349999999999</v>
      </c>
    </row>
    <row r="2246" spans="2:3">
      <c r="B2246" s="30">
        <v>41418</v>
      </c>
      <c r="C2246">
        <v>158.02090000000001</v>
      </c>
    </row>
    <row r="2247" spans="2:3">
      <c r="B2247" s="30">
        <v>41422</v>
      </c>
      <c r="C2247">
        <v>157.69810000000001</v>
      </c>
    </row>
    <row r="2248" spans="2:3">
      <c r="B2248" s="30">
        <v>41423</v>
      </c>
      <c r="C2248">
        <v>157.39940000000001</v>
      </c>
    </row>
    <row r="2249" spans="2:3">
      <c r="B2249" s="30">
        <v>41424</v>
      </c>
      <c r="C2249">
        <v>157.66030000000001</v>
      </c>
    </row>
    <row r="2250" spans="2:3">
      <c r="B2250" s="30">
        <v>41425</v>
      </c>
      <c r="C2250">
        <v>156.5078</v>
      </c>
    </row>
    <row r="2251" spans="2:3">
      <c r="B2251" s="30">
        <v>41428</v>
      </c>
      <c r="C2251">
        <v>156.9101</v>
      </c>
    </row>
    <row r="2252" spans="2:3">
      <c r="B2252" s="30">
        <v>41429</v>
      </c>
      <c r="C2252">
        <v>156.5719</v>
      </c>
    </row>
    <row r="2253" spans="2:3">
      <c r="B2253" s="30">
        <v>41430</v>
      </c>
      <c r="C2253">
        <v>155.7432</v>
      </c>
    </row>
    <row r="2254" spans="2:3">
      <c r="B2254" s="30">
        <v>41431</v>
      </c>
      <c r="C2254">
        <v>156.46369999999999</v>
      </c>
    </row>
    <row r="2255" spans="2:3">
      <c r="B2255" s="30">
        <v>41432</v>
      </c>
      <c r="C2255">
        <v>156.71350000000001</v>
      </c>
    </row>
    <row r="2256" spans="2:3">
      <c r="B2256" s="30">
        <v>41435</v>
      </c>
      <c r="C2256">
        <v>156.52549999999999</v>
      </c>
    </row>
    <row r="2257" spans="2:3">
      <c r="B2257" s="30">
        <v>41436</v>
      </c>
      <c r="C2257">
        <v>156.05070000000001</v>
      </c>
    </row>
    <row r="2258" spans="2:3">
      <c r="B2258" s="30">
        <v>41437</v>
      </c>
      <c r="C2258">
        <v>155.25139999999999</v>
      </c>
    </row>
    <row r="2259" spans="2:3">
      <c r="B2259" s="30">
        <v>41438</v>
      </c>
      <c r="C2259">
        <v>156.6628</v>
      </c>
    </row>
    <row r="2260" spans="2:3">
      <c r="B2260" s="30">
        <v>41439</v>
      </c>
      <c r="C2260">
        <v>156.39230000000001</v>
      </c>
    </row>
    <row r="2261" spans="2:3">
      <c r="B2261" s="30">
        <v>41442</v>
      </c>
      <c r="C2261">
        <v>156.85069999999999</v>
      </c>
    </row>
    <row r="2262" spans="2:3">
      <c r="B2262" s="30">
        <v>41443</v>
      </c>
      <c r="C2262">
        <v>157.24359999999999</v>
      </c>
    </row>
    <row r="2263" spans="2:3">
      <c r="B2263" s="30">
        <v>41444</v>
      </c>
      <c r="C2263">
        <v>155.7141</v>
      </c>
    </row>
    <row r="2264" spans="2:3">
      <c r="B2264" s="30">
        <v>41445</v>
      </c>
      <c r="C2264">
        <v>153.7569</v>
      </c>
    </row>
    <row r="2265" spans="2:3">
      <c r="B2265" s="30">
        <v>41446</v>
      </c>
      <c r="C2265">
        <v>153.28210000000001</v>
      </c>
    </row>
    <row r="2266" spans="2:3">
      <c r="B2266" s="30">
        <v>41449</v>
      </c>
      <c r="C2266">
        <v>152.56479999999999</v>
      </c>
    </row>
    <row r="2267" spans="2:3">
      <c r="B2267" s="30">
        <v>41450</v>
      </c>
      <c r="C2267">
        <v>152.9229</v>
      </c>
    </row>
    <row r="2268" spans="2:3">
      <c r="B2268" s="30">
        <v>41451</v>
      </c>
      <c r="C2268">
        <v>153.68369999999999</v>
      </c>
    </row>
    <row r="2269" spans="2:3">
      <c r="B2269" s="30">
        <v>41452</v>
      </c>
      <c r="C2269">
        <v>154.2808</v>
      </c>
    </row>
    <row r="2270" spans="2:3">
      <c r="B2270" s="30">
        <v>41453</v>
      </c>
      <c r="C2270">
        <v>154.18469999999999</v>
      </c>
    </row>
    <row r="2271" spans="2:3">
      <c r="B2271" s="30">
        <v>41456</v>
      </c>
      <c r="C2271">
        <v>154.38050000000001</v>
      </c>
    </row>
    <row r="2272" spans="2:3">
      <c r="B2272" s="30">
        <v>41457</v>
      </c>
      <c r="C2272">
        <v>154.42769999999999</v>
      </c>
    </row>
    <row r="2273" spans="2:3">
      <c r="B2273" s="30">
        <v>41458</v>
      </c>
      <c r="C2273">
        <v>154.24209999999999</v>
      </c>
    </row>
    <row r="2274" spans="2:3">
      <c r="B2274" s="30">
        <v>41460</v>
      </c>
      <c r="C2274">
        <v>152.85579999999999</v>
      </c>
    </row>
    <row r="2275" spans="2:3">
      <c r="B2275" s="30">
        <v>41463</v>
      </c>
      <c r="C2275">
        <v>153.56559999999999</v>
      </c>
    </row>
    <row r="2276" spans="2:3">
      <c r="B2276" s="30">
        <v>41464</v>
      </c>
      <c r="C2276">
        <v>153.7355</v>
      </c>
    </row>
    <row r="2277" spans="2:3">
      <c r="B2277" s="30">
        <v>41465</v>
      </c>
      <c r="C2277">
        <v>153.54650000000001</v>
      </c>
    </row>
    <row r="2278" spans="2:3">
      <c r="B2278" s="30">
        <v>41466</v>
      </c>
      <c r="C2278">
        <v>154.53749999999999</v>
      </c>
    </row>
    <row r="2279" spans="2:3">
      <c r="B2279" s="30">
        <v>41467</v>
      </c>
      <c r="C2279">
        <v>154.3758</v>
      </c>
    </row>
    <row r="2280" spans="2:3">
      <c r="B2280" s="30">
        <v>41470</v>
      </c>
      <c r="C2280">
        <v>154.77799999999999</v>
      </c>
    </row>
    <row r="2281" spans="2:3">
      <c r="B2281" s="30">
        <v>41471</v>
      </c>
      <c r="C2281">
        <v>154.87139999999999</v>
      </c>
    </row>
    <row r="2282" spans="2:3">
      <c r="B2282" s="30">
        <v>41472</v>
      </c>
      <c r="C2282">
        <v>155.2534</v>
      </c>
    </row>
    <row r="2283" spans="2:3">
      <c r="B2283" s="30">
        <v>41473</v>
      </c>
      <c r="C2283">
        <v>155.0795</v>
      </c>
    </row>
    <row r="2284" spans="2:3">
      <c r="B2284" s="30">
        <v>41474</v>
      </c>
      <c r="C2284">
        <v>155.5558</v>
      </c>
    </row>
    <row r="2285" spans="2:3">
      <c r="B2285" s="30">
        <v>41477</v>
      </c>
      <c r="C2285">
        <v>155.5643</v>
      </c>
    </row>
    <row r="2286" spans="2:3">
      <c r="B2286" s="30">
        <v>41478</v>
      </c>
      <c r="C2286">
        <v>155.2859</v>
      </c>
    </row>
    <row r="2287" spans="2:3">
      <c r="B2287" s="30">
        <v>41479</v>
      </c>
      <c r="C2287">
        <v>154.75030000000001</v>
      </c>
    </row>
    <row r="2288" spans="2:3">
      <c r="B2288" s="30">
        <v>41480</v>
      </c>
      <c r="C2288">
        <v>154.6849</v>
      </c>
    </row>
    <row r="2289" spans="2:3">
      <c r="B2289" s="30">
        <v>41481</v>
      </c>
      <c r="C2289">
        <v>155.1765</v>
      </c>
    </row>
    <row r="2290" spans="2:3">
      <c r="B2290" s="30">
        <v>41484</v>
      </c>
      <c r="C2290">
        <v>154.90979999999999</v>
      </c>
    </row>
    <row r="2291" spans="2:3">
      <c r="B2291" s="30">
        <v>41485</v>
      </c>
      <c r="C2291">
        <v>154.8143</v>
      </c>
    </row>
    <row r="2292" spans="2:3">
      <c r="B2292" s="30">
        <v>41486</v>
      </c>
      <c r="C2292">
        <v>154.93360000000001</v>
      </c>
    </row>
    <row r="2293" spans="2:3">
      <c r="B2293" s="30">
        <v>41487</v>
      </c>
      <c r="C2293">
        <v>153.98670000000001</v>
      </c>
    </row>
    <row r="2294" spans="2:3">
      <c r="B2294" s="30">
        <v>41488</v>
      </c>
      <c r="C2294">
        <v>155.0421</v>
      </c>
    </row>
    <row r="2295" spans="2:3">
      <c r="B2295" s="30">
        <v>41491</v>
      </c>
      <c r="C2295">
        <v>154.7833</v>
      </c>
    </row>
    <row r="2296" spans="2:3">
      <c r="B2296" s="30">
        <v>41492</v>
      </c>
      <c r="C2296">
        <v>154.6677</v>
      </c>
    </row>
    <row r="2297" spans="2:3">
      <c r="B2297" s="30">
        <v>41493</v>
      </c>
      <c r="C2297">
        <v>154.84360000000001</v>
      </c>
    </row>
    <row r="2298" spans="2:3">
      <c r="B2298" s="30">
        <v>41494</v>
      </c>
      <c r="C2298">
        <v>155.0497</v>
      </c>
    </row>
    <row r="2299" spans="2:3">
      <c r="B2299" s="30">
        <v>41495</v>
      </c>
      <c r="C2299">
        <v>155.04409999999999</v>
      </c>
    </row>
    <row r="2300" spans="2:3">
      <c r="B2300" s="30">
        <v>41498</v>
      </c>
      <c r="C2300">
        <v>154.8777</v>
      </c>
    </row>
    <row r="2301" spans="2:3">
      <c r="B2301" s="30">
        <v>41499</v>
      </c>
      <c r="C2301">
        <v>154.20259999999999</v>
      </c>
    </row>
    <row r="2302" spans="2:3">
      <c r="B2302" s="30">
        <v>41500</v>
      </c>
      <c r="C2302">
        <v>154.1773</v>
      </c>
    </row>
    <row r="2303" spans="2:3">
      <c r="B2303" s="30">
        <v>41501</v>
      </c>
      <c r="C2303">
        <v>153.49</v>
      </c>
    </row>
    <row r="2304" spans="2:3">
      <c r="B2304" s="30">
        <v>41502</v>
      </c>
      <c r="C2304">
        <v>152.9385</v>
      </c>
    </row>
    <row r="2305" spans="2:3">
      <c r="B2305" s="30">
        <v>41505</v>
      </c>
      <c r="C2305">
        <v>152.4727</v>
      </c>
    </row>
    <row r="2306" spans="2:3">
      <c r="B2306" s="30">
        <v>41506</v>
      </c>
      <c r="C2306">
        <v>153.05119999999999</v>
      </c>
    </row>
    <row r="2307" spans="2:3">
      <c r="B2307" s="30">
        <v>41507</v>
      </c>
      <c r="C2307">
        <v>152.47069999999999</v>
      </c>
    </row>
    <row r="2308" spans="2:3">
      <c r="B2308" s="30">
        <v>41508</v>
      </c>
      <c r="C2308">
        <v>152.64340000000001</v>
      </c>
    </row>
    <row r="2309" spans="2:3">
      <c r="B2309" s="30">
        <v>41509</v>
      </c>
      <c r="C2309">
        <v>153.28020000000001</v>
      </c>
    </row>
    <row r="2310" spans="2:3">
      <c r="B2310" s="30">
        <v>41512</v>
      </c>
      <c r="C2310">
        <v>153.23750000000001</v>
      </c>
    </row>
    <row r="2311" spans="2:3">
      <c r="B2311" s="30">
        <v>41513</v>
      </c>
      <c r="C2311">
        <v>152.87610000000001</v>
      </c>
    </row>
    <row r="2312" spans="2:3">
      <c r="B2312" s="30">
        <v>41514</v>
      </c>
      <c r="C2312">
        <v>152.71879999999999</v>
      </c>
    </row>
    <row r="2313" spans="2:3">
      <c r="B2313" s="30">
        <v>41515</v>
      </c>
      <c r="C2313">
        <v>153.07040000000001</v>
      </c>
    </row>
    <row r="2314" spans="2:3">
      <c r="B2314" s="30">
        <v>41516</v>
      </c>
      <c r="C2314">
        <v>152.88630000000001</v>
      </c>
    </row>
    <row r="2315" spans="2:3">
      <c r="B2315" s="30">
        <v>41520</v>
      </c>
      <c r="C2315">
        <v>152.65280000000001</v>
      </c>
    </row>
    <row r="2316" spans="2:3">
      <c r="B2316" s="30">
        <v>41521</v>
      </c>
      <c r="C2316">
        <v>152.90039999999999</v>
      </c>
    </row>
    <row r="2317" spans="2:3">
      <c r="B2317" s="30">
        <v>41522</v>
      </c>
      <c r="C2317">
        <v>152.41300000000001</v>
      </c>
    </row>
    <row r="2318" spans="2:3">
      <c r="B2318" s="30">
        <v>41523</v>
      </c>
      <c r="C2318">
        <v>152.7312</v>
      </c>
    </row>
    <row r="2319" spans="2:3">
      <c r="B2319" s="30">
        <v>41526</v>
      </c>
      <c r="C2319">
        <v>153.55439999999999</v>
      </c>
    </row>
    <row r="2320" spans="2:3">
      <c r="B2320" s="30">
        <v>41527</v>
      </c>
      <c r="C2320">
        <v>153.75550000000001</v>
      </c>
    </row>
    <row r="2321" spans="2:3">
      <c r="B2321" s="30">
        <v>41528</v>
      </c>
      <c r="C2321">
        <v>154.2593</v>
      </c>
    </row>
    <row r="2322" spans="2:3">
      <c r="B2322" s="30">
        <v>41529</v>
      </c>
      <c r="C2322">
        <v>154.15940000000001</v>
      </c>
    </row>
    <row r="2323" spans="2:3">
      <c r="B2323" s="30">
        <v>41530</v>
      </c>
      <c r="C2323">
        <v>154.3236</v>
      </c>
    </row>
    <row r="2324" spans="2:3">
      <c r="B2324" s="30">
        <v>41533</v>
      </c>
      <c r="C2324">
        <v>154.85759999999999</v>
      </c>
    </row>
    <row r="2325" spans="2:3">
      <c r="B2325" s="30">
        <v>41534</v>
      </c>
      <c r="C2325">
        <v>155.2868</v>
      </c>
    </row>
    <row r="2326" spans="2:3">
      <c r="B2326" s="30">
        <v>41535</v>
      </c>
      <c r="C2326">
        <v>156.76759999999999</v>
      </c>
    </row>
    <row r="2327" spans="2:3">
      <c r="B2327" s="30">
        <v>41536</v>
      </c>
      <c r="C2327">
        <v>156.5455</v>
      </c>
    </row>
    <row r="2328" spans="2:3">
      <c r="B2328" s="30">
        <v>41537</v>
      </c>
      <c r="C2328">
        <v>156.0949</v>
      </c>
    </row>
    <row r="2329" spans="2:3">
      <c r="B2329" s="30">
        <v>41540</v>
      </c>
      <c r="C2329">
        <v>155.87010000000001</v>
      </c>
    </row>
    <row r="2330" spans="2:3">
      <c r="B2330" s="30">
        <v>41541</v>
      </c>
      <c r="C2330">
        <v>156.22819999999999</v>
      </c>
    </row>
    <row r="2331" spans="2:3">
      <c r="B2331" s="30">
        <v>41542</v>
      </c>
      <c r="C2331">
        <v>156.21250000000001</v>
      </c>
    </row>
    <row r="2332" spans="2:3">
      <c r="B2332" s="30">
        <v>41543</v>
      </c>
      <c r="C2332">
        <v>156.27549999999999</v>
      </c>
    </row>
    <row r="2333" spans="2:3">
      <c r="B2333" s="30">
        <v>41544</v>
      </c>
      <c r="C2333">
        <v>156.18469999999999</v>
      </c>
    </row>
    <row r="2334" spans="2:3">
      <c r="B2334" s="30">
        <v>41547</v>
      </c>
      <c r="C2334">
        <v>155.80279999999999</v>
      </c>
    </row>
    <row r="2335" spans="2:3">
      <c r="B2335" s="30">
        <v>41548</v>
      </c>
      <c r="C2335">
        <v>156.17019999999999</v>
      </c>
    </row>
    <row r="2336" spans="2:3">
      <c r="B2336" s="30">
        <v>41549</v>
      </c>
      <c r="C2336">
        <v>156.10409999999999</v>
      </c>
    </row>
    <row r="2337" spans="2:3">
      <c r="B2337" s="30">
        <v>41550</v>
      </c>
      <c r="C2337">
        <v>155.703</v>
      </c>
    </row>
    <row r="2338" spans="2:3">
      <c r="B2338" s="30">
        <v>41551</v>
      </c>
      <c r="C2338">
        <v>156.07249999999999</v>
      </c>
    </row>
    <row r="2339" spans="2:3">
      <c r="B2339" s="30">
        <v>41554</v>
      </c>
      <c r="C2339">
        <v>155.48560000000001</v>
      </c>
    </row>
    <row r="2340" spans="2:3">
      <c r="B2340" s="30">
        <v>41555</v>
      </c>
      <c r="C2340">
        <v>154.82409999999999</v>
      </c>
    </row>
    <row r="2341" spans="2:3">
      <c r="B2341" s="30">
        <v>41556</v>
      </c>
      <c r="C2341">
        <v>154.7809</v>
      </c>
    </row>
    <row r="2342" spans="2:3">
      <c r="B2342" s="30">
        <v>41557</v>
      </c>
      <c r="C2342">
        <v>155.9222</v>
      </c>
    </row>
    <row r="2343" spans="2:3">
      <c r="B2343" s="30">
        <v>41558</v>
      </c>
      <c r="C2343">
        <v>156.4974</v>
      </c>
    </row>
    <row r="2344" spans="2:3">
      <c r="B2344" s="30">
        <v>41562</v>
      </c>
      <c r="C2344">
        <v>156.10890000000001</v>
      </c>
    </row>
    <row r="2345" spans="2:3">
      <c r="B2345" s="30">
        <v>41563</v>
      </c>
      <c r="C2345">
        <v>157.0855</v>
      </c>
    </row>
    <row r="2346" spans="2:3">
      <c r="B2346" s="30">
        <v>41564</v>
      </c>
      <c r="C2346">
        <v>157.9854</v>
      </c>
    </row>
    <row r="2347" spans="2:3">
      <c r="B2347" s="30">
        <v>41565</v>
      </c>
      <c r="C2347">
        <v>158.1816</v>
      </c>
    </row>
    <row r="2348" spans="2:3">
      <c r="B2348" s="30">
        <v>41568</v>
      </c>
      <c r="C2348">
        <v>158.09</v>
      </c>
    </row>
    <row r="2349" spans="2:3">
      <c r="B2349" s="30">
        <v>41569</v>
      </c>
      <c r="C2349">
        <v>158.93029999999999</v>
      </c>
    </row>
    <row r="2350" spans="2:3">
      <c r="B2350" s="30">
        <v>41570</v>
      </c>
      <c r="C2350">
        <v>158.73740000000001</v>
      </c>
    </row>
    <row r="2351" spans="2:3">
      <c r="B2351" s="30">
        <v>41571</v>
      </c>
      <c r="C2351">
        <v>158.76159999999999</v>
      </c>
    </row>
    <row r="2352" spans="2:3">
      <c r="B2352" s="30">
        <v>41572</v>
      </c>
      <c r="C2352">
        <v>159.05889999999999</v>
      </c>
    </row>
    <row r="2353" spans="2:3">
      <c r="B2353" s="30">
        <v>41575</v>
      </c>
      <c r="C2353">
        <v>159.1651</v>
      </c>
    </row>
    <row r="2354" spans="2:3">
      <c r="B2354" s="30">
        <v>41576</v>
      </c>
      <c r="C2354">
        <v>159.45050000000001</v>
      </c>
    </row>
    <row r="2355" spans="2:3">
      <c r="B2355" s="30">
        <v>41577</v>
      </c>
      <c r="C2355">
        <v>159.0993</v>
      </c>
    </row>
    <row r="2356" spans="2:3">
      <c r="B2356" s="30">
        <v>41578</v>
      </c>
      <c r="C2356">
        <v>158.8049</v>
      </c>
    </row>
    <row r="2357" spans="2:3">
      <c r="B2357" s="30">
        <v>41579</v>
      </c>
      <c r="C2357">
        <v>158.52979999999999</v>
      </c>
    </row>
    <row r="2358" spans="2:3">
      <c r="B2358" s="30">
        <v>41582</v>
      </c>
      <c r="C2358">
        <v>158.87559999999999</v>
      </c>
    </row>
    <row r="2359" spans="2:3">
      <c r="B2359" s="30">
        <v>41583</v>
      </c>
      <c r="C2359">
        <v>158.37209999999999</v>
      </c>
    </row>
    <row r="2360" spans="2:3">
      <c r="B2360" s="30">
        <v>41584</v>
      </c>
      <c r="C2360">
        <v>158.83539999999999</v>
      </c>
    </row>
    <row r="2361" spans="2:3">
      <c r="B2361" s="30">
        <v>41585</v>
      </c>
      <c r="C2361">
        <v>158.38659999999999</v>
      </c>
    </row>
    <row r="2362" spans="2:3">
      <c r="B2362" s="30">
        <v>41586</v>
      </c>
      <c r="C2362">
        <v>158.38419999999999</v>
      </c>
    </row>
    <row r="2363" spans="2:3">
      <c r="B2363" s="30">
        <v>41590</v>
      </c>
      <c r="C2363">
        <v>158.1772</v>
      </c>
    </row>
    <row r="2364" spans="2:3">
      <c r="B2364" s="30">
        <v>41591</v>
      </c>
      <c r="C2364">
        <v>158.83590000000001</v>
      </c>
    </row>
    <row r="2365" spans="2:3">
      <c r="B2365" s="30">
        <v>41592</v>
      </c>
      <c r="C2365">
        <v>159.38140000000001</v>
      </c>
    </row>
    <row r="2366" spans="2:3">
      <c r="B2366" s="30">
        <v>41593</v>
      </c>
      <c r="C2366">
        <v>159.5788</v>
      </c>
    </row>
    <row r="2367" spans="2:3">
      <c r="B2367" s="30">
        <v>41596</v>
      </c>
      <c r="C2367">
        <v>159.5822</v>
      </c>
    </row>
    <row r="2368" spans="2:3">
      <c r="B2368" s="30">
        <v>41597</v>
      </c>
      <c r="C2368">
        <v>159.23949999999999</v>
      </c>
    </row>
    <row r="2369" spans="2:3">
      <c r="B2369" s="30">
        <v>41598</v>
      </c>
      <c r="C2369">
        <v>158.80670000000001</v>
      </c>
    </row>
    <row r="2370" spans="2:3">
      <c r="B2370" s="30">
        <v>41599</v>
      </c>
      <c r="C2370">
        <v>159.37649999999999</v>
      </c>
    </row>
    <row r="2371" spans="2:3">
      <c r="B2371" s="30">
        <v>41600</v>
      </c>
      <c r="C2371">
        <v>159.83959999999999</v>
      </c>
    </row>
    <row r="2372" spans="2:3">
      <c r="B2372" s="30">
        <v>41603</v>
      </c>
      <c r="C2372">
        <v>159.9359</v>
      </c>
    </row>
    <row r="2373" spans="2:3">
      <c r="B2373" s="30">
        <v>41604</v>
      </c>
      <c r="C2373">
        <v>160.14259999999999</v>
      </c>
    </row>
    <row r="2374" spans="2:3">
      <c r="B2374" s="30">
        <v>41605</v>
      </c>
      <c r="C2374">
        <v>160.06200000000001</v>
      </c>
    </row>
    <row r="2375" spans="2:3">
      <c r="B2375" s="30">
        <v>41607</v>
      </c>
      <c r="C2375">
        <v>160.0067</v>
      </c>
    </row>
    <row r="2376" spans="2:3">
      <c r="B2376" s="30">
        <v>41610</v>
      </c>
      <c r="C2376">
        <v>159.5667</v>
      </c>
    </row>
    <row r="2377" spans="2:3">
      <c r="B2377" s="30">
        <v>41611</v>
      </c>
      <c r="C2377">
        <v>159.392</v>
      </c>
    </row>
    <row r="2378" spans="2:3">
      <c r="B2378" s="30">
        <v>41612</v>
      </c>
      <c r="C2378">
        <v>159.0857</v>
      </c>
    </row>
    <row r="2379" spans="2:3">
      <c r="B2379" s="30">
        <v>41613</v>
      </c>
      <c r="C2379">
        <v>158.6533</v>
      </c>
    </row>
    <row r="2380" spans="2:3">
      <c r="B2380" s="30">
        <v>41614</v>
      </c>
      <c r="C2380">
        <v>159.43979999999999</v>
      </c>
    </row>
    <row r="2381" spans="2:3">
      <c r="B2381" s="30">
        <v>41617</v>
      </c>
      <c r="C2381">
        <v>159.74189999999999</v>
      </c>
    </row>
    <row r="2382" spans="2:3">
      <c r="B2382" s="30">
        <v>41618</v>
      </c>
      <c r="C2382">
        <v>159.7841</v>
      </c>
    </row>
    <row r="2383" spans="2:3">
      <c r="B2383" s="30">
        <v>41619</v>
      </c>
      <c r="C2383">
        <v>158.6131</v>
      </c>
    </row>
    <row r="2384" spans="2:3">
      <c r="B2384" s="30">
        <v>41620</v>
      </c>
      <c r="C2384">
        <v>158.25120000000001</v>
      </c>
    </row>
    <row r="2385" spans="2:3">
      <c r="B2385" s="30">
        <v>41621</v>
      </c>
      <c r="C2385">
        <v>158.3064</v>
      </c>
    </row>
    <row r="2386" spans="2:3">
      <c r="B2386" s="30">
        <v>41624</v>
      </c>
      <c r="C2386">
        <v>158.77979999999999</v>
      </c>
    </row>
    <row r="2387" spans="2:3">
      <c r="B2387" s="30">
        <v>41625</v>
      </c>
      <c r="C2387">
        <v>158.57900000000001</v>
      </c>
    </row>
    <row r="2388" spans="2:3">
      <c r="B2388" s="30">
        <v>41626</v>
      </c>
      <c r="C2388">
        <v>160.03110000000001</v>
      </c>
    </row>
    <row r="2389" spans="2:3">
      <c r="B2389" s="30">
        <v>41627</v>
      </c>
      <c r="C2389">
        <v>159.7688</v>
      </c>
    </row>
    <row r="2390" spans="2:3">
      <c r="B2390" s="30">
        <v>41628</v>
      </c>
      <c r="C2390">
        <v>160.4786</v>
      </c>
    </row>
    <row r="2391" spans="2:3">
      <c r="B2391" s="30">
        <v>41631</v>
      </c>
      <c r="C2391">
        <v>160.73169999999999</v>
      </c>
    </row>
    <row r="2392" spans="2:3">
      <c r="B2392" s="30">
        <v>41632</v>
      </c>
      <c r="C2392">
        <v>160.7687</v>
      </c>
    </row>
    <row r="2393" spans="2:3">
      <c r="B2393" s="30">
        <v>41634</v>
      </c>
      <c r="C2393">
        <v>161.02520000000001</v>
      </c>
    </row>
    <row r="2394" spans="2:3">
      <c r="B2394" s="30">
        <v>41635</v>
      </c>
      <c r="C2394">
        <v>160.96600000000001</v>
      </c>
    </row>
    <row r="2395" spans="2:3">
      <c r="B2395" s="30">
        <v>41638</v>
      </c>
      <c r="C2395">
        <v>161.0307</v>
      </c>
    </row>
    <row r="2396" spans="2:3">
      <c r="B2396" s="30">
        <v>41639</v>
      </c>
      <c r="C2396">
        <v>161.20670000000001</v>
      </c>
    </row>
    <row r="2397" spans="2:3">
      <c r="B2397" s="30">
        <v>41641</v>
      </c>
      <c r="C2397">
        <v>160.70349999999999</v>
      </c>
    </row>
    <row r="2398" spans="2:3">
      <c r="B2398" s="30">
        <v>41642</v>
      </c>
      <c r="C2398">
        <v>160.64109999999999</v>
      </c>
    </row>
    <row r="2399" spans="2:3">
      <c r="B2399" s="30">
        <v>41645</v>
      </c>
      <c r="C2399">
        <v>160.6199</v>
      </c>
    </row>
    <row r="2400" spans="2:3">
      <c r="B2400" s="30">
        <v>41646</v>
      </c>
      <c r="C2400">
        <v>161.07740000000001</v>
      </c>
    </row>
    <row r="2401" spans="2:3">
      <c r="B2401" s="30">
        <v>41647</v>
      </c>
      <c r="C2401">
        <v>160.85</v>
      </c>
    </row>
    <row r="2402" spans="2:3">
      <c r="B2402" s="30">
        <v>41648</v>
      </c>
      <c r="C2402">
        <v>160.99529999999999</v>
      </c>
    </row>
    <row r="2403" spans="2:3">
      <c r="B2403" s="30">
        <v>41649</v>
      </c>
      <c r="C2403">
        <v>161.6942</v>
      </c>
    </row>
    <row r="2404" spans="2:3">
      <c r="B2404" s="30">
        <v>41652</v>
      </c>
      <c r="C2404">
        <v>160.83609999999999</v>
      </c>
    </row>
    <row r="2405" spans="2:3">
      <c r="B2405" s="30">
        <v>41653</v>
      </c>
      <c r="C2405">
        <v>161.48609999999999</v>
      </c>
    </row>
    <row r="2406" spans="2:3">
      <c r="B2406" s="30">
        <v>41654</v>
      </c>
      <c r="C2406">
        <v>161.8004</v>
      </c>
    </row>
    <row r="2407" spans="2:3">
      <c r="B2407" s="30">
        <v>41655</v>
      </c>
      <c r="C2407">
        <v>161.7182</v>
      </c>
    </row>
    <row r="2408" spans="2:3">
      <c r="B2408" s="30">
        <v>41656</v>
      </c>
      <c r="C2408">
        <v>161.70169999999999</v>
      </c>
    </row>
    <row r="2409" spans="2:3">
      <c r="B2409" s="30">
        <v>41660</v>
      </c>
      <c r="C2409">
        <v>161.87100000000001</v>
      </c>
    </row>
    <row r="2410" spans="2:3">
      <c r="B2410" s="30">
        <v>41661</v>
      </c>
      <c r="C2410">
        <v>161.70419999999999</v>
      </c>
    </row>
    <row r="2411" spans="2:3">
      <c r="B2411" s="30">
        <v>41662</v>
      </c>
      <c r="C2411">
        <v>161.38040000000001</v>
      </c>
    </row>
    <row r="2412" spans="2:3">
      <c r="B2412" s="30">
        <v>41663</v>
      </c>
      <c r="C2412">
        <v>159.38419999999999</v>
      </c>
    </row>
    <row r="2413" spans="2:3">
      <c r="B2413" s="30">
        <v>41666</v>
      </c>
      <c r="C2413">
        <v>158.9787</v>
      </c>
    </row>
    <row r="2414" spans="2:3">
      <c r="B2414" s="30">
        <v>41667</v>
      </c>
      <c r="C2414">
        <v>159.7201</v>
      </c>
    </row>
    <row r="2415" spans="2:3">
      <c r="B2415" s="30">
        <v>41668</v>
      </c>
      <c r="C2415">
        <v>159.18369999999999</v>
      </c>
    </row>
    <row r="2416" spans="2:3">
      <c r="B2416" s="30">
        <v>41669</v>
      </c>
      <c r="C2416">
        <v>159.5461</v>
      </c>
    </row>
    <row r="2417" spans="2:3">
      <c r="B2417" s="30">
        <v>41670</v>
      </c>
      <c r="C2417">
        <v>159.49799999999999</v>
      </c>
    </row>
    <row r="2418" spans="2:3">
      <c r="B2418" s="30">
        <v>41673</v>
      </c>
      <c r="C2418">
        <v>158.29640000000001</v>
      </c>
    </row>
    <row r="2419" spans="2:3">
      <c r="B2419" s="30">
        <v>41674</v>
      </c>
      <c r="C2419">
        <v>158.55850000000001</v>
      </c>
    </row>
    <row r="2420" spans="2:3">
      <c r="B2420" s="30">
        <v>41675</v>
      </c>
      <c r="C2420">
        <v>158.3691</v>
      </c>
    </row>
    <row r="2421" spans="2:3">
      <c r="B2421" s="30">
        <v>41676</v>
      </c>
      <c r="C2421">
        <v>159.01490000000001</v>
      </c>
    </row>
    <row r="2422" spans="2:3">
      <c r="B2422" s="30">
        <v>41677</v>
      </c>
      <c r="C2422">
        <v>160.09800000000001</v>
      </c>
    </row>
    <row r="2423" spans="2:3">
      <c r="B2423" s="30">
        <v>41680</v>
      </c>
      <c r="C2423">
        <v>160.1113</v>
      </c>
    </row>
    <row r="2424" spans="2:3">
      <c r="B2424" s="30">
        <v>41681</v>
      </c>
      <c r="C2424">
        <v>160.46209999999999</v>
      </c>
    </row>
    <row r="2425" spans="2:3">
      <c r="B2425" s="30">
        <v>41682</v>
      </c>
      <c r="C2425">
        <v>160.33750000000001</v>
      </c>
    </row>
    <row r="2426" spans="2:3">
      <c r="B2426" s="30">
        <v>41683</v>
      </c>
      <c r="C2426">
        <v>160.88249999999999</v>
      </c>
    </row>
    <row r="2427" spans="2:3">
      <c r="B2427" s="30">
        <v>41684</v>
      </c>
      <c r="C2427">
        <v>161.1584</v>
      </c>
    </row>
    <row r="2428" spans="2:3">
      <c r="B2428" s="30">
        <v>41688</v>
      </c>
      <c r="C2428">
        <v>161.42330000000001</v>
      </c>
    </row>
    <row r="2429" spans="2:3">
      <c r="B2429" s="30">
        <v>41689</v>
      </c>
      <c r="C2429">
        <v>160.86420000000001</v>
      </c>
    </row>
    <row r="2430" spans="2:3">
      <c r="B2430" s="30">
        <v>41690</v>
      </c>
      <c r="C2430">
        <v>161.08070000000001</v>
      </c>
    </row>
    <row r="2431" spans="2:3">
      <c r="B2431" s="30">
        <v>41691</v>
      </c>
      <c r="C2431">
        <v>161.12649999999999</v>
      </c>
    </row>
    <row r="2432" spans="2:3">
      <c r="B2432" s="30">
        <v>41694</v>
      </c>
      <c r="C2432">
        <v>161.4059</v>
      </c>
    </row>
    <row r="2433" spans="2:3">
      <c r="B2433" s="30">
        <v>41695</v>
      </c>
      <c r="C2433">
        <v>161.64850000000001</v>
      </c>
    </row>
    <row r="2434" spans="2:3">
      <c r="B2434" s="30">
        <v>41696</v>
      </c>
      <c r="C2434">
        <v>161.68129999999999</v>
      </c>
    </row>
    <row r="2435" spans="2:3">
      <c r="B2435" s="30">
        <v>41697</v>
      </c>
      <c r="C2435">
        <v>162.2587</v>
      </c>
    </row>
    <row r="2436" spans="2:3">
      <c r="B2436" s="30">
        <v>41698</v>
      </c>
      <c r="C2436">
        <v>162.30799999999999</v>
      </c>
    </row>
    <row r="2437" spans="2:3">
      <c r="B2437" s="30">
        <v>41701</v>
      </c>
      <c r="C2437">
        <v>162.00890000000001</v>
      </c>
    </row>
    <row r="2438" spans="2:3">
      <c r="B2438" s="30">
        <v>41702</v>
      </c>
      <c r="C2438">
        <v>162.65350000000001</v>
      </c>
    </row>
    <row r="2439" spans="2:3">
      <c r="B2439" s="30">
        <v>41703</v>
      </c>
      <c r="C2439">
        <v>162.67910000000001</v>
      </c>
    </row>
    <row r="2440" spans="2:3">
      <c r="B2440" s="30">
        <v>41704</v>
      </c>
      <c r="C2440">
        <v>162.6071</v>
      </c>
    </row>
    <row r="2441" spans="2:3">
      <c r="B2441" s="30">
        <v>41705</v>
      </c>
      <c r="C2441">
        <v>162.36170000000001</v>
      </c>
    </row>
    <row r="2442" spans="2:3">
      <c r="B2442" s="30">
        <v>41708</v>
      </c>
      <c r="C2442">
        <v>162.37729999999999</v>
      </c>
    </row>
    <row r="2443" spans="2:3">
      <c r="B2443" s="30">
        <v>41709</v>
      </c>
      <c r="C2443">
        <v>162.04339999999999</v>
      </c>
    </row>
    <row r="2444" spans="2:3">
      <c r="B2444" s="30">
        <v>41710</v>
      </c>
      <c r="C2444">
        <v>162.2851</v>
      </c>
    </row>
    <row r="2445" spans="2:3">
      <c r="B2445" s="30">
        <v>41711</v>
      </c>
      <c r="C2445">
        <v>161.84030000000001</v>
      </c>
    </row>
    <row r="2446" spans="2:3">
      <c r="B2446" s="30">
        <v>41712</v>
      </c>
      <c r="C2446">
        <v>161.63140000000001</v>
      </c>
    </row>
    <row r="2447" spans="2:3">
      <c r="B2447" s="30">
        <v>41715</v>
      </c>
      <c r="C2447">
        <v>162.1266</v>
      </c>
    </row>
    <row r="2448" spans="2:3">
      <c r="B2448" s="30">
        <v>41716</v>
      </c>
      <c r="C2448">
        <v>162.73560000000001</v>
      </c>
    </row>
    <row r="2449" spans="2:3">
      <c r="B2449" s="30">
        <v>41717</v>
      </c>
      <c r="C2449">
        <v>161.7878</v>
      </c>
    </row>
    <row r="2450" spans="2:3">
      <c r="B2450" s="30">
        <v>41718</v>
      </c>
      <c r="C2450">
        <v>162.2901</v>
      </c>
    </row>
    <row r="2451" spans="2:3">
      <c r="B2451" s="30">
        <v>41719</v>
      </c>
      <c r="C2451">
        <v>162.13120000000001</v>
      </c>
    </row>
    <row r="2452" spans="2:3">
      <c r="B2452" s="30">
        <v>41722</v>
      </c>
      <c r="C2452">
        <v>161.89179999999999</v>
      </c>
    </row>
    <row r="2453" spans="2:3">
      <c r="B2453" s="30">
        <v>41723</v>
      </c>
      <c r="C2453">
        <v>162.26079999999999</v>
      </c>
    </row>
    <row r="2454" spans="2:3">
      <c r="B2454" s="30">
        <v>41724</v>
      </c>
      <c r="C2454">
        <v>161.84549999999999</v>
      </c>
    </row>
    <row r="2455" spans="2:3">
      <c r="B2455" s="30">
        <v>41725</v>
      </c>
      <c r="C2455">
        <v>161.88239999999999</v>
      </c>
    </row>
    <row r="2456" spans="2:3">
      <c r="B2456" s="30">
        <v>41726</v>
      </c>
      <c r="C2456">
        <v>162.10390000000001</v>
      </c>
    </row>
    <row r="2457" spans="2:3">
      <c r="B2457" s="30">
        <v>41729</v>
      </c>
      <c r="C2457">
        <v>162.6482</v>
      </c>
    </row>
    <row r="2458" spans="2:3">
      <c r="B2458" s="30">
        <v>41730</v>
      </c>
      <c r="C2458">
        <v>163.06190000000001</v>
      </c>
    </row>
    <row r="2459" spans="2:3">
      <c r="B2459" s="30">
        <v>41731</v>
      </c>
      <c r="C2459">
        <v>163.0189</v>
      </c>
    </row>
    <row r="2460" spans="2:3">
      <c r="B2460" s="30">
        <v>41732</v>
      </c>
      <c r="C2460">
        <v>163.08629999999999</v>
      </c>
    </row>
    <row r="2461" spans="2:3">
      <c r="B2461" s="30">
        <v>41733</v>
      </c>
      <c r="C2461">
        <v>162.44390000000001</v>
      </c>
    </row>
    <row r="2462" spans="2:3">
      <c r="B2462" s="30">
        <v>41736</v>
      </c>
      <c r="C2462">
        <v>161.6352</v>
      </c>
    </row>
    <row r="2463" spans="2:3">
      <c r="B2463" s="30">
        <v>41737</v>
      </c>
      <c r="C2463">
        <v>162.01650000000001</v>
      </c>
    </row>
    <row r="2464" spans="2:3">
      <c r="B2464" s="30">
        <v>41738</v>
      </c>
      <c r="C2464">
        <v>162.9375</v>
      </c>
    </row>
    <row r="2465" spans="2:3">
      <c r="B2465" s="30">
        <v>41739</v>
      </c>
      <c r="C2465">
        <v>161.58789999999999</v>
      </c>
    </row>
    <row r="2466" spans="2:3">
      <c r="B2466" s="30">
        <v>41740</v>
      </c>
      <c r="C2466">
        <v>161.00630000000001</v>
      </c>
    </row>
    <row r="2467" spans="2:3">
      <c r="B2467" s="30">
        <v>41743</v>
      </c>
      <c r="C2467">
        <v>161.4145</v>
      </c>
    </row>
    <row r="2468" spans="2:3">
      <c r="B2468" s="30">
        <v>41744</v>
      </c>
      <c r="C2468">
        <v>161.95939999999999</v>
      </c>
    </row>
    <row r="2469" spans="2:3">
      <c r="B2469" s="30">
        <v>41745</v>
      </c>
      <c r="C2469">
        <v>162.4025</v>
      </c>
    </row>
    <row r="2470" spans="2:3">
      <c r="B2470" s="30">
        <v>41746</v>
      </c>
      <c r="C2470">
        <v>162.24969999999999</v>
      </c>
    </row>
    <row r="2471" spans="2:3">
      <c r="B2471" s="30">
        <v>41750</v>
      </c>
      <c r="C2471">
        <v>162.4924</v>
      </c>
    </row>
    <row r="2472" spans="2:3">
      <c r="B2472" s="30">
        <v>41751</v>
      </c>
      <c r="C2472">
        <v>162.86920000000001</v>
      </c>
    </row>
    <row r="2473" spans="2:3">
      <c r="B2473" s="30">
        <v>41752</v>
      </c>
      <c r="C2473">
        <v>163.011</v>
      </c>
    </row>
    <row r="2474" spans="2:3">
      <c r="B2474" s="30">
        <v>41753</v>
      </c>
      <c r="C2474">
        <v>163.0087</v>
      </c>
    </row>
    <row r="2475" spans="2:3">
      <c r="B2475" s="30">
        <v>41754</v>
      </c>
      <c r="C2475">
        <v>162.60470000000001</v>
      </c>
    </row>
    <row r="2476" spans="2:3">
      <c r="B2476" s="30">
        <v>41757</v>
      </c>
      <c r="C2476">
        <v>162.84520000000001</v>
      </c>
    </row>
    <row r="2477" spans="2:3">
      <c r="B2477" s="30">
        <v>41758</v>
      </c>
      <c r="C2477">
        <v>162.971</v>
      </c>
    </row>
    <row r="2478" spans="2:3">
      <c r="B2478" s="30">
        <v>41759</v>
      </c>
      <c r="C2478">
        <v>163.4864</v>
      </c>
    </row>
    <row r="2479" spans="2:3">
      <c r="B2479" s="30">
        <v>41760</v>
      </c>
      <c r="C2479">
        <v>163.65549999999999</v>
      </c>
    </row>
    <row r="2480" spans="2:3">
      <c r="B2480" s="30">
        <v>41761</v>
      </c>
      <c r="C2480">
        <v>163.58279999999999</v>
      </c>
    </row>
    <row r="2481" spans="2:3">
      <c r="B2481" s="30">
        <v>41764</v>
      </c>
      <c r="C2481">
        <v>163.53659999999999</v>
      </c>
    </row>
    <row r="2482" spans="2:3">
      <c r="B2482" s="30">
        <v>41765</v>
      </c>
      <c r="C2482">
        <v>163.13040000000001</v>
      </c>
    </row>
    <row r="2483" spans="2:3">
      <c r="B2483" s="30">
        <v>41766</v>
      </c>
      <c r="C2483">
        <v>163.62870000000001</v>
      </c>
    </row>
    <row r="2484" spans="2:3">
      <c r="B2484" s="30">
        <v>41767</v>
      </c>
      <c r="C2484">
        <v>163.64930000000001</v>
      </c>
    </row>
    <row r="2485" spans="2:3">
      <c r="B2485" s="30">
        <v>41768</v>
      </c>
      <c r="C2485">
        <v>163.63290000000001</v>
      </c>
    </row>
    <row r="2486" spans="2:3">
      <c r="B2486" s="30">
        <v>41771</v>
      </c>
      <c r="C2486">
        <v>164.34559999999999</v>
      </c>
    </row>
    <row r="2487" spans="2:3">
      <c r="B2487" s="30">
        <v>41772</v>
      </c>
      <c r="C2487">
        <v>164.58179999999999</v>
      </c>
    </row>
    <row r="2488" spans="2:3">
      <c r="B2488" s="30">
        <v>41773</v>
      </c>
      <c r="C2488">
        <v>164.5068</v>
      </c>
    </row>
    <row r="2489" spans="2:3">
      <c r="B2489" s="30">
        <v>41774</v>
      </c>
      <c r="C2489">
        <v>163.84979999999999</v>
      </c>
    </row>
    <row r="2490" spans="2:3">
      <c r="B2490" s="30">
        <v>41775</v>
      </c>
      <c r="C2490">
        <v>164.13579999999999</v>
      </c>
    </row>
    <row r="2491" spans="2:3">
      <c r="B2491" s="30">
        <v>41778</v>
      </c>
      <c r="C2491">
        <v>164.41050000000001</v>
      </c>
    </row>
    <row r="2492" spans="2:3">
      <c r="B2492" s="30">
        <v>41779</v>
      </c>
      <c r="C2492">
        <v>163.84819999999999</v>
      </c>
    </row>
    <row r="2493" spans="2:3">
      <c r="B2493" s="30">
        <v>41780</v>
      </c>
      <c r="C2493">
        <v>164.51499999999999</v>
      </c>
    </row>
    <row r="2494" spans="2:3">
      <c r="B2494" s="30">
        <v>41781</v>
      </c>
      <c r="C2494">
        <v>164.7054</v>
      </c>
    </row>
    <row r="2495" spans="2:3">
      <c r="B2495" s="30">
        <v>41782</v>
      </c>
      <c r="C2495">
        <v>165.13220000000001</v>
      </c>
    </row>
    <row r="2496" spans="2:3">
      <c r="B2496" s="30">
        <v>41786</v>
      </c>
      <c r="C2496">
        <v>165.77369999999999</v>
      </c>
    </row>
    <row r="2497" spans="2:3">
      <c r="B2497" s="30">
        <v>41787</v>
      </c>
      <c r="C2497">
        <v>166.0712</v>
      </c>
    </row>
    <row r="2498" spans="2:3">
      <c r="B2498" s="30">
        <v>41788</v>
      </c>
      <c r="C2498">
        <v>166.41929999999999</v>
      </c>
    </row>
    <row r="2499" spans="2:3">
      <c r="B2499" s="30">
        <v>41789</v>
      </c>
      <c r="C2499">
        <v>166.53469999999999</v>
      </c>
    </row>
    <row r="2500" spans="2:3">
      <c r="B2500" s="30">
        <v>41792</v>
      </c>
      <c r="C2500">
        <v>166.24760000000001</v>
      </c>
    </row>
    <row r="2501" spans="2:3">
      <c r="B2501" s="30">
        <v>41793</v>
      </c>
      <c r="C2501">
        <v>166.03639999999999</v>
      </c>
    </row>
    <row r="2502" spans="2:3">
      <c r="B2502" s="30">
        <v>41794</v>
      </c>
      <c r="C2502">
        <v>166.16210000000001</v>
      </c>
    </row>
    <row r="2503" spans="2:3">
      <c r="B2503" s="30">
        <v>41795</v>
      </c>
      <c r="C2503">
        <v>166.8689</v>
      </c>
    </row>
    <row r="2504" spans="2:3">
      <c r="B2504" s="30">
        <v>41796</v>
      </c>
      <c r="C2504">
        <v>167.38300000000001</v>
      </c>
    </row>
    <row r="2505" spans="2:3">
      <c r="B2505" s="30">
        <v>41799</v>
      </c>
      <c r="C2505">
        <v>167.3441</v>
      </c>
    </row>
    <row r="2506" spans="2:3">
      <c r="B2506" s="30">
        <v>41800</v>
      </c>
      <c r="C2506">
        <v>167.27</v>
      </c>
    </row>
    <row r="2507" spans="2:3">
      <c r="B2507" s="30">
        <v>41801</v>
      </c>
      <c r="C2507">
        <v>166.94139999999999</v>
      </c>
    </row>
    <row r="2508" spans="2:3">
      <c r="B2508" s="30">
        <v>41802</v>
      </c>
      <c r="C2508">
        <v>166.37880000000001</v>
      </c>
    </row>
    <row r="2509" spans="2:3">
      <c r="B2509" s="30">
        <v>41803</v>
      </c>
      <c r="C2509">
        <v>166.60400000000001</v>
      </c>
    </row>
    <row r="2510" spans="2:3">
      <c r="B2510" s="30">
        <v>41806</v>
      </c>
      <c r="C2510">
        <v>166.6533</v>
      </c>
    </row>
    <row r="2511" spans="2:3">
      <c r="B2511" s="30">
        <v>41807</v>
      </c>
      <c r="C2511">
        <v>166.7724</v>
      </c>
    </row>
    <row r="2512" spans="2:3">
      <c r="B2512" s="30">
        <v>41808</v>
      </c>
      <c r="C2512">
        <v>167.84540000000001</v>
      </c>
    </row>
    <row r="2513" spans="2:3">
      <c r="B2513" s="30">
        <v>41809</v>
      </c>
      <c r="C2513">
        <v>167.93289999999999</v>
      </c>
    </row>
    <row r="2514" spans="2:3">
      <c r="B2514" s="30">
        <v>41810</v>
      </c>
      <c r="C2514">
        <v>168.09829999999999</v>
      </c>
    </row>
    <row r="2515" spans="2:3">
      <c r="B2515" s="30">
        <v>41813</v>
      </c>
      <c r="C2515">
        <v>168.09700000000001</v>
      </c>
    </row>
    <row r="2516" spans="2:3">
      <c r="B2516" s="30">
        <v>41814</v>
      </c>
      <c r="C2516">
        <v>167.59630000000001</v>
      </c>
    </row>
    <row r="2517" spans="2:3">
      <c r="B2517" s="30">
        <v>41815</v>
      </c>
      <c r="C2517">
        <v>168.07089999999999</v>
      </c>
    </row>
    <row r="2518" spans="2:3">
      <c r="B2518" s="30">
        <v>41816</v>
      </c>
      <c r="C2518">
        <v>168.11250000000001</v>
      </c>
    </row>
    <row r="2519" spans="2:3">
      <c r="B2519" s="30">
        <v>41817</v>
      </c>
      <c r="C2519">
        <v>168.2842</v>
      </c>
    </row>
    <row r="2520" spans="2:3">
      <c r="B2520" s="30">
        <v>41820</v>
      </c>
      <c r="C2520">
        <v>168.33949999999999</v>
      </c>
    </row>
    <row r="2521" spans="2:3">
      <c r="B2521" s="30">
        <v>41821</v>
      </c>
      <c r="C2521">
        <v>169.07640000000001</v>
      </c>
    </row>
    <row r="2522" spans="2:3">
      <c r="B2522" s="30">
        <v>41822</v>
      </c>
      <c r="C2522">
        <v>169.035</v>
      </c>
    </row>
    <row r="2523" spans="2:3">
      <c r="B2523" s="30">
        <v>41823</v>
      </c>
      <c r="C2523">
        <v>169.5814</v>
      </c>
    </row>
    <row r="2524" spans="2:3">
      <c r="B2524" s="30">
        <v>41827</v>
      </c>
      <c r="C2524">
        <v>169.24799999999999</v>
      </c>
    </row>
    <row r="2525" spans="2:3">
      <c r="B2525" s="30">
        <v>41828</v>
      </c>
      <c r="C2525">
        <v>168.6926</v>
      </c>
    </row>
    <row r="2526" spans="2:3">
      <c r="B2526" s="30">
        <v>41829</v>
      </c>
      <c r="C2526">
        <v>169.17519999999999</v>
      </c>
    </row>
    <row r="2527" spans="2:3">
      <c r="B2527" s="30">
        <v>41830</v>
      </c>
      <c r="C2527">
        <v>168.6404</v>
      </c>
    </row>
    <row r="2528" spans="2:3">
      <c r="B2528" s="30">
        <v>41831</v>
      </c>
      <c r="C2528">
        <v>168.9666</v>
      </c>
    </row>
    <row r="2529" spans="2:3">
      <c r="B2529" s="30">
        <v>41834</v>
      </c>
      <c r="C2529">
        <v>169.4496</v>
      </c>
    </row>
    <row r="2530" spans="2:3">
      <c r="B2530" s="30">
        <v>41835</v>
      </c>
      <c r="C2530">
        <v>169.23410000000001</v>
      </c>
    </row>
    <row r="2531" spans="2:3">
      <c r="B2531" s="30">
        <v>41836</v>
      </c>
      <c r="C2531">
        <v>169.6917</v>
      </c>
    </row>
    <row r="2532" spans="2:3">
      <c r="B2532" s="30">
        <v>41837</v>
      </c>
      <c r="C2532">
        <v>168.3391</v>
      </c>
    </row>
    <row r="2533" spans="2:3">
      <c r="B2533" s="30">
        <v>41838</v>
      </c>
      <c r="C2533">
        <v>169.55119999999999</v>
      </c>
    </row>
    <row r="2534" spans="2:3">
      <c r="B2534" s="30">
        <v>41841</v>
      </c>
      <c r="C2534">
        <v>169.21709999999999</v>
      </c>
    </row>
    <row r="2535" spans="2:3">
      <c r="B2535" s="30">
        <v>41842</v>
      </c>
      <c r="C2535">
        <v>169.81229999999999</v>
      </c>
    </row>
    <row r="2536" spans="2:3">
      <c r="B2536" s="30">
        <v>41843</v>
      </c>
      <c r="C2536">
        <v>170.1636</v>
      </c>
    </row>
    <row r="2537" spans="2:3">
      <c r="B2537" s="30">
        <v>41844</v>
      </c>
      <c r="C2537">
        <v>170.0308</v>
      </c>
    </row>
    <row r="2538" spans="2:3">
      <c r="B2538" s="30">
        <v>41845</v>
      </c>
      <c r="C2538">
        <v>169.5788</v>
      </c>
    </row>
    <row r="2539" spans="2:3">
      <c r="B2539" s="30">
        <v>41848</v>
      </c>
      <c r="C2539">
        <v>169.60990000000001</v>
      </c>
    </row>
    <row r="2540" spans="2:3">
      <c r="B2540" s="30">
        <v>41849</v>
      </c>
      <c r="C2540">
        <v>169.1045</v>
      </c>
    </row>
    <row r="2541" spans="2:3">
      <c r="B2541" s="30">
        <v>41850</v>
      </c>
      <c r="C2541">
        <v>168.98480000000001</v>
      </c>
    </row>
    <row r="2542" spans="2:3">
      <c r="B2542" s="30">
        <v>41851</v>
      </c>
      <c r="C2542">
        <v>166.61250000000001</v>
      </c>
    </row>
    <row r="2543" spans="2:3">
      <c r="B2543" s="30">
        <v>41852</v>
      </c>
      <c r="C2543">
        <v>166.36920000000001</v>
      </c>
    </row>
    <row r="2544" spans="2:3">
      <c r="B2544" s="30">
        <v>41855</v>
      </c>
      <c r="C2544">
        <v>167.2329</v>
      </c>
    </row>
    <row r="2545" spans="2:3">
      <c r="B2545" s="30">
        <v>41856</v>
      </c>
      <c r="C2545">
        <v>166.1754</v>
      </c>
    </row>
    <row r="2546" spans="2:3">
      <c r="B2546" s="30">
        <v>41857</v>
      </c>
      <c r="C2546">
        <v>166.29570000000001</v>
      </c>
    </row>
    <row r="2547" spans="2:3">
      <c r="B2547" s="30">
        <v>41858</v>
      </c>
      <c r="C2547">
        <v>165.96729999999999</v>
      </c>
    </row>
    <row r="2548" spans="2:3">
      <c r="B2548" s="30">
        <v>41859</v>
      </c>
      <c r="C2548">
        <v>166.93270000000001</v>
      </c>
    </row>
    <row r="2549" spans="2:3">
      <c r="B2549" s="30">
        <v>41862</v>
      </c>
      <c r="C2549">
        <v>167.34479999999999</v>
      </c>
    </row>
    <row r="2550" spans="2:3">
      <c r="B2550" s="30">
        <v>41863</v>
      </c>
      <c r="C2550">
        <v>167.18819999999999</v>
      </c>
    </row>
    <row r="2551" spans="2:3">
      <c r="B2551" s="30">
        <v>41864</v>
      </c>
      <c r="C2551">
        <v>167.99039999999999</v>
      </c>
    </row>
    <row r="2552" spans="2:3">
      <c r="B2552" s="30">
        <v>41865</v>
      </c>
      <c r="C2552">
        <v>168.47980000000001</v>
      </c>
    </row>
    <row r="2553" spans="2:3">
      <c r="B2553" s="30">
        <v>41866</v>
      </c>
      <c r="C2553">
        <v>168.69329999999999</v>
      </c>
    </row>
    <row r="2554" spans="2:3">
      <c r="B2554" s="30">
        <v>41869</v>
      </c>
      <c r="C2554">
        <v>169.1294</v>
      </c>
    </row>
    <row r="2555" spans="2:3">
      <c r="B2555" s="30">
        <v>41870</v>
      </c>
      <c r="C2555">
        <v>169.41149999999999</v>
      </c>
    </row>
    <row r="2556" spans="2:3">
      <c r="B2556" s="30">
        <v>41871</v>
      </c>
      <c r="C2556">
        <v>169.49209999999999</v>
      </c>
    </row>
    <row r="2557" spans="2:3">
      <c r="B2557" s="30">
        <v>41872</v>
      </c>
      <c r="C2557">
        <v>169.8503</v>
      </c>
    </row>
    <row r="2558" spans="2:3">
      <c r="B2558" s="30">
        <v>41873</v>
      </c>
      <c r="C2558">
        <v>169.73929999999999</v>
      </c>
    </row>
    <row r="2559" spans="2:3">
      <c r="B2559" s="30">
        <v>41876</v>
      </c>
      <c r="C2559">
        <v>170.10239999999999</v>
      </c>
    </row>
    <row r="2560" spans="2:3">
      <c r="B2560" s="30">
        <v>41877</v>
      </c>
      <c r="C2560">
        <v>170.25190000000001</v>
      </c>
    </row>
    <row r="2561" spans="2:3">
      <c r="B2561" s="30">
        <v>41878</v>
      </c>
      <c r="C2561">
        <v>170.35429999999999</v>
      </c>
    </row>
    <row r="2562" spans="2:3">
      <c r="B2562" s="30">
        <v>41879</v>
      </c>
      <c r="C2562">
        <v>170.46719999999999</v>
      </c>
    </row>
    <row r="2563" spans="2:3">
      <c r="B2563" s="30">
        <v>41880</v>
      </c>
      <c r="C2563">
        <v>170.62739999999999</v>
      </c>
    </row>
    <row r="2564" spans="2:3">
      <c r="B2564" s="30">
        <v>41884</v>
      </c>
      <c r="C2564">
        <v>170.20529999999999</v>
      </c>
    </row>
    <row r="2565" spans="2:3">
      <c r="B2565" s="30">
        <v>41885</v>
      </c>
      <c r="C2565">
        <v>170.19589999999999</v>
      </c>
    </row>
    <row r="2566" spans="2:3">
      <c r="B2566" s="30">
        <v>41886</v>
      </c>
      <c r="C2566">
        <v>169.9896</v>
      </c>
    </row>
    <row r="2567" spans="2:3">
      <c r="B2567" s="30">
        <v>41887</v>
      </c>
      <c r="C2567">
        <v>170.4076</v>
      </c>
    </row>
    <row r="2568" spans="2:3">
      <c r="B2568" s="30">
        <v>41890</v>
      </c>
      <c r="C2568">
        <v>170.10169999999999</v>
      </c>
    </row>
    <row r="2569" spans="2:3">
      <c r="B2569" s="30">
        <v>41891</v>
      </c>
      <c r="C2569">
        <v>169.41839999999999</v>
      </c>
    </row>
    <row r="2570" spans="2:3">
      <c r="B2570" s="30">
        <v>41892</v>
      </c>
      <c r="C2570">
        <v>169.5823</v>
      </c>
    </row>
    <row r="2571" spans="2:3">
      <c r="B2571" s="30">
        <v>41893</v>
      </c>
      <c r="C2571">
        <v>169.6808</v>
      </c>
    </row>
    <row r="2572" spans="2:3">
      <c r="B2572" s="30">
        <v>41894</v>
      </c>
      <c r="C2572">
        <v>168.8347</v>
      </c>
    </row>
    <row r="2573" spans="2:3">
      <c r="B2573" s="30">
        <v>41897</v>
      </c>
      <c r="C2573">
        <v>168.84059999999999</v>
      </c>
    </row>
    <row r="2574" spans="2:3">
      <c r="B2574" s="30">
        <v>41898</v>
      </c>
      <c r="C2574">
        <v>169.6011</v>
      </c>
    </row>
    <row r="2575" spans="2:3">
      <c r="B2575" s="30">
        <v>41899</v>
      </c>
      <c r="C2575">
        <v>169.6754</v>
      </c>
    </row>
    <row r="2576" spans="2:3">
      <c r="B2576" s="30">
        <v>41900</v>
      </c>
      <c r="C2576">
        <v>170.10919999999999</v>
      </c>
    </row>
    <row r="2577" spans="2:3">
      <c r="B2577" s="30">
        <v>41901</v>
      </c>
      <c r="C2577">
        <v>170.26650000000001</v>
      </c>
    </row>
    <row r="2578" spans="2:3">
      <c r="B2578" s="30">
        <v>41904</v>
      </c>
      <c r="C2578">
        <v>169.5076</v>
      </c>
    </row>
    <row r="2579" spans="2:3">
      <c r="B2579" s="30">
        <v>41905</v>
      </c>
      <c r="C2579">
        <v>168.95769999999999</v>
      </c>
    </row>
    <row r="2580" spans="2:3">
      <c r="B2580" s="30">
        <v>41906</v>
      </c>
      <c r="C2580">
        <v>169.70959999999999</v>
      </c>
    </row>
    <row r="2581" spans="2:3">
      <c r="B2581" s="30">
        <v>41907</v>
      </c>
      <c r="C2581">
        <v>168.58250000000001</v>
      </c>
    </row>
    <row r="2582" spans="2:3">
      <c r="B2582" s="30">
        <v>41908</v>
      </c>
      <c r="C2582">
        <v>169.04400000000001</v>
      </c>
    </row>
    <row r="2583" spans="2:3">
      <c r="B2583" s="30">
        <v>41911</v>
      </c>
      <c r="C2583">
        <v>168.86179999999999</v>
      </c>
    </row>
    <row r="2584" spans="2:3">
      <c r="B2584" s="30">
        <v>41912</v>
      </c>
      <c r="C2584">
        <v>168.6748</v>
      </c>
    </row>
    <row r="2585" spans="2:3">
      <c r="B2585" s="30">
        <v>41913</v>
      </c>
      <c r="C2585">
        <v>168.03829999999999</v>
      </c>
    </row>
    <row r="2586" spans="2:3">
      <c r="B2586" s="30">
        <v>41914</v>
      </c>
      <c r="C2586">
        <v>167.85839999999999</v>
      </c>
    </row>
    <row r="2587" spans="2:3">
      <c r="B2587" s="30">
        <v>41915</v>
      </c>
      <c r="C2587">
        <v>168.86359999999999</v>
      </c>
    </row>
    <row r="2588" spans="2:3">
      <c r="B2588" s="30">
        <v>41918</v>
      </c>
      <c r="C2588">
        <v>168.79040000000001</v>
      </c>
    </row>
    <row r="2589" spans="2:3">
      <c r="B2589" s="30">
        <v>41919</v>
      </c>
      <c r="C2589">
        <v>167.9487</v>
      </c>
    </row>
    <row r="2590" spans="2:3">
      <c r="B2590" s="30">
        <v>41920</v>
      </c>
      <c r="C2590">
        <v>169.54050000000001</v>
      </c>
    </row>
    <row r="2591" spans="2:3">
      <c r="B2591" s="30">
        <v>41921</v>
      </c>
      <c r="C2591">
        <v>168.1113</v>
      </c>
    </row>
    <row r="2592" spans="2:3">
      <c r="B2592" s="30">
        <v>41922</v>
      </c>
      <c r="C2592">
        <v>167.0838</v>
      </c>
    </row>
    <row r="2593" spans="2:3">
      <c r="B2593" s="30">
        <v>41926</v>
      </c>
      <c r="C2593">
        <v>166.96190000000001</v>
      </c>
    </row>
    <row r="2594" spans="2:3">
      <c r="B2594" s="30">
        <v>41927</v>
      </c>
      <c r="C2594">
        <v>166.7799</v>
      </c>
    </row>
    <row r="2595" spans="2:3">
      <c r="B2595" s="30">
        <v>41928</v>
      </c>
      <c r="C2595">
        <v>166.5264</v>
      </c>
    </row>
    <row r="2596" spans="2:3">
      <c r="B2596" s="30">
        <v>41929</v>
      </c>
      <c r="C2596">
        <v>167.22239999999999</v>
      </c>
    </row>
    <row r="2597" spans="2:3">
      <c r="B2597" s="30">
        <v>41932</v>
      </c>
      <c r="C2597">
        <v>167.87610000000001</v>
      </c>
    </row>
    <row r="2598" spans="2:3">
      <c r="B2598" s="30">
        <v>41933</v>
      </c>
      <c r="C2598">
        <v>168.82839999999999</v>
      </c>
    </row>
    <row r="2599" spans="2:3">
      <c r="B2599" s="30">
        <v>41934</v>
      </c>
      <c r="C2599">
        <v>168.29050000000001</v>
      </c>
    </row>
    <row r="2600" spans="2:3">
      <c r="B2600" s="30">
        <v>41935</v>
      </c>
      <c r="C2600">
        <v>168.53039999999999</v>
      </c>
    </row>
    <row r="2601" spans="2:3">
      <c r="B2601" s="30">
        <v>41936</v>
      </c>
      <c r="C2601">
        <v>168.87970000000001</v>
      </c>
    </row>
    <row r="2602" spans="2:3">
      <c r="B2602" s="30">
        <v>41939</v>
      </c>
      <c r="C2602">
        <v>168.92850000000001</v>
      </c>
    </row>
    <row r="2603" spans="2:3">
      <c r="B2603" s="30">
        <v>41940</v>
      </c>
      <c r="C2603">
        <v>169.31139999999999</v>
      </c>
    </row>
    <row r="2604" spans="2:3">
      <c r="B2604" s="30">
        <v>41941</v>
      </c>
      <c r="C2604">
        <v>168.7989</v>
      </c>
    </row>
    <row r="2605" spans="2:3">
      <c r="B2605" s="30">
        <v>41942</v>
      </c>
      <c r="C2605">
        <v>169.27099999999999</v>
      </c>
    </row>
    <row r="2606" spans="2:3">
      <c r="B2606" s="30">
        <v>41943</v>
      </c>
      <c r="C2606">
        <v>169.66200000000001</v>
      </c>
    </row>
    <row r="2607" spans="2:3">
      <c r="B2607" s="30">
        <v>41946</v>
      </c>
      <c r="C2607">
        <v>169.56960000000001</v>
      </c>
    </row>
    <row r="2608" spans="2:3">
      <c r="B2608" s="30">
        <v>41947</v>
      </c>
      <c r="C2608">
        <v>169.446</v>
      </c>
    </row>
    <row r="2609" spans="2:3">
      <c r="B2609" s="30">
        <v>41948</v>
      </c>
      <c r="C2609">
        <v>169.72190000000001</v>
      </c>
    </row>
    <row r="2610" spans="2:3">
      <c r="B2610" s="30">
        <v>41949</v>
      </c>
      <c r="C2610">
        <v>169.76429999999999</v>
      </c>
    </row>
    <row r="2611" spans="2:3">
      <c r="B2611" s="30">
        <v>41950</v>
      </c>
      <c r="C2611">
        <v>170.0968</v>
      </c>
    </row>
    <row r="2612" spans="2:3">
      <c r="B2612" s="30">
        <v>41953</v>
      </c>
      <c r="C2612">
        <v>170.08160000000001</v>
      </c>
    </row>
    <row r="2613" spans="2:3">
      <c r="B2613" s="30">
        <v>41955</v>
      </c>
      <c r="C2613">
        <v>170.191</v>
      </c>
    </row>
    <row r="2614" spans="2:3">
      <c r="B2614" s="30">
        <v>41956</v>
      </c>
      <c r="C2614">
        <v>170.19409999999999</v>
      </c>
    </row>
    <row r="2615" spans="2:3">
      <c r="B2615" s="30">
        <v>41957</v>
      </c>
      <c r="C2615">
        <v>170.4479</v>
      </c>
    </row>
    <row r="2616" spans="2:3">
      <c r="B2616" s="30">
        <v>41960</v>
      </c>
      <c r="C2616">
        <v>170.34909999999999</v>
      </c>
    </row>
    <row r="2617" spans="2:3">
      <c r="B2617" s="30">
        <v>41961</v>
      </c>
      <c r="C2617">
        <v>170.7071</v>
      </c>
    </row>
    <row r="2618" spans="2:3">
      <c r="B2618" s="30">
        <v>41962</v>
      </c>
      <c r="C2618">
        <v>170.51429999999999</v>
      </c>
    </row>
    <row r="2619" spans="2:3">
      <c r="B2619" s="30">
        <v>41963</v>
      </c>
      <c r="C2619">
        <v>170.8065</v>
      </c>
    </row>
    <row r="2620" spans="2:3">
      <c r="B2620" s="30">
        <v>41964</v>
      </c>
      <c r="C2620">
        <v>171.309</v>
      </c>
    </row>
    <row r="2621" spans="2:3">
      <c r="B2621" s="30">
        <v>41967</v>
      </c>
      <c r="C2621">
        <v>171.61840000000001</v>
      </c>
    </row>
    <row r="2622" spans="2:3">
      <c r="B2622" s="30">
        <v>41968</v>
      </c>
      <c r="C2622">
        <v>171.9016</v>
      </c>
    </row>
    <row r="2623" spans="2:3">
      <c r="B2623" s="30">
        <v>41969</v>
      </c>
      <c r="C2623">
        <v>172.22489999999999</v>
      </c>
    </row>
    <row r="2624" spans="2:3">
      <c r="B2624" s="30">
        <v>41971</v>
      </c>
      <c r="C2624">
        <v>172.23089999999999</v>
      </c>
    </row>
    <row r="2625" spans="2:3">
      <c r="B2625" s="30">
        <v>41974</v>
      </c>
      <c r="C2625">
        <v>171.59229999999999</v>
      </c>
    </row>
    <row r="2626" spans="2:3">
      <c r="B2626" s="30">
        <v>41975</v>
      </c>
      <c r="C2626">
        <v>171.7029</v>
      </c>
    </row>
    <row r="2627" spans="2:3">
      <c r="B2627" s="30">
        <v>41976</v>
      </c>
      <c r="C2627">
        <v>171.90950000000001</v>
      </c>
    </row>
    <row r="2628" spans="2:3">
      <c r="B2628" s="30">
        <v>41977</v>
      </c>
      <c r="C2628">
        <v>172.04390000000001</v>
      </c>
    </row>
    <row r="2629" spans="2:3">
      <c r="B2629" s="30">
        <v>41978</v>
      </c>
      <c r="C2629">
        <v>171.797</v>
      </c>
    </row>
    <row r="2630" spans="2:3">
      <c r="B2630" s="30">
        <v>41981</v>
      </c>
      <c r="C2630">
        <v>171.42310000000001</v>
      </c>
    </row>
    <row r="2631" spans="2:3">
      <c r="B2631" s="30">
        <v>41982</v>
      </c>
      <c r="C2631">
        <v>171.54060000000001</v>
      </c>
    </row>
    <row r="2632" spans="2:3">
      <c r="B2632" s="30">
        <v>41983</v>
      </c>
      <c r="C2632">
        <v>170.57140000000001</v>
      </c>
    </row>
    <row r="2633" spans="2:3">
      <c r="B2633" s="30">
        <v>41984</v>
      </c>
      <c r="C2633">
        <v>170.64949999999999</v>
      </c>
    </row>
    <row r="2634" spans="2:3">
      <c r="B2634" s="30">
        <v>41985</v>
      </c>
      <c r="C2634">
        <v>169.58930000000001</v>
      </c>
    </row>
    <row r="2635" spans="2:3">
      <c r="B2635" s="30">
        <v>41988</v>
      </c>
      <c r="C2635">
        <v>169.1266</v>
      </c>
    </row>
    <row r="2636" spans="2:3">
      <c r="B2636" s="30">
        <v>41989</v>
      </c>
      <c r="C2636">
        <v>168.61539999999999</v>
      </c>
    </row>
    <row r="2637" spans="2:3">
      <c r="B2637" s="30">
        <v>41990</v>
      </c>
      <c r="C2637">
        <v>170.19569999999999</v>
      </c>
    </row>
    <row r="2638" spans="2:3">
      <c r="B2638" s="30">
        <v>41991</v>
      </c>
      <c r="C2638">
        <v>172.1446</v>
      </c>
    </row>
    <row r="2639" spans="2:3">
      <c r="B2639" s="30">
        <v>41992</v>
      </c>
      <c r="C2639">
        <v>172.54130000000001</v>
      </c>
    </row>
    <row r="2640" spans="2:3">
      <c r="B2640" s="30">
        <v>41995</v>
      </c>
      <c r="C2640">
        <v>172.74619999999999</v>
      </c>
    </row>
    <row r="2641" spans="2:3">
      <c r="B2641" s="30">
        <v>41996</v>
      </c>
      <c r="C2641">
        <v>172.48140000000001</v>
      </c>
    </row>
    <row r="2642" spans="2:3">
      <c r="B2642" s="30">
        <v>41997</v>
      </c>
      <c r="C2642">
        <v>172.5205</v>
      </c>
    </row>
    <row r="2643" spans="2:3">
      <c r="B2643" s="30">
        <v>41999</v>
      </c>
      <c r="C2643">
        <v>172.74889999999999</v>
      </c>
    </row>
    <row r="2644" spans="2:3">
      <c r="B2644" s="30">
        <v>42002</v>
      </c>
      <c r="C2644">
        <v>172.9751</v>
      </c>
    </row>
    <row r="2645" spans="2:3">
      <c r="B2645" s="30">
        <v>42003</v>
      </c>
      <c r="C2645">
        <v>172.82849999999999</v>
      </c>
    </row>
    <row r="2646" spans="2:3">
      <c r="B2646" s="30">
        <v>42004</v>
      </c>
      <c r="C2646">
        <v>172.30520000000001</v>
      </c>
    </row>
    <row r="2647" spans="2:3">
      <c r="B2647" s="30">
        <v>42006</v>
      </c>
      <c r="C2647">
        <v>172.3476</v>
      </c>
    </row>
    <row r="2648" spans="2:3">
      <c r="B2648" s="30">
        <v>42009</v>
      </c>
      <c r="C2648">
        <v>171.8099</v>
      </c>
    </row>
    <row r="2649" spans="2:3">
      <c r="B2649" s="30">
        <v>42010</v>
      </c>
      <c r="C2649">
        <v>171.5558</v>
      </c>
    </row>
    <row r="2650" spans="2:3">
      <c r="B2650" s="30">
        <v>42011</v>
      </c>
      <c r="C2650">
        <v>172.4058</v>
      </c>
    </row>
    <row r="2651" spans="2:3">
      <c r="B2651" s="30">
        <v>42012</v>
      </c>
      <c r="C2651">
        <v>173.15180000000001</v>
      </c>
    </row>
    <row r="2652" spans="2:3">
      <c r="B2652" s="30">
        <v>42013</v>
      </c>
      <c r="C2652">
        <v>172.89330000000001</v>
      </c>
    </row>
    <row r="2653" spans="2:3">
      <c r="B2653" s="30">
        <v>42016</v>
      </c>
      <c r="C2653">
        <v>172.87610000000001</v>
      </c>
    </row>
    <row r="2654" spans="2:3">
      <c r="B2654" s="30">
        <v>42017</v>
      </c>
      <c r="C2654">
        <v>172.81659999999999</v>
      </c>
    </row>
    <row r="2655" spans="2:3">
      <c r="B2655" s="30">
        <v>42018</v>
      </c>
      <c r="C2655">
        <v>172.90729999999999</v>
      </c>
    </row>
    <row r="2656" spans="2:3">
      <c r="B2656" s="30">
        <v>42019</v>
      </c>
      <c r="C2656">
        <v>172.68610000000001</v>
      </c>
    </row>
    <row r="2657" spans="2:3">
      <c r="B2657" s="30">
        <v>42020</v>
      </c>
      <c r="C2657">
        <v>173.12860000000001</v>
      </c>
    </row>
    <row r="2658" spans="2:3">
      <c r="B2658" s="30">
        <v>42024</v>
      </c>
      <c r="C2658">
        <v>173.29650000000001</v>
      </c>
    </row>
    <row r="2659" spans="2:3">
      <c r="B2659" s="30">
        <v>42025</v>
      </c>
      <c r="C2659">
        <v>173.42760000000001</v>
      </c>
    </row>
    <row r="2660" spans="2:3">
      <c r="B2660" s="30">
        <v>42026</v>
      </c>
      <c r="C2660">
        <v>174.30680000000001</v>
      </c>
    </row>
    <row r="2661" spans="2:3">
      <c r="B2661" s="30">
        <v>42027</v>
      </c>
      <c r="C2661">
        <v>174.2758</v>
      </c>
    </row>
    <row r="2662" spans="2:3">
      <c r="B2662" s="30">
        <v>42030</v>
      </c>
      <c r="C2662">
        <v>174.56110000000001</v>
      </c>
    </row>
    <row r="2663" spans="2:3">
      <c r="B2663" s="30">
        <v>42031</v>
      </c>
      <c r="C2663">
        <v>173.78809999999999</v>
      </c>
    </row>
    <row r="2664" spans="2:3">
      <c r="B2664" s="30">
        <v>42032</v>
      </c>
      <c r="C2664">
        <v>172.98609999999999</v>
      </c>
    </row>
    <row r="2665" spans="2:3">
      <c r="B2665" s="30">
        <v>42033</v>
      </c>
      <c r="C2665">
        <v>173.72120000000001</v>
      </c>
    </row>
    <row r="2666" spans="2:3">
      <c r="B2666" s="30">
        <v>42034</v>
      </c>
      <c r="C2666">
        <v>173.1044</v>
      </c>
    </row>
    <row r="2667" spans="2:3">
      <c r="B2667" s="30">
        <v>42037</v>
      </c>
      <c r="C2667">
        <v>174.06319999999999</v>
      </c>
    </row>
    <row r="2668" spans="2:3">
      <c r="B2668" s="30">
        <v>42038</v>
      </c>
      <c r="C2668">
        <v>174.44630000000001</v>
      </c>
    </row>
    <row r="2669" spans="2:3">
      <c r="B2669" s="30">
        <v>42039</v>
      </c>
      <c r="C2669">
        <v>173.9365</v>
      </c>
    </row>
    <row r="2670" spans="2:3">
      <c r="B2670" s="30">
        <v>42040</v>
      </c>
      <c r="C2670">
        <v>174.65379999999999</v>
      </c>
    </row>
    <row r="2671" spans="2:3">
      <c r="B2671" s="30">
        <v>42041</v>
      </c>
      <c r="C2671">
        <v>173.88839999999999</v>
      </c>
    </row>
    <row r="2672" spans="2:3">
      <c r="B2672" s="30">
        <v>42044</v>
      </c>
      <c r="C2672">
        <v>173.51840000000001</v>
      </c>
    </row>
    <row r="2673" spans="2:3">
      <c r="B2673" s="30">
        <v>42045</v>
      </c>
      <c r="C2673">
        <v>173.90940000000001</v>
      </c>
    </row>
    <row r="2674" spans="2:3">
      <c r="B2674" s="30">
        <v>42046</v>
      </c>
      <c r="C2674">
        <v>173.9873</v>
      </c>
    </row>
    <row r="2675" spans="2:3">
      <c r="B2675" s="30">
        <v>42047</v>
      </c>
      <c r="C2675">
        <v>174.62700000000001</v>
      </c>
    </row>
    <row r="2676" spans="2:3">
      <c r="B2676" s="30">
        <v>42048</v>
      </c>
      <c r="C2676">
        <v>174.75659999999999</v>
      </c>
    </row>
    <row r="2677" spans="2:3">
      <c r="B2677" s="30">
        <v>42052</v>
      </c>
      <c r="C2677">
        <v>174.23400000000001</v>
      </c>
    </row>
    <row r="2678" spans="2:3">
      <c r="B2678" s="30">
        <v>42053</v>
      </c>
      <c r="C2678">
        <v>174.68979999999999</v>
      </c>
    </row>
    <row r="2679" spans="2:3">
      <c r="B2679" s="30">
        <v>42054</v>
      </c>
      <c r="C2679">
        <v>174.44489999999999</v>
      </c>
    </row>
    <row r="2680" spans="2:3">
      <c r="B2680" s="30">
        <v>42055</v>
      </c>
      <c r="C2680">
        <v>174.7407</v>
      </c>
    </row>
    <row r="2681" spans="2:3">
      <c r="B2681" s="30">
        <v>42058</v>
      </c>
      <c r="C2681">
        <v>175.13229999999999</v>
      </c>
    </row>
    <row r="2682" spans="2:3">
      <c r="B2682" s="30">
        <v>42059</v>
      </c>
      <c r="C2682">
        <v>175.79220000000001</v>
      </c>
    </row>
    <row r="2683" spans="2:3">
      <c r="B2683" s="30">
        <v>42060</v>
      </c>
      <c r="C2683">
        <v>175.77359999999999</v>
      </c>
    </row>
    <row r="2684" spans="2:3">
      <c r="B2684" s="30">
        <v>42061</v>
      </c>
      <c r="C2684">
        <v>175.5762</v>
      </c>
    </row>
    <row r="2685" spans="2:3">
      <c r="B2685" s="30">
        <v>42062</v>
      </c>
      <c r="C2685">
        <v>175.45249999999999</v>
      </c>
    </row>
    <row r="2686" spans="2:3">
      <c r="B2686" s="30">
        <v>42065</v>
      </c>
      <c r="C2686">
        <v>175.4093</v>
      </c>
    </row>
    <row r="2687" spans="2:3">
      <c r="B2687" s="30">
        <v>42066</v>
      </c>
      <c r="C2687">
        <v>174.8759</v>
      </c>
    </row>
    <row r="2688" spans="2:3">
      <c r="B2688" s="30">
        <v>42067</v>
      </c>
      <c r="C2688">
        <v>174.6361</v>
      </c>
    </row>
    <row r="2689" spans="2:3">
      <c r="B2689" s="30">
        <v>42068</v>
      </c>
      <c r="C2689">
        <v>174.89859999999999</v>
      </c>
    </row>
    <row r="2690" spans="2:3">
      <c r="B2690" s="30">
        <v>42069</v>
      </c>
      <c r="C2690">
        <v>173.17439999999999</v>
      </c>
    </row>
    <row r="2691" spans="2:3">
      <c r="B2691" s="30">
        <v>42072</v>
      </c>
      <c r="C2691">
        <v>173.59</v>
      </c>
    </row>
    <row r="2692" spans="2:3">
      <c r="B2692" s="30">
        <v>42073</v>
      </c>
      <c r="C2692">
        <v>172.75020000000001</v>
      </c>
    </row>
    <row r="2693" spans="2:3">
      <c r="B2693" s="30">
        <v>42074</v>
      </c>
      <c r="C2693">
        <v>172.77809999999999</v>
      </c>
    </row>
    <row r="2694" spans="2:3">
      <c r="B2694" s="30">
        <v>42075</v>
      </c>
      <c r="C2694">
        <v>173.70689999999999</v>
      </c>
    </row>
    <row r="2695" spans="2:3">
      <c r="B2695" s="30">
        <v>42076</v>
      </c>
      <c r="C2695">
        <v>173.1506</v>
      </c>
    </row>
    <row r="2696" spans="2:3">
      <c r="B2696" s="30">
        <v>42079</v>
      </c>
      <c r="C2696">
        <v>174.0556</v>
      </c>
    </row>
    <row r="2697" spans="2:3">
      <c r="B2697" s="30">
        <v>42080</v>
      </c>
      <c r="C2697">
        <v>174.20920000000001</v>
      </c>
    </row>
    <row r="2698" spans="2:3">
      <c r="B2698" s="30">
        <v>42081</v>
      </c>
      <c r="C2698">
        <v>175.7373</v>
      </c>
    </row>
    <row r="2699" spans="2:3">
      <c r="B2699" s="30">
        <v>42082</v>
      </c>
      <c r="C2699">
        <v>175.20959999999999</v>
      </c>
    </row>
    <row r="2700" spans="2:3">
      <c r="B2700" s="30">
        <v>42083</v>
      </c>
      <c r="C2700">
        <v>176.03559999999999</v>
      </c>
    </row>
    <row r="2701" spans="2:3">
      <c r="B2701" s="30">
        <v>42086</v>
      </c>
      <c r="C2701">
        <v>175.99109999999999</v>
      </c>
    </row>
    <row r="2702" spans="2:3">
      <c r="B2702" s="30">
        <v>42087</v>
      </c>
      <c r="C2702">
        <v>176.0102</v>
      </c>
    </row>
    <row r="2703" spans="2:3">
      <c r="B2703" s="30">
        <v>42088</v>
      </c>
      <c r="C2703">
        <v>175</v>
      </c>
    </row>
    <row r="2704" spans="2:3">
      <c r="B2704" s="30">
        <v>42089</v>
      </c>
      <c r="C2704">
        <v>174.41249999999999</v>
      </c>
    </row>
    <row r="2705" spans="2:3">
      <c r="B2705" s="30">
        <v>42090</v>
      </c>
      <c r="C2705">
        <v>174.9391</v>
      </c>
    </row>
    <row r="2706" spans="2:3">
      <c r="B2706" s="30">
        <v>42093</v>
      </c>
      <c r="C2706">
        <v>175.2508</v>
      </c>
    </row>
    <row r="2707" spans="2:3">
      <c r="B2707" s="30">
        <v>42094</v>
      </c>
      <c r="C2707">
        <v>175.24160000000001</v>
      </c>
    </row>
    <row r="2708" spans="2:3">
      <c r="B2708" s="30">
        <v>42095</v>
      </c>
      <c r="C2708">
        <v>175.58500000000001</v>
      </c>
    </row>
    <row r="2709" spans="2:3">
      <c r="B2709" s="30">
        <v>42096</v>
      </c>
      <c r="C2709">
        <v>175.50540000000001</v>
      </c>
    </row>
    <row r="2710" spans="2:3">
      <c r="B2710" s="30">
        <v>42100</v>
      </c>
      <c r="C2710">
        <v>175.80260000000001</v>
      </c>
    </row>
    <row r="2711" spans="2:3">
      <c r="B2711" s="30">
        <v>42101</v>
      </c>
      <c r="C2711">
        <v>175.8477</v>
      </c>
    </row>
    <row r="2712" spans="2:3">
      <c r="B2712" s="30">
        <v>42102</v>
      </c>
      <c r="C2712">
        <v>176.00280000000001</v>
      </c>
    </row>
    <row r="2713" spans="2:3">
      <c r="B2713" s="30">
        <v>42103</v>
      </c>
      <c r="C2713">
        <v>175.76650000000001</v>
      </c>
    </row>
    <row r="2714" spans="2:3">
      <c r="B2714" s="30">
        <v>42104</v>
      </c>
      <c r="C2714">
        <v>175.96809999999999</v>
      </c>
    </row>
    <row r="2715" spans="2:3">
      <c r="B2715" s="30">
        <v>42107</v>
      </c>
      <c r="C2715">
        <v>175.79140000000001</v>
      </c>
    </row>
    <row r="2716" spans="2:3">
      <c r="B2716" s="30">
        <v>42108</v>
      </c>
      <c r="C2716">
        <v>176.14359999999999</v>
      </c>
    </row>
    <row r="2717" spans="2:3">
      <c r="B2717" s="30">
        <v>42109</v>
      </c>
      <c r="C2717">
        <v>176.45830000000001</v>
      </c>
    </row>
    <row r="2718" spans="2:3">
      <c r="B2718" s="30">
        <v>42110</v>
      </c>
      <c r="C2718">
        <v>176.55340000000001</v>
      </c>
    </row>
    <row r="2719" spans="2:3">
      <c r="B2719" s="30">
        <v>42111</v>
      </c>
      <c r="C2719">
        <v>175.96260000000001</v>
      </c>
    </row>
    <row r="2720" spans="2:3">
      <c r="B2720" s="30">
        <v>42114</v>
      </c>
      <c r="C2720">
        <v>176.12979999999999</v>
      </c>
    </row>
    <row r="2721" spans="2:3">
      <c r="B2721" s="30">
        <v>42115</v>
      </c>
      <c r="C2721">
        <v>176.05090000000001</v>
      </c>
    </row>
    <row r="2722" spans="2:3">
      <c r="B2722" s="30">
        <v>42116</v>
      </c>
      <c r="C2722">
        <v>175.94300000000001</v>
      </c>
    </row>
    <row r="2723" spans="2:3">
      <c r="B2723" s="30">
        <v>42117</v>
      </c>
      <c r="C2723">
        <v>176.29130000000001</v>
      </c>
    </row>
    <row r="2724" spans="2:3">
      <c r="B2724" s="30">
        <v>42118</v>
      </c>
      <c r="C2724">
        <v>176.607</v>
      </c>
    </row>
    <row r="2725" spans="2:3">
      <c r="B2725" s="30">
        <v>42121</v>
      </c>
      <c r="C2725">
        <v>176.41569999999999</v>
      </c>
    </row>
    <row r="2726" spans="2:3">
      <c r="B2726" s="30">
        <v>42122</v>
      </c>
      <c r="C2726">
        <v>176.31890000000001</v>
      </c>
    </row>
    <row r="2727" spans="2:3">
      <c r="B2727" s="30">
        <v>42123</v>
      </c>
      <c r="C2727">
        <v>175.5882</v>
      </c>
    </row>
    <row r="2728" spans="2:3">
      <c r="B2728" s="30">
        <v>42124</v>
      </c>
      <c r="C2728">
        <v>174.9288</v>
      </c>
    </row>
    <row r="2729" spans="2:3">
      <c r="B2729" s="30">
        <v>42125</v>
      </c>
      <c r="C2729">
        <v>175.09119999999999</v>
      </c>
    </row>
    <row r="2730" spans="2:3">
      <c r="B2730" s="30">
        <v>42128</v>
      </c>
      <c r="C2730">
        <v>175.18199999999999</v>
      </c>
    </row>
    <row r="2731" spans="2:3">
      <c r="B2731" s="30">
        <v>42129</v>
      </c>
      <c r="C2731">
        <v>174.239</v>
      </c>
    </row>
    <row r="2732" spans="2:3">
      <c r="B2732" s="30">
        <v>42130</v>
      </c>
      <c r="C2732">
        <v>173.55969999999999</v>
      </c>
    </row>
    <row r="2733" spans="2:3">
      <c r="B2733" s="30">
        <v>42131</v>
      </c>
      <c r="C2733">
        <v>174.11080000000001</v>
      </c>
    </row>
    <row r="2734" spans="2:3">
      <c r="B2734" s="30">
        <v>42132</v>
      </c>
      <c r="C2734">
        <v>175.1815</v>
      </c>
    </row>
    <row r="2735" spans="2:3">
      <c r="B2735" s="30">
        <v>42135</v>
      </c>
      <c r="C2735">
        <v>174.13050000000001</v>
      </c>
    </row>
    <row r="2736" spans="2:3">
      <c r="B2736" s="30">
        <v>42136</v>
      </c>
      <c r="C2736">
        <v>174.17060000000001</v>
      </c>
    </row>
    <row r="2737" spans="2:3">
      <c r="B2737" s="30">
        <v>42137</v>
      </c>
      <c r="C2737">
        <v>174.04660000000001</v>
      </c>
    </row>
    <row r="2738" spans="2:3">
      <c r="B2738" s="30">
        <v>42138</v>
      </c>
      <c r="C2738">
        <v>174.96969999999999</v>
      </c>
    </row>
    <row r="2739" spans="2:3">
      <c r="B2739" s="30">
        <v>42139</v>
      </c>
      <c r="C2739">
        <v>175.5523</v>
      </c>
    </row>
    <row r="2740" spans="2:3">
      <c r="B2740" s="30">
        <v>42142</v>
      </c>
      <c r="C2740">
        <v>175.21960000000001</v>
      </c>
    </row>
    <row r="2741" spans="2:3">
      <c r="B2741" s="30">
        <v>42143</v>
      </c>
      <c r="C2741">
        <v>174.95609999999999</v>
      </c>
    </row>
    <row r="2742" spans="2:3">
      <c r="B2742" s="30">
        <v>42144</v>
      </c>
      <c r="C2742">
        <v>174.92449999999999</v>
      </c>
    </row>
    <row r="2743" spans="2:3">
      <c r="B2743" s="30">
        <v>42145</v>
      </c>
      <c r="C2743">
        <v>175.45320000000001</v>
      </c>
    </row>
    <row r="2744" spans="2:3">
      <c r="B2744" s="30">
        <v>42146</v>
      </c>
      <c r="C2744">
        <v>175.08340000000001</v>
      </c>
    </row>
    <row r="2745" spans="2:3">
      <c r="B2745" s="30">
        <v>42150</v>
      </c>
      <c r="C2745">
        <v>174.94479999999999</v>
      </c>
    </row>
    <row r="2746" spans="2:3">
      <c r="B2746" s="30">
        <v>42151</v>
      </c>
      <c r="C2746">
        <v>175.5163</v>
      </c>
    </row>
    <row r="2747" spans="2:3">
      <c r="B2747" s="30">
        <v>42152</v>
      </c>
      <c r="C2747">
        <v>175.5506</v>
      </c>
    </row>
    <row r="2748" spans="2:3">
      <c r="B2748" s="30">
        <v>42153</v>
      </c>
      <c r="C2748">
        <v>175.32579999999999</v>
      </c>
    </row>
    <row r="2749" spans="2:3">
      <c r="B2749" s="30">
        <v>42156</v>
      </c>
      <c r="C2749">
        <v>174.88200000000001</v>
      </c>
    </row>
    <row r="2750" spans="2:3">
      <c r="B2750" s="30">
        <v>42157</v>
      </c>
      <c r="C2750">
        <v>174.4452</v>
      </c>
    </row>
    <row r="2751" spans="2:3">
      <c r="B2751" s="30">
        <v>42158</v>
      </c>
      <c r="C2751">
        <v>174.23259999999999</v>
      </c>
    </row>
    <row r="2752" spans="2:3">
      <c r="B2752" s="30">
        <v>42159</v>
      </c>
      <c r="C2752">
        <v>173.959</v>
      </c>
    </row>
    <row r="2753" spans="2:3">
      <c r="B2753" s="30">
        <v>42160</v>
      </c>
      <c r="C2753">
        <v>173.24709999999999</v>
      </c>
    </row>
    <row r="2754" spans="2:3">
      <c r="B2754" s="30">
        <v>42163</v>
      </c>
      <c r="C2754">
        <v>172.79570000000001</v>
      </c>
    </row>
    <row r="2755" spans="2:3">
      <c r="B2755" s="30">
        <v>42164</v>
      </c>
      <c r="C2755">
        <v>172.71530000000001</v>
      </c>
    </row>
    <row r="2756" spans="2:3">
      <c r="B2756" s="30">
        <v>42165</v>
      </c>
      <c r="C2756">
        <v>173.55250000000001</v>
      </c>
    </row>
    <row r="2757" spans="2:3">
      <c r="B2757" s="30">
        <v>42166</v>
      </c>
      <c r="C2757">
        <v>174.0538</v>
      </c>
    </row>
    <row r="2758" spans="2:3">
      <c r="B2758" s="30">
        <v>42167</v>
      </c>
      <c r="C2758">
        <v>173.39240000000001</v>
      </c>
    </row>
    <row r="2759" spans="2:3">
      <c r="B2759" s="30">
        <v>42170</v>
      </c>
      <c r="C2759">
        <v>173.07</v>
      </c>
    </row>
    <row r="2760" spans="2:3">
      <c r="B2760" s="30">
        <v>42171</v>
      </c>
      <c r="C2760">
        <v>173.7765</v>
      </c>
    </row>
    <row r="2761" spans="2:3">
      <c r="B2761" s="30">
        <v>42172</v>
      </c>
      <c r="C2761">
        <v>173.82839999999999</v>
      </c>
    </row>
    <row r="2762" spans="2:3">
      <c r="B2762" s="30">
        <v>42173</v>
      </c>
      <c r="C2762">
        <v>174.60589999999999</v>
      </c>
    </row>
    <row r="2763" spans="2:3">
      <c r="B2763" s="30">
        <v>42174</v>
      </c>
      <c r="C2763">
        <v>174.4331</v>
      </c>
    </row>
    <row r="2764" spans="2:3">
      <c r="B2764" s="30">
        <v>42177</v>
      </c>
      <c r="C2764">
        <v>174.61510000000001</v>
      </c>
    </row>
    <row r="2765" spans="2:3">
      <c r="B2765" s="30">
        <v>42178</v>
      </c>
      <c r="C2765">
        <v>174.52289999999999</v>
      </c>
    </row>
    <row r="2766" spans="2:3">
      <c r="B2766" s="30">
        <v>42179</v>
      </c>
      <c r="C2766">
        <v>174.1037</v>
      </c>
    </row>
    <row r="2767" spans="2:3">
      <c r="B2767" s="30">
        <v>42180</v>
      </c>
      <c r="C2767">
        <v>173.83070000000001</v>
      </c>
    </row>
    <row r="2768" spans="2:3">
      <c r="B2768" s="30">
        <v>42181</v>
      </c>
      <c r="C2768">
        <v>173.4999</v>
      </c>
    </row>
    <row r="2769" spans="2:3">
      <c r="B2769" s="30">
        <v>42184</v>
      </c>
      <c r="C2769">
        <v>172.42160000000001</v>
      </c>
    </row>
    <row r="2770" spans="2:3">
      <c r="B2770" s="30">
        <v>42185</v>
      </c>
      <c r="C2770">
        <v>172.64060000000001</v>
      </c>
    </row>
    <row r="2771" spans="2:3">
      <c r="B2771" s="30">
        <v>42186</v>
      </c>
      <c r="C2771">
        <v>172.81</v>
      </c>
    </row>
    <row r="2772" spans="2:3">
      <c r="B2772" s="30">
        <v>42187</v>
      </c>
      <c r="C2772">
        <v>172.97110000000001</v>
      </c>
    </row>
    <row r="2773" spans="2:3">
      <c r="B2773" s="30">
        <v>42191</v>
      </c>
      <c r="C2773">
        <v>173.33359999999999</v>
      </c>
    </row>
    <row r="2774" spans="2:3">
      <c r="B2774" s="30">
        <v>42192</v>
      </c>
      <c r="C2774">
        <v>173.9307</v>
      </c>
    </row>
    <row r="2775" spans="2:3">
      <c r="B2775" s="30">
        <v>42193</v>
      </c>
      <c r="C2775">
        <v>172.84360000000001</v>
      </c>
    </row>
    <row r="2776" spans="2:3">
      <c r="B2776" s="30">
        <v>42194</v>
      </c>
      <c r="C2776">
        <v>172.45330000000001</v>
      </c>
    </row>
    <row r="2777" spans="2:3">
      <c r="B2777" s="30">
        <v>42195</v>
      </c>
      <c r="C2777">
        <v>172.9057</v>
      </c>
    </row>
    <row r="2778" spans="2:3">
      <c r="B2778" s="30">
        <v>42198</v>
      </c>
      <c r="C2778">
        <v>173.80350000000001</v>
      </c>
    </row>
    <row r="2779" spans="2:3">
      <c r="B2779" s="30">
        <v>42199</v>
      </c>
      <c r="C2779">
        <v>174.24610000000001</v>
      </c>
    </row>
    <row r="2780" spans="2:3">
      <c r="B2780" s="30">
        <v>42200</v>
      </c>
      <c r="C2780">
        <v>174.6052</v>
      </c>
    </row>
    <row r="2781" spans="2:3">
      <c r="B2781" s="30">
        <v>42201</v>
      </c>
      <c r="C2781">
        <v>175.08029999999999</v>
      </c>
    </row>
    <row r="2782" spans="2:3">
      <c r="B2782" s="30">
        <v>42202</v>
      </c>
      <c r="C2782">
        <v>175.16229999999999</v>
      </c>
    </row>
    <row r="2783" spans="2:3">
      <c r="B2783" s="30">
        <v>42205</v>
      </c>
      <c r="C2783">
        <v>175.10239999999999</v>
      </c>
    </row>
    <row r="2784" spans="2:3">
      <c r="B2784" s="30">
        <v>42206</v>
      </c>
      <c r="C2784">
        <v>175.01560000000001</v>
      </c>
    </row>
    <row r="2785" spans="2:3">
      <c r="B2785" s="30">
        <v>42207</v>
      </c>
      <c r="C2785">
        <v>174.79769999999999</v>
      </c>
    </row>
    <row r="2786" spans="2:3">
      <c r="B2786" s="30">
        <v>42208</v>
      </c>
      <c r="C2786">
        <v>174.6465</v>
      </c>
    </row>
    <row r="2787" spans="2:3">
      <c r="B2787" s="30">
        <v>42209</v>
      </c>
      <c r="C2787">
        <v>173.88579999999999</v>
      </c>
    </row>
    <row r="2788" spans="2:3">
      <c r="B2788" s="30">
        <v>42212</v>
      </c>
      <c r="C2788">
        <v>173.5599</v>
      </c>
    </row>
    <row r="2789" spans="2:3">
      <c r="B2789" s="30">
        <v>42213</v>
      </c>
      <c r="C2789">
        <v>174.39099999999999</v>
      </c>
    </row>
    <row r="2790" spans="2:3">
      <c r="B2790" s="30">
        <v>42214</v>
      </c>
      <c r="C2790">
        <v>174.80510000000001</v>
      </c>
    </row>
    <row r="2791" spans="2:3">
      <c r="B2791" s="30">
        <v>42215</v>
      </c>
      <c r="C2791">
        <v>174.90559999999999</v>
      </c>
    </row>
    <row r="2792" spans="2:3">
      <c r="B2792" s="30">
        <v>42216</v>
      </c>
      <c r="C2792">
        <v>175.0231</v>
      </c>
    </row>
    <row r="2793" spans="2:3">
      <c r="B2793" s="30">
        <v>42219</v>
      </c>
      <c r="C2793">
        <v>174.93790000000001</v>
      </c>
    </row>
    <row r="2794" spans="2:3">
      <c r="B2794" s="30">
        <v>42220</v>
      </c>
      <c r="C2794">
        <v>174.32759999999999</v>
      </c>
    </row>
    <row r="2795" spans="2:3">
      <c r="B2795" s="30">
        <v>42221</v>
      </c>
      <c r="C2795">
        <v>174.50290000000001</v>
      </c>
    </row>
    <row r="2796" spans="2:3">
      <c r="B2796" s="30">
        <v>42222</v>
      </c>
      <c r="C2796">
        <v>174.0343</v>
      </c>
    </row>
    <row r="2797" spans="2:3">
      <c r="B2797" s="30">
        <v>42223</v>
      </c>
      <c r="C2797">
        <v>174.05179999999999</v>
      </c>
    </row>
    <row r="2798" spans="2:3">
      <c r="B2798" s="30">
        <v>42226</v>
      </c>
      <c r="C2798">
        <v>174.90209999999999</v>
      </c>
    </row>
    <row r="2799" spans="2:3">
      <c r="B2799" s="30">
        <v>42227</v>
      </c>
      <c r="C2799">
        <v>174.5095</v>
      </c>
    </row>
    <row r="2800" spans="2:3">
      <c r="B2800" s="30">
        <v>42228</v>
      </c>
      <c r="C2800">
        <v>174.6926</v>
      </c>
    </row>
    <row r="2801" spans="2:3">
      <c r="B2801" s="30">
        <v>42229</v>
      </c>
      <c r="C2801">
        <v>174.28290000000001</v>
      </c>
    </row>
    <row r="2802" spans="2:3">
      <c r="B2802" s="30">
        <v>42230</v>
      </c>
      <c r="C2802">
        <v>174.63319999999999</v>
      </c>
    </row>
    <row r="2803" spans="2:3">
      <c r="B2803" s="30">
        <v>42233</v>
      </c>
      <c r="C2803">
        <v>175.22900000000001</v>
      </c>
    </row>
    <row r="2804" spans="2:3">
      <c r="B2804" s="30">
        <v>42234</v>
      </c>
      <c r="C2804">
        <v>174.75729999999999</v>
      </c>
    </row>
    <row r="2805" spans="2:3">
      <c r="B2805" s="30">
        <v>42235</v>
      </c>
      <c r="C2805">
        <v>174.1601</v>
      </c>
    </row>
    <row r="2806" spans="2:3">
      <c r="B2806" s="30">
        <v>42236</v>
      </c>
      <c r="C2806">
        <v>172.3074</v>
      </c>
    </row>
    <row r="2807" spans="2:3">
      <c r="B2807" s="30">
        <v>42237</v>
      </c>
      <c r="C2807">
        <v>170.14400000000001</v>
      </c>
    </row>
    <row r="2808" spans="2:3">
      <c r="B2808" s="30">
        <v>42240</v>
      </c>
      <c r="C2808">
        <v>166.2724</v>
      </c>
    </row>
    <row r="2809" spans="2:3">
      <c r="B2809" s="30">
        <v>42241</v>
      </c>
      <c r="C2809">
        <v>165.71289999999999</v>
      </c>
    </row>
    <row r="2810" spans="2:3">
      <c r="B2810" s="30">
        <v>42242</v>
      </c>
      <c r="C2810">
        <v>167.97479999999999</v>
      </c>
    </row>
    <row r="2811" spans="2:3">
      <c r="B2811" s="30">
        <v>42243</v>
      </c>
      <c r="C2811">
        <v>169.8312</v>
      </c>
    </row>
    <row r="2812" spans="2:3">
      <c r="B2812" s="30">
        <v>42244</v>
      </c>
      <c r="C2812">
        <v>169.6455</v>
      </c>
    </row>
    <row r="2813" spans="2:3">
      <c r="B2813" s="30">
        <v>42247</v>
      </c>
      <c r="C2813">
        <v>168.90539999999999</v>
      </c>
    </row>
    <row r="2814" spans="2:3">
      <c r="B2814" s="30">
        <v>42248</v>
      </c>
      <c r="C2814">
        <v>167.61070000000001</v>
      </c>
    </row>
    <row r="2815" spans="2:3">
      <c r="B2815" s="30">
        <v>42249</v>
      </c>
      <c r="C2815">
        <v>168.22280000000001</v>
      </c>
    </row>
    <row r="2816" spans="2:3">
      <c r="B2816" s="30">
        <v>42250</v>
      </c>
      <c r="C2816">
        <v>168.42320000000001</v>
      </c>
    </row>
    <row r="2817" spans="2:3">
      <c r="B2817" s="30">
        <v>42251</v>
      </c>
      <c r="C2817">
        <v>168.28989999999999</v>
      </c>
    </row>
    <row r="2818" spans="2:3">
      <c r="B2818" s="30">
        <v>42255</v>
      </c>
      <c r="C2818">
        <v>168.62520000000001</v>
      </c>
    </row>
    <row r="2819" spans="2:3">
      <c r="B2819" s="30">
        <v>42256</v>
      </c>
      <c r="C2819">
        <v>168.42070000000001</v>
      </c>
    </row>
    <row r="2820" spans="2:3">
      <c r="B2820" s="30">
        <v>42257</v>
      </c>
      <c r="C2820">
        <v>168.3373</v>
      </c>
    </row>
    <row r="2821" spans="2:3">
      <c r="B2821" s="30">
        <v>42258</v>
      </c>
      <c r="C2821">
        <v>168.82210000000001</v>
      </c>
    </row>
    <row r="2822" spans="2:3">
      <c r="B2822" s="30">
        <v>42261</v>
      </c>
      <c r="C2822">
        <v>168.7714</v>
      </c>
    </row>
    <row r="2823" spans="2:3">
      <c r="B2823" s="30">
        <v>42262</v>
      </c>
      <c r="C2823">
        <v>168.33410000000001</v>
      </c>
    </row>
    <row r="2824" spans="2:3">
      <c r="B2824" s="30">
        <v>42263</v>
      </c>
      <c r="C2824">
        <v>168.46780000000001</v>
      </c>
    </row>
    <row r="2825" spans="2:3">
      <c r="B2825" s="30">
        <v>42264</v>
      </c>
      <c r="C2825">
        <v>169.04490000000001</v>
      </c>
    </row>
    <row r="2826" spans="2:3">
      <c r="B2826" s="30">
        <v>42265</v>
      </c>
      <c r="C2826">
        <v>169.30850000000001</v>
      </c>
    </row>
    <row r="2827" spans="2:3">
      <c r="B2827" s="30">
        <v>42268</v>
      </c>
      <c r="C2827">
        <v>168.91759999999999</v>
      </c>
    </row>
    <row r="2828" spans="2:3">
      <c r="B2828" s="30">
        <v>42269</v>
      </c>
      <c r="C2828">
        <v>169.1215</v>
      </c>
    </row>
    <row r="2829" spans="2:3">
      <c r="B2829" s="30">
        <v>42270</v>
      </c>
      <c r="C2829">
        <v>168.95150000000001</v>
      </c>
    </row>
    <row r="2830" spans="2:3">
      <c r="B2830" s="30">
        <v>42271</v>
      </c>
      <c r="C2830">
        <v>168.93629999999999</v>
      </c>
    </row>
    <row r="2831" spans="2:3">
      <c r="B2831" s="30">
        <v>42272</v>
      </c>
      <c r="C2831">
        <v>168.5265</v>
      </c>
    </row>
    <row r="2832" spans="2:3">
      <c r="B2832" s="30">
        <v>42275</v>
      </c>
      <c r="C2832">
        <v>168.0061</v>
      </c>
    </row>
    <row r="2833" spans="2:3">
      <c r="B2833" s="30">
        <v>42276</v>
      </c>
      <c r="C2833">
        <v>168.23169999999999</v>
      </c>
    </row>
    <row r="2834" spans="2:3">
      <c r="B2834" s="30">
        <v>42277</v>
      </c>
      <c r="C2834">
        <v>168.72460000000001</v>
      </c>
    </row>
    <row r="2835" spans="2:3">
      <c r="B2835" s="30">
        <v>42278</v>
      </c>
      <c r="C2835">
        <v>168.84100000000001</v>
      </c>
    </row>
    <row r="2836" spans="2:3">
      <c r="B2836" s="30">
        <v>42279</v>
      </c>
      <c r="C2836">
        <v>169.86859999999999</v>
      </c>
    </row>
    <row r="2837" spans="2:3">
      <c r="B2837" s="30">
        <v>42282</v>
      </c>
      <c r="C2837">
        <v>170.245</v>
      </c>
    </row>
    <row r="2838" spans="2:3">
      <c r="B2838" s="30">
        <v>42283</v>
      </c>
      <c r="C2838">
        <v>170.3398</v>
      </c>
    </row>
    <row r="2839" spans="2:3">
      <c r="B2839" s="30">
        <v>42284</v>
      </c>
      <c r="C2839">
        <v>170.6859</v>
      </c>
    </row>
    <row r="2840" spans="2:3">
      <c r="B2840" s="30">
        <v>42285</v>
      </c>
      <c r="C2840">
        <v>170.7825</v>
      </c>
    </row>
    <row r="2841" spans="2:3">
      <c r="B2841" s="30">
        <v>42286</v>
      </c>
      <c r="C2841">
        <v>170.8528</v>
      </c>
    </row>
    <row r="2842" spans="2:3">
      <c r="B2842" s="30">
        <v>42290</v>
      </c>
      <c r="C2842">
        <v>170.8305</v>
      </c>
    </row>
    <row r="2843" spans="2:3">
      <c r="B2843" s="30">
        <v>42291</v>
      </c>
      <c r="C2843">
        <v>171.16290000000001</v>
      </c>
    </row>
    <row r="2844" spans="2:3">
      <c r="B2844" s="30">
        <v>42292</v>
      </c>
      <c r="C2844">
        <v>171.52269999999999</v>
      </c>
    </row>
    <row r="2845" spans="2:3">
      <c r="B2845" s="30">
        <v>42293</v>
      </c>
      <c r="C2845">
        <v>171.702</v>
      </c>
    </row>
    <row r="2846" spans="2:3">
      <c r="B2846" s="30">
        <v>42296</v>
      </c>
      <c r="C2846">
        <v>171.7373</v>
      </c>
    </row>
    <row r="2847" spans="2:3">
      <c r="B2847" s="30">
        <v>42297</v>
      </c>
      <c r="C2847">
        <v>171.24430000000001</v>
      </c>
    </row>
    <row r="2848" spans="2:3">
      <c r="B2848" s="30">
        <v>42298</v>
      </c>
      <c r="C2848">
        <v>171.2569</v>
      </c>
    </row>
    <row r="2849" spans="2:3">
      <c r="B2849" s="30">
        <v>42299</v>
      </c>
      <c r="C2849">
        <v>172.30350000000001</v>
      </c>
    </row>
    <row r="2850" spans="2:3">
      <c r="B2850" s="30">
        <v>42300</v>
      </c>
      <c r="C2850">
        <v>172.34790000000001</v>
      </c>
    </row>
    <row r="2851" spans="2:3">
      <c r="B2851" s="30">
        <v>42303</v>
      </c>
      <c r="C2851">
        <v>172.40520000000001</v>
      </c>
    </row>
    <row r="2852" spans="2:3">
      <c r="B2852" s="30">
        <v>42304</v>
      </c>
      <c r="C2852">
        <v>172.51849999999999</v>
      </c>
    </row>
    <row r="2853" spans="2:3">
      <c r="B2853" s="30">
        <v>42305</v>
      </c>
      <c r="C2853">
        <v>172.7484</v>
      </c>
    </row>
    <row r="2854" spans="2:3">
      <c r="B2854" s="30">
        <v>42306</v>
      </c>
      <c r="C2854">
        <v>172.1591</v>
      </c>
    </row>
    <row r="2855" spans="2:3">
      <c r="B2855" s="30">
        <v>42307</v>
      </c>
      <c r="C2855">
        <v>172.00890000000001</v>
      </c>
    </row>
    <row r="2856" spans="2:3">
      <c r="B2856" s="30">
        <v>42310</v>
      </c>
      <c r="C2856">
        <v>172.51849999999999</v>
      </c>
    </row>
    <row r="2857" spans="2:3">
      <c r="B2857" s="30">
        <v>42311</v>
      </c>
      <c r="C2857">
        <v>172.53710000000001</v>
      </c>
    </row>
    <row r="2858" spans="2:3">
      <c r="B2858" s="30">
        <v>42312</v>
      </c>
      <c r="C2858">
        <v>172.09780000000001</v>
      </c>
    </row>
    <row r="2859" spans="2:3">
      <c r="B2859" s="30">
        <v>42313</v>
      </c>
      <c r="C2859">
        <v>171.94820000000001</v>
      </c>
    </row>
    <row r="2860" spans="2:3">
      <c r="B2860" s="30">
        <v>42314</v>
      </c>
      <c r="C2860">
        <v>171.36920000000001</v>
      </c>
    </row>
    <row r="2861" spans="2:3">
      <c r="B2861" s="30">
        <v>42317</v>
      </c>
      <c r="C2861">
        <v>170.66370000000001</v>
      </c>
    </row>
    <row r="2862" spans="2:3">
      <c r="B2862" s="30">
        <v>42318</v>
      </c>
      <c r="C2862">
        <v>170.96789999999999</v>
      </c>
    </row>
    <row r="2863" spans="2:3">
      <c r="B2863" s="30">
        <v>42320</v>
      </c>
      <c r="C2863">
        <v>169.75530000000001</v>
      </c>
    </row>
    <row r="2864" spans="2:3">
      <c r="B2864" s="30">
        <v>42321</v>
      </c>
      <c r="C2864">
        <v>169.20750000000001</v>
      </c>
    </row>
    <row r="2865" spans="2:3">
      <c r="B2865" s="30">
        <v>42324</v>
      </c>
      <c r="C2865">
        <v>170.1968</v>
      </c>
    </row>
    <row r="2866" spans="2:3">
      <c r="B2866" s="30">
        <v>42325</v>
      </c>
      <c r="C2866">
        <v>170.28989999999999</v>
      </c>
    </row>
    <row r="2867" spans="2:3">
      <c r="B2867" s="30">
        <v>42326</v>
      </c>
      <c r="C2867">
        <v>171.17250000000001</v>
      </c>
    </row>
    <row r="2868" spans="2:3">
      <c r="B2868" s="30">
        <v>42327</v>
      </c>
      <c r="C2868">
        <v>171.13059999999999</v>
      </c>
    </row>
    <row r="2869" spans="2:3">
      <c r="B2869" s="30">
        <v>42328</v>
      </c>
      <c r="C2869">
        <v>171.3134</v>
      </c>
    </row>
    <row r="2870" spans="2:3">
      <c r="B2870" s="30">
        <v>42331</v>
      </c>
      <c r="C2870">
        <v>171.2681</v>
      </c>
    </row>
    <row r="2871" spans="2:3">
      <c r="B2871" s="30">
        <v>42332</v>
      </c>
      <c r="C2871">
        <v>171.33420000000001</v>
      </c>
    </row>
    <row r="2872" spans="2:3">
      <c r="B2872" s="30">
        <v>42333</v>
      </c>
      <c r="C2872">
        <v>171.50880000000001</v>
      </c>
    </row>
    <row r="2873" spans="2:3">
      <c r="B2873" s="30">
        <v>42335</v>
      </c>
      <c r="C2873">
        <v>171.60599999999999</v>
      </c>
    </row>
    <row r="2874" spans="2:3">
      <c r="B2874" s="30">
        <v>42338</v>
      </c>
      <c r="C2874">
        <v>171.35419999999999</v>
      </c>
    </row>
    <row r="2875" spans="2:3">
      <c r="B2875" s="30">
        <v>42339</v>
      </c>
      <c r="C2875">
        <v>172.5128</v>
      </c>
    </row>
    <row r="2876" spans="2:3">
      <c r="B2876" s="30">
        <v>42340</v>
      </c>
      <c r="C2876">
        <v>171.82140000000001</v>
      </c>
    </row>
    <row r="2877" spans="2:3">
      <c r="B2877" s="30">
        <v>42341</v>
      </c>
      <c r="C2877">
        <v>170.0428</v>
      </c>
    </row>
    <row r="2878" spans="2:3">
      <c r="B2878" s="30">
        <v>42342</v>
      </c>
      <c r="C2878">
        <v>171.5316</v>
      </c>
    </row>
    <row r="2879" spans="2:3">
      <c r="B2879" s="30">
        <v>42345</v>
      </c>
      <c r="C2879">
        <v>171.59700000000001</v>
      </c>
    </row>
    <row r="2880" spans="2:3">
      <c r="B2880" s="30">
        <v>42346</v>
      </c>
      <c r="C2880">
        <v>170.85040000000001</v>
      </c>
    </row>
    <row r="2881" spans="2:3">
      <c r="B2881" s="30">
        <v>42347</v>
      </c>
      <c r="C2881">
        <v>170.7073</v>
      </c>
    </row>
    <row r="2882" spans="2:3">
      <c r="B2882" s="30">
        <v>42348</v>
      </c>
      <c r="C2882">
        <v>170.535</v>
      </c>
    </row>
    <row r="2883" spans="2:3">
      <c r="B2883" s="30">
        <v>42349</v>
      </c>
      <c r="C2883">
        <v>170.0558</v>
      </c>
    </row>
    <row r="2884" spans="2:3">
      <c r="B2884" s="30">
        <v>42352</v>
      </c>
      <c r="C2884">
        <v>169.85249999999999</v>
      </c>
    </row>
    <row r="2885" spans="2:3">
      <c r="B2885" s="30">
        <v>42353</v>
      </c>
      <c r="C2885">
        <v>170.20849999999999</v>
      </c>
    </row>
    <row r="2886" spans="2:3">
      <c r="B2886" s="30">
        <v>42354</v>
      </c>
      <c r="C2886">
        <v>170.47819999999999</v>
      </c>
    </row>
    <row r="2887" spans="2:3">
      <c r="B2887" s="30">
        <v>42355</v>
      </c>
      <c r="C2887">
        <v>169.83179999999999</v>
      </c>
    </row>
    <row r="2888" spans="2:3">
      <c r="B2888" s="30">
        <v>42356</v>
      </c>
      <c r="C2888">
        <v>169.47389999999999</v>
      </c>
    </row>
    <row r="2889" spans="2:3">
      <c r="B2889" s="30">
        <v>42359</v>
      </c>
      <c r="C2889">
        <v>169.8708</v>
      </c>
    </row>
    <row r="2890" spans="2:3">
      <c r="B2890" s="30">
        <v>42360</v>
      </c>
      <c r="C2890">
        <v>170.02789999999999</v>
      </c>
    </row>
    <row r="2891" spans="2:3">
      <c r="B2891" s="30">
        <v>42361</v>
      </c>
      <c r="C2891">
        <v>170.22669999999999</v>
      </c>
    </row>
    <row r="2892" spans="2:3">
      <c r="B2892" s="30">
        <v>42362</v>
      </c>
      <c r="C2892">
        <v>170.40880000000001</v>
      </c>
    </row>
    <row r="2893" spans="2:3">
      <c r="B2893" s="30">
        <v>42366</v>
      </c>
      <c r="C2893">
        <v>170.4564</v>
      </c>
    </row>
    <row r="2894" spans="2:3">
      <c r="B2894" s="30">
        <v>42367</v>
      </c>
      <c r="C2894">
        <v>170.2868</v>
      </c>
    </row>
    <row r="2895" spans="2:3">
      <c r="B2895" s="30">
        <v>42368</v>
      </c>
      <c r="C2895">
        <v>170.03890000000001</v>
      </c>
    </row>
    <row r="2896" spans="2:3">
      <c r="B2896" s="30">
        <v>42369</v>
      </c>
      <c r="C2896">
        <v>170.01840000000001</v>
      </c>
    </row>
    <row r="2897" spans="2:3">
      <c r="B2897" s="30">
        <v>42373</v>
      </c>
      <c r="C2897">
        <v>169.72300000000001</v>
      </c>
    </row>
    <row r="2898" spans="2:3">
      <c r="B2898" s="30">
        <v>42374</v>
      </c>
      <c r="C2898">
        <v>169.71729999999999</v>
      </c>
    </row>
    <row r="2899" spans="2:3">
      <c r="B2899" s="30">
        <v>42375</v>
      </c>
      <c r="C2899">
        <v>169.7123</v>
      </c>
    </row>
    <row r="2900" spans="2:3">
      <c r="B2900" s="30">
        <v>42376</v>
      </c>
      <c r="C2900">
        <v>168.625</v>
      </c>
    </row>
    <row r="2901" spans="2:3">
      <c r="B2901" s="30">
        <v>42377</v>
      </c>
      <c r="C2901">
        <v>168.17160000000001</v>
      </c>
    </row>
    <row r="2902" spans="2:3">
      <c r="B2902" s="30">
        <v>42380</v>
      </c>
      <c r="C2902">
        <v>168.18610000000001</v>
      </c>
    </row>
    <row r="2903" spans="2:3">
      <c r="B2903" s="30">
        <v>42381</v>
      </c>
      <c r="C2903">
        <v>168.80860000000001</v>
      </c>
    </row>
    <row r="2904" spans="2:3">
      <c r="B2904" s="30">
        <v>42382</v>
      </c>
      <c r="C2904">
        <v>167.87809999999999</v>
      </c>
    </row>
    <row r="2905" spans="2:3">
      <c r="B2905" s="30">
        <v>42383</v>
      </c>
      <c r="C2905">
        <v>168.428</v>
      </c>
    </row>
    <row r="2906" spans="2:3">
      <c r="B2906" s="30">
        <v>42384</v>
      </c>
      <c r="C2906">
        <v>167.88820000000001</v>
      </c>
    </row>
    <row r="2907" spans="2:3">
      <c r="B2907" s="30">
        <v>42388</v>
      </c>
      <c r="C2907">
        <v>167.80529999999999</v>
      </c>
    </row>
    <row r="2908" spans="2:3">
      <c r="B2908" s="30">
        <v>42389</v>
      </c>
      <c r="C2908">
        <v>167.79920000000001</v>
      </c>
    </row>
    <row r="2909" spans="2:3">
      <c r="B2909" s="30">
        <v>42390</v>
      </c>
      <c r="C2909">
        <v>167.7946</v>
      </c>
    </row>
    <row r="2910" spans="2:3">
      <c r="B2910" s="30">
        <v>42391</v>
      </c>
      <c r="C2910">
        <v>168.69540000000001</v>
      </c>
    </row>
    <row r="2911" spans="2:3">
      <c r="B2911" s="30">
        <v>42394</v>
      </c>
      <c r="C2911">
        <v>168.0804</v>
      </c>
    </row>
    <row r="2912" spans="2:3">
      <c r="B2912" s="30">
        <v>42395</v>
      </c>
      <c r="C2912">
        <v>168.93549999999999</v>
      </c>
    </row>
    <row r="2913" spans="2:3">
      <c r="B2913" s="30">
        <v>42396</v>
      </c>
      <c r="C2913">
        <v>168.48310000000001</v>
      </c>
    </row>
    <row r="2914" spans="2:3">
      <c r="B2914" s="30">
        <v>42397</v>
      </c>
      <c r="C2914">
        <v>168.8175</v>
      </c>
    </row>
    <row r="2915" spans="2:3">
      <c r="B2915" s="30">
        <v>42398</v>
      </c>
      <c r="C2915">
        <v>170.22219999999999</v>
      </c>
    </row>
    <row r="2916" spans="2:3">
      <c r="B2916" s="30">
        <v>42401</v>
      </c>
      <c r="C2916">
        <v>169.84049999999999</v>
      </c>
    </row>
    <row r="2917" spans="2:3">
      <c r="B2917" s="30">
        <v>42402</v>
      </c>
      <c r="C2917">
        <v>169.79499999999999</v>
      </c>
    </row>
    <row r="2918" spans="2:3">
      <c r="B2918" s="30">
        <v>42403</v>
      </c>
      <c r="C2918">
        <v>169.92769999999999</v>
      </c>
    </row>
    <row r="2919" spans="2:3">
      <c r="B2919" s="30">
        <v>42404</v>
      </c>
      <c r="C2919">
        <v>169.96340000000001</v>
      </c>
    </row>
    <row r="2920" spans="2:3">
      <c r="B2920" s="30">
        <v>42405</v>
      </c>
      <c r="C2920">
        <v>169.11</v>
      </c>
    </row>
    <row r="2921" spans="2:3">
      <c r="B2921" s="30">
        <v>42408</v>
      </c>
      <c r="C2921">
        <v>169.1224</v>
      </c>
    </row>
    <row r="2922" spans="2:3">
      <c r="B2922" s="30">
        <v>42409</v>
      </c>
      <c r="C2922">
        <v>169.1002</v>
      </c>
    </row>
    <row r="2923" spans="2:3">
      <c r="B2923" s="30">
        <v>42410</v>
      </c>
      <c r="C2923">
        <v>169.1602</v>
      </c>
    </row>
    <row r="2924" spans="2:3">
      <c r="B2924" s="30">
        <v>42411</v>
      </c>
      <c r="C2924">
        <v>168.87639999999999</v>
      </c>
    </row>
    <row r="2925" spans="2:3">
      <c r="B2925" s="30">
        <v>42412</v>
      </c>
      <c r="C2925">
        <v>169.1037</v>
      </c>
    </row>
    <row r="2926" spans="2:3">
      <c r="B2926" s="30">
        <v>42416</v>
      </c>
      <c r="C2926">
        <v>169.6712</v>
      </c>
    </row>
    <row r="2927" spans="2:3">
      <c r="B2927" s="30">
        <v>42417</v>
      </c>
      <c r="C2927">
        <v>170.23670000000001</v>
      </c>
    </row>
    <row r="2928" spans="2:3">
      <c r="B2928" s="30">
        <v>42418</v>
      </c>
      <c r="C2928">
        <v>170.4898</v>
      </c>
    </row>
    <row r="2929" spans="2:3">
      <c r="B2929" s="30">
        <v>42419</v>
      </c>
      <c r="C2929">
        <v>170.39519999999999</v>
      </c>
    </row>
    <row r="2930" spans="2:3">
      <c r="B2930" s="30">
        <v>42422</v>
      </c>
      <c r="C2930">
        <v>171.0153</v>
      </c>
    </row>
    <row r="2931" spans="2:3">
      <c r="B2931" s="30">
        <v>42423</v>
      </c>
      <c r="C2931">
        <v>170.64940000000001</v>
      </c>
    </row>
    <row r="2932" spans="2:3">
      <c r="B2932" s="30">
        <v>42424</v>
      </c>
      <c r="C2932">
        <v>170.9881</v>
      </c>
    </row>
    <row r="2933" spans="2:3">
      <c r="B2933" s="30">
        <v>42425</v>
      </c>
      <c r="C2933">
        <v>171.84970000000001</v>
      </c>
    </row>
    <row r="2934" spans="2:3">
      <c r="B2934" s="30">
        <v>42426</v>
      </c>
      <c r="C2934">
        <v>171.25409999999999</v>
      </c>
    </row>
    <row r="2935" spans="2:3">
      <c r="B2935" s="30">
        <v>42429</v>
      </c>
      <c r="C2935">
        <v>171.23089999999999</v>
      </c>
    </row>
    <row r="2936" spans="2:3">
      <c r="B2936" s="30">
        <v>42430</v>
      </c>
      <c r="C2936">
        <v>171.88079999999999</v>
      </c>
    </row>
    <row r="2937" spans="2:3">
      <c r="B2937" s="30">
        <v>42431</v>
      </c>
      <c r="C2937">
        <v>172.04740000000001</v>
      </c>
    </row>
    <row r="2938" spans="2:3">
      <c r="B2938" s="30">
        <v>42432</v>
      </c>
      <c r="C2938">
        <v>172.50280000000001</v>
      </c>
    </row>
    <row r="2939" spans="2:3">
      <c r="B2939" s="30">
        <v>42433</v>
      </c>
      <c r="C2939">
        <v>172.39529999999999</v>
      </c>
    </row>
    <row r="2940" spans="2:3">
      <c r="B2940" s="30">
        <v>42436</v>
      </c>
      <c r="C2940">
        <v>172.42169999999999</v>
      </c>
    </row>
    <row r="2941" spans="2:3">
      <c r="B2941" s="30">
        <v>42437</v>
      </c>
      <c r="C2941">
        <v>172.25829999999999</v>
      </c>
    </row>
    <row r="2942" spans="2:3">
      <c r="B2942" s="30">
        <v>42438</v>
      </c>
      <c r="C2942">
        <v>172.2534</v>
      </c>
    </row>
    <row r="2943" spans="2:3">
      <c r="B2943" s="30">
        <v>42439</v>
      </c>
      <c r="C2943">
        <v>172.31960000000001</v>
      </c>
    </row>
    <row r="2944" spans="2:3">
      <c r="B2944" s="30">
        <v>42440</v>
      </c>
      <c r="C2944">
        <v>173.1241</v>
      </c>
    </row>
    <row r="2945" spans="2:3">
      <c r="B2945" s="30">
        <v>42443</v>
      </c>
      <c r="C2945">
        <v>173.04470000000001</v>
      </c>
    </row>
    <row r="2946" spans="2:3">
      <c r="B2946" s="30">
        <v>42444</v>
      </c>
      <c r="C2946">
        <v>172.7679</v>
      </c>
    </row>
    <row r="2947" spans="2:3">
      <c r="B2947" s="30">
        <v>42445</v>
      </c>
      <c r="C2947">
        <v>173.41159999999999</v>
      </c>
    </row>
    <row r="2948" spans="2:3">
      <c r="B2948" s="30">
        <v>42446</v>
      </c>
      <c r="C2948">
        <v>174.09379999999999</v>
      </c>
    </row>
    <row r="2949" spans="2:3">
      <c r="B2949" s="30">
        <v>42447</v>
      </c>
      <c r="C2949">
        <v>174.35140000000001</v>
      </c>
    </row>
    <row r="2950" spans="2:3">
      <c r="B2950" s="30">
        <v>42450</v>
      </c>
      <c r="C2950">
        <v>174.13059999999999</v>
      </c>
    </row>
    <row r="2951" spans="2:3">
      <c r="B2951" s="30">
        <v>42451</v>
      </c>
      <c r="C2951">
        <v>173.8733</v>
      </c>
    </row>
    <row r="2952" spans="2:3">
      <c r="B2952" s="30">
        <v>42452</v>
      </c>
      <c r="C2952">
        <v>173.8306</v>
      </c>
    </row>
    <row r="2953" spans="2:3">
      <c r="B2953" s="30">
        <v>42453</v>
      </c>
      <c r="C2953">
        <v>173.54089999999999</v>
      </c>
    </row>
    <row r="2954" spans="2:3">
      <c r="B2954" s="30">
        <v>42457</v>
      </c>
      <c r="C2954">
        <v>173.6831</v>
      </c>
    </row>
    <row r="2955" spans="2:3">
      <c r="B2955" s="30">
        <v>42458</v>
      </c>
      <c r="C2955">
        <v>174.57810000000001</v>
      </c>
    </row>
    <row r="2956" spans="2:3">
      <c r="B2956" s="30">
        <v>42459</v>
      </c>
      <c r="C2956">
        <v>175.00739999999999</v>
      </c>
    </row>
    <row r="2957" spans="2:3">
      <c r="B2957" s="30">
        <v>42460</v>
      </c>
      <c r="C2957">
        <v>175.108</v>
      </c>
    </row>
    <row r="2958" spans="2:3">
      <c r="B2958" s="30">
        <v>42461</v>
      </c>
      <c r="C2958">
        <v>175.59020000000001</v>
      </c>
    </row>
    <row r="2959" spans="2:3">
      <c r="B2959" s="30">
        <v>42464</v>
      </c>
      <c r="C2959">
        <v>175.43870000000001</v>
      </c>
    </row>
    <row r="2960" spans="2:3">
      <c r="B2960" s="30">
        <v>42465</v>
      </c>
      <c r="C2960">
        <v>175.03829999999999</v>
      </c>
    </row>
    <row r="2961" spans="2:3">
      <c r="B2961" s="30">
        <v>42466</v>
      </c>
      <c r="C2961">
        <v>175.5763</v>
      </c>
    </row>
    <row r="2962" spans="2:3">
      <c r="B2962" s="30">
        <v>42467</v>
      </c>
      <c r="C2962">
        <v>174.971</v>
      </c>
    </row>
    <row r="2963" spans="2:3">
      <c r="B2963" s="30">
        <v>42468</v>
      </c>
      <c r="C2963">
        <v>174.9639</v>
      </c>
    </row>
    <row r="2964" spans="2:3">
      <c r="B2964" s="30">
        <v>42471</v>
      </c>
      <c r="C2964">
        <v>174.83150000000001</v>
      </c>
    </row>
    <row r="2965" spans="2:3">
      <c r="B2965" s="30">
        <v>42472</v>
      </c>
      <c r="C2965">
        <v>175.25489999999999</v>
      </c>
    </row>
    <row r="2966" spans="2:3">
      <c r="B2966" s="30">
        <v>42473</v>
      </c>
      <c r="C2966">
        <v>176.0128</v>
      </c>
    </row>
    <row r="2967" spans="2:3">
      <c r="B2967" s="30">
        <v>42474</v>
      </c>
      <c r="C2967">
        <v>175.9007</v>
      </c>
    </row>
    <row r="2968" spans="2:3">
      <c r="B2968" s="30">
        <v>42475</v>
      </c>
      <c r="C2968">
        <v>175.97800000000001</v>
      </c>
    </row>
    <row r="2969" spans="2:3">
      <c r="B2969" s="30">
        <v>42478</v>
      </c>
      <c r="C2969">
        <v>176.37379999999999</v>
      </c>
    </row>
    <row r="2970" spans="2:3">
      <c r="B2970" s="30">
        <v>42479</v>
      </c>
      <c r="C2970">
        <v>176.60339999999999</v>
      </c>
    </row>
    <row r="2971" spans="2:3">
      <c r="B2971" s="30">
        <v>42480</v>
      </c>
      <c r="C2971">
        <v>176.5069</v>
      </c>
    </row>
    <row r="2972" spans="2:3">
      <c r="B2972" s="30">
        <v>42481</v>
      </c>
      <c r="C2972">
        <v>175.8271</v>
      </c>
    </row>
    <row r="2973" spans="2:3">
      <c r="B2973" s="30">
        <v>42482</v>
      </c>
      <c r="C2973">
        <v>175.93289999999999</v>
      </c>
    </row>
    <row r="2974" spans="2:3">
      <c r="B2974" s="30">
        <v>42485</v>
      </c>
      <c r="C2974">
        <v>175.6721</v>
      </c>
    </row>
    <row r="2975" spans="2:3">
      <c r="B2975" s="30">
        <v>42486</v>
      </c>
      <c r="C2975">
        <v>175.7167</v>
      </c>
    </row>
    <row r="2976" spans="2:3">
      <c r="B2976" s="30">
        <v>42487</v>
      </c>
      <c r="C2976">
        <v>176.14349999999999</v>
      </c>
    </row>
    <row r="2977" spans="2:3">
      <c r="B2977" s="30">
        <v>42488</v>
      </c>
      <c r="C2977">
        <v>175.45779999999999</v>
      </c>
    </row>
    <row r="2978" spans="2:3">
      <c r="B2978" s="30">
        <v>42489</v>
      </c>
      <c r="C2978">
        <v>174.98849999999999</v>
      </c>
    </row>
    <row r="2979" spans="2:3">
      <c r="B2979" s="30">
        <v>42492</v>
      </c>
      <c r="C2979">
        <v>175.37209999999999</v>
      </c>
    </row>
    <row r="2980" spans="2:3">
      <c r="B2980" s="30">
        <v>42493</v>
      </c>
      <c r="C2980">
        <v>174.85839999999999</v>
      </c>
    </row>
    <row r="2981" spans="2:3">
      <c r="B2981" s="30">
        <v>42494</v>
      </c>
      <c r="C2981">
        <v>174.46250000000001</v>
      </c>
    </row>
    <row r="2982" spans="2:3">
      <c r="B2982" s="30">
        <v>42495</v>
      </c>
      <c r="C2982">
        <v>174.48079999999999</v>
      </c>
    </row>
    <row r="2983" spans="2:3">
      <c r="B2983" s="30">
        <v>42496</v>
      </c>
      <c r="C2983">
        <v>174.73519999999999</v>
      </c>
    </row>
    <row r="2984" spans="2:3">
      <c r="B2984" s="30">
        <v>42499</v>
      </c>
      <c r="C2984">
        <v>174.9606</v>
      </c>
    </row>
    <row r="2985" spans="2:3">
      <c r="B2985" s="30">
        <v>42500</v>
      </c>
      <c r="C2985">
        <v>176.0806</v>
      </c>
    </row>
    <row r="2986" spans="2:3">
      <c r="B2986" s="30">
        <v>42501</v>
      </c>
      <c r="C2986">
        <v>175.23500000000001</v>
      </c>
    </row>
    <row r="2987" spans="2:3">
      <c r="B2987" s="30">
        <v>42502</v>
      </c>
      <c r="C2987">
        <v>175.1343</v>
      </c>
    </row>
    <row r="2988" spans="2:3">
      <c r="B2988" s="30">
        <v>42503</v>
      </c>
      <c r="C2988">
        <v>174.6163</v>
      </c>
    </row>
    <row r="2989" spans="2:3">
      <c r="B2989" s="30">
        <v>42506</v>
      </c>
      <c r="C2989">
        <v>175.3022</v>
      </c>
    </row>
    <row r="2990" spans="2:3">
      <c r="B2990" s="30">
        <v>42507</v>
      </c>
      <c r="C2990">
        <v>174.37280000000001</v>
      </c>
    </row>
    <row r="2991" spans="2:3">
      <c r="B2991" s="30">
        <v>42508</v>
      </c>
      <c r="C2991">
        <v>173.74510000000001</v>
      </c>
    </row>
    <row r="2992" spans="2:3">
      <c r="B2992" s="30">
        <v>42509</v>
      </c>
      <c r="C2992">
        <v>173.76480000000001</v>
      </c>
    </row>
    <row r="2993" spans="2:3">
      <c r="B2993" s="30">
        <v>42510</v>
      </c>
      <c r="C2993">
        <v>174.2602</v>
      </c>
    </row>
    <row r="2994" spans="2:3">
      <c r="B2994" s="30">
        <v>42513</v>
      </c>
      <c r="C2994">
        <v>174.101</v>
      </c>
    </row>
    <row r="2995" spans="2:3">
      <c r="B2995" s="30">
        <v>42514</v>
      </c>
      <c r="C2995">
        <v>175.41900000000001</v>
      </c>
    </row>
    <row r="2996" spans="2:3">
      <c r="B2996" s="30">
        <v>42515</v>
      </c>
      <c r="C2996">
        <v>175.9598</v>
      </c>
    </row>
    <row r="2997" spans="2:3">
      <c r="B2997" s="30">
        <v>42516</v>
      </c>
      <c r="C2997">
        <v>176.30330000000001</v>
      </c>
    </row>
    <row r="2998" spans="2:3">
      <c r="B2998" s="30">
        <v>42517</v>
      </c>
      <c r="C2998">
        <v>176.5505</v>
      </c>
    </row>
    <row r="2999" spans="2:3">
      <c r="B2999" s="30">
        <v>42521</v>
      </c>
      <c r="C2999">
        <v>176.50219999999999</v>
      </c>
    </row>
    <row r="3000" spans="2:3">
      <c r="B3000" s="30">
        <v>42522</v>
      </c>
      <c r="C3000">
        <v>176.55369999999999</v>
      </c>
    </row>
    <row r="3001" spans="2:3">
      <c r="B3001" s="30">
        <v>42523</v>
      </c>
      <c r="C3001">
        <v>176.9768</v>
      </c>
    </row>
    <row r="3002" spans="2:3">
      <c r="B3002" s="30">
        <v>42524</v>
      </c>
      <c r="C3002">
        <v>177.21870000000001</v>
      </c>
    </row>
    <row r="3003" spans="2:3">
      <c r="B3003" s="30">
        <v>42527</v>
      </c>
      <c r="C3003">
        <v>177.7054</v>
      </c>
    </row>
    <row r="3004" spans="2:3">
      <c r="B3004" s="30">
        <v>42528</v>
      </c>
      <c r="C3004">
        <v>177.88419999999999</v>
      </c>
    </row>
    <row r="3005" spans="2:3">
      <c r="B3005" s="30">
        <v>42529</v>
      </c>
      <c r="C3005">
        <v>178.24160000000001</v>
      </c>
    </row>
    <row r="3006" spans="2:3">
      <c r="B3006" s="30">
        <v>42530</v>
      </c>
      <c r="C3006">
        <v>178.13419999999999</v>
      </c>
    </row>
    <row r="3007" spans="2:3">
      <c r="B3007" s="30">
        <v>42531</v>
      </c>
      <c r="C3007">
        <v>177.43170000000001</v>
      </c>
    </row>
    <row r="3008" spans="2:3">
      <c r="B3008" s="30">
        <v>42534</v>
      </c>
      <c r="C3008">
        <v>176.62549999999999</v>
      </c>
    </row>
    <row r="3009" spans="2:3">
      <c r="B3009" s="30">
        <v>42535</v>
      </c>
      <c r="C3009">
        <v>176.38910000000001</v>
      </c>
    </row>
    <row r="3010" spans="2:3">
      <c r="B3010" s="30">
        <v>42536</v>
      </c>
      <c r="C3010">
        <v>176.3588</v>
      </c>
    </row>
    <row r="3011" spans="2:3">
      <c r="B3011" s="30">
        <v>42537</v>
      </c>
      <c r="C3011">
        <v>176.87909999999999</v>
      </c>
    </row>
    <row r="3012" spans="2:3">
      <c r="B3012" s="30">
        <v>42538</v>
      </c>
      <c r="C3012">
        <v>176.18369999999999</v>
      </c>
    </row>
    <row r="3013" spans="2:3">
      <c r="B3013" s="30">
        <v>42541</v>
      </c>
      <c r="C3013">
        <v>176.80500000000001</v>
      </c>
    </row>
    <row r="3014" spans="2:3">
      <c r="B3014" s="30">
        <v>42542</v>
      </c>
      <c r="C3014">
        <v>177.04859999999999</v>
      </c>
    </row>
    <row r="3015" spans="2:3">
      <c r="B3015" s="30">
        <v>42543</v>
      </c>
      <c r="C3015">
        <v>176.8956</v>
      </c>
    </row>
    <row r="3016" spans="2:3">
      <c r="B3016" s="30">
        <v>42544</v>
      </c>
      <c r="C3016">
        <v>178.03890000000001</v>
      </c>
    </row>
    <row r="3017" spans="2:3">
      <c r="B3017" s="30">
        <v>42545</v>
      </c>
      <c r="C3017">
        <v>174.4271</v>
      </c>
    </row>
    <row r="3018" spans="2:3">
      <c r="B3018" s="30">
        <v>42548</v>
      </c>
      <c r="C3018">
        <v>173.34800000000001</v>
      </c>
    </row>
    <row r="3019" spans="2:3">
      <c r="B3019" s="30">
        <v>42549</v>
      </c>
      <c r="C3019">
        <v>175.3776</v>
      </c>
    </row>
    <row r="3020" spans="2:3">
      <c r="B3020" s="30">
        <v>42550</v>
      </c>
      <c r="C3020">
        <v>176.94489999999999</v>
      </c>
    </row>
    <row r="3021" spans="2:3">
      <c r="B3021" s="30">
        <v>42551</v>
      </c>
      <c r="C3021">
        <v>177.93090000000001</v>
      </c>
    </row>
    <row r="3022" spans="2:3">
      <c r="B3022" s="30">
        <v>42552</v>
      </c>
      <c r="C3022">
        <v>178.26490000000001</v>
      </c>
    </row>
    <row r="3023" spans="2:3">
      <c r="B3023" s="30">
        <v>42556</v>
      </c>
      <c r="C3023">
        <v>178.34610000000001</v>
      </c>
    </row>
    <row r="3024" spans="2:3">
      <c r="B3024" s="30">
        <v>42557</v>
      </c>
      <c r="C3024">
        <v>178.6378</v>
      </c>
    </row>
    <row r="3025" spans="2:3">
      <c r="B3025" s="30">
        <v>42558</v>
      </c>
      <c r="C3025">
        <v>178.63839999999999</v>
      </c>
    </row>
    <row r="3026" spans="2:3">
      <c r="B3026" s="30">
        <v>42559</v>
      </c>
      <c r="C3026">
        <v>179.6345</v>
      </c>
    </row>
    <row r="3027" spans="2:3">
      <c r="B3027" s="30">
        <v>42562</v>
      </c>
      <c r="C3027">
        <v>179.47720000000001</v>
      </c>
    </row>
    <row r="3028" spans="2:3">
      <c r="B3028" s="30">
        <v>42563</v>
      </c>
      <c r="C3028">
        <v>179.3708</v>
      </c>
    </row>
    <row r="3029" spans="2:3">
      <c r="B3029" s="30">
        <v>42564</v>
      </c>
      <c r="C3029">
        <v>179.63570000000001</v>
      </c>
    </row>
    <row r="3030" spans="2:3">
      <c r="B3030" s="30">
        <v>42565</v>
      </c>
      <c r="C3030">
        <v>179.42699999999999</v>
      </c>
    </row>
    <row r="3031" spans="2:3">
      <c r="B3031" s="30">
        <v>42566</v>
      </c>
      <c r="C3031">
        <v>178.8946</v>
      </c>
    </row>
    <row r="3032" spans="2:3">
      <c r="B3032" s="30">
        <v>42569</v>
      </c>
      <c r="C3032">
        <v>179.1353</v>
      </c>
    </row>
    <row r="3033" spans="2:3">
      <c r="B3033" s="30">
        <v>42570</v>
      </c>
      <c r="C3033">
        <v>179.24610000000001</v>
      </c>
    </row>
    <row r="3034" spans="2:3">
      <c r="B3034" s="30">
        <v>42571</v>
      </c>
      <c r="C3034">
        <v>179.31229999999999</v>
      </c>
    </row>
    <row r="3035" spans="2:3">
      <c r="B3035" s="30">
        <v>42572</v>
      </c>
      <c r="C3035">
        <v>179.1653</v>
      </c>
    </row>
    <row r="3036" spans="2:3">
      <c r="B3036" s="30">
        <v>42573</v>
      </c>
      <c r="C3036">
        <v>179.3586</v>
      </c>
    </row>
    <row r="3037" spans="2:3">
      <c r="B3037" s="30">
        <v>42576</v>
      </c>
      <c r="C3037">
        <v>179.0367</v>
      </c>
    </row>
    <row r="3038" spans="2:3">
      <c r="B3038" s="30">
        <v>42577</v>
      </c>
      <c r="C3038">
        <v>179.0556</v>
      </c>
    </row>
    <row r="3039" spans="2:3">
      <c r="B3039" s="30">
        <v>42578</v>
      </c>
      <c r="C3039">
        <v>179.3956</v>
      </c>
    </row>
    <row r="3040" spans="2:3">
      <c r="B3040" s="30">
        <v>42579</v>
      </c>
      <c r="C3040">
        <v>179.49440000000001</v>
      </c>
    </row>
    <row r="3041" spans="2:3">
      <c r="B3041" s="30">
        <v>42580</v>
      </c>
      <c r="C3041">
        <v>180.02070000000001</v>
      </c>
    </row>
    <row r="3042" spans="2:3">
      <c r="B3042" s="30">
        <v>42583</v>
      </c>
      <c r="C3042">
        <v>179.55330000000001</v>
      </c>
    </row>
    <row r="3043" spans="2:3">
      <c r="B3043" s="30">
        <v>42584</v>
      </c>
      <c r="C3043">
        <v>178.92169999999999</v>
      </c>
    </row>
    <row r="3044" spans="2:3">
      <c r="B3044" s="30">
        <v>42585</v>
      </c>
      <c r="C3044">
        <v>179.13290000000001</v>
      </c>
    </row>
    <row r="3045" spans="2:3">
      <c r="B3045" s="30">
        <v>42586</v>
      </c>
      <c r="C3045">
        <v>179.5359</v>
      </c>
    </row>
    <row r="3046" spans="2:3">
      <c r="B3046" s="30">
        <v>42587</v>
      </c>
      <c r="C3046">
        <v>179.64670000000001</v>
      </c>
    </row>
    <row r="3047" spans="2:3">
      <c r="B3047" s="30">
        <v>42590</v>
      </c>
      <c r="C3047">
        <v>179.59379999999999</v>
      </c>
    </row>
    <row r="3048" spans="2:3">
      <c r="B3048" s="30">
        <v>42591</v>
      </c>
      <c r="C3048">
        <v>179.87780000000001</v>
      </c>
    </row>
    <row r="3049" spans="2:3">
      <c r="B3049" s="30">
        <v>42592</v>
      </c>
      <c r="C3049">
        <v>179.94110000000001</v>
      </c>
    </row>
    <row r="3050" spans="2:3">
      <c r="B3050" s="30">
        <v>42593</v>
      </c>
      <c r="C3050">
        <v>179.7713</v>
      </c>
    </row>
    <row r="3051" spans="2:3">
      <c r="B3051" s="30">
        <v>42594</v>
      </c>
      <c r="C3051">
        <v>180.04339999999999</v>
      </c>
    </row>
    <row r="3052" spans="2:3">
      <c r="B3052" s="30">
        <v>42597</v>
      </c>
      <c r="C3052">
        <v>180.0257</v>
      </c>
    </row>
    <row r="3053" spans="2:3">
      <c r="B3053" s="30">
        <v>42598</v>
      </c>
      <c r="C3053">
        <v>179.5797</v>
      </c>
    </row>
    <row r="3054" spans="2:3">
      <c r="B3054" s="30">
        <v>42599</v>
      </c>
      <c r="C3054">
        <v>179.76840000000001</v>
      </c>
    </row>
    <row r="3055" spans="2:3">
      <c r="B3055" s="30">
        <v>42600</v>
      </c>
      <c r="C3055">
        <v>180.09139999999999</v>
      </c>
    </row>
    <row r="3056" spans="2:3">
      <c r="B3056" s="30">
        <v>42601</v>
      </c>
      <c r="C3056">
        <v>179.75370000000001</v>
      </c>
    </row>
    <row r="3057" spans="2:3">
      <c r="B3057" s="30">
        <v>42604</v>
      </c>
      <c r="C3057">
        <v>179.9247</v>
      </c>
    </row>
    <row r="3058" spans="2:3">
      <c r="B3058" s="30">
        <v>42605</v>
      </c>
      <c r="C3058">
        <v>180.06399999999999</v>
      </c>
    </row>
    <row r="3059" spans="2:3">
      <c r="B3059" s="30">
        <v>42606</v>
      </c>
      <c r="C3059">
        <v>179.68620000000001</v>
      </c>
    </row>
    <row r="3060" spans="2:3">
      <c r="B3060" s="30">
        <v>42607</v>
      </c>
      <c r="C3060">
        <v>179.53819999999999</v>
      </c>
    </row>
    <row r="3061" spans="2:3">
      <c r="B3061" s="30">
        <v>42608</v>
      </c>
      <c r="C3061">
        <v>178.99639999999999</v>
      </c>
    </row>
    <row r="3062" spans="2:3">
      <c r="B3062" s="30">
        <v>42611</v>
      </c>
      <c r="C3062">
        <v>179.79730000000001</v>
      </c>
    </row>
    <row r="3063" spans="2:3">
      <c r="B3063" s="30">
        <v>42612</v>
      </c>
      <c r="C3063">
        <v>179.58240000000001</v>
      </c>
    </row>
    <row r="3064" spans="2:3">
      <c r="B3064" s="30">
        <v>42613</v>
      </c>
      <c r="C3064">
        <v>179.30240000000001</v>
      </c>
    </row>
    <row r="3065" spans="2:3">
      <c r="B3065" s="30">
        <v>42614</v>
      </c>
      <c r="C3065">
        <v>179.16579999999999</v>
      </c>
    </row>
    <row r="3066" spans="2:3">
      <c r="B3066" s="30">
        <v>42615</v>
      </c>
      <c r="C3066">
        <v>179.61410000000001</v>
      </c>
    </row>
    <row r="3067" spans="2:3">
      <c r="B3067" s="30">
        <v>42619</v>
      </c>
      <c r="C3067">
        <v>180.18049999999999</v>
      </c>
    </row>
    <row r="3068" spans="2:3">
      <c r="B3068" s="30">
        <v>42620</v>
      </c>
      <c r="C3068">
        <v>180.16409999999999</v>
      </c>
    </row>
    <row r="3069" spans="2:3">
      <c r="B3069" s="30">
        <v>42621</v>
      </c>
      <c r="C3069">
        <v>179.53450000000001</v>
      </c>
    </row>
    <row r="3070" spans="2:3">
      <c r="B3070" s="30">
        <v>42622</v>
      </c>
      <c r="C3070">
        <v>176.17060000000001</v>
      </c>
    </row>
    <row r="3071" spans="2:3">
      <c r="B3071" s="30">
        <v>42625</v>
      </c>
      <c r="C3071">
        <v>178.39400000000001</v>
      </c>
    </row>
    <row r="3072" spans="2:3">
      <c r="B3072" s="30">
        <v>42626</v>
      </c>
      <c r="C3072">
        <v>176.44040000000001</v>
      </c>
    </row>
    <row r="3073" spans="2:3">
      <c r="B3073" s="30">
        <v>42627</v>
      </c>
      <c r="C3073">
        <v>176.07</v>
      </c>
    </row>
    <row r="3074" spans="2:3">
      <c r="B3074" s="30">
        <v>42628</v>
      </c>
      <c r="C3074">
        <v>177.40989999999999</v>
      </c>
    </row>
    <row r="3075" spans="2:3">
      <c r="B3075" s="30">
        <v>42629</v>
      </c>
      <c r="C3075">
        <v>177.0856</v>
      </c>
    </row>
    <row r="3076" spans="2:3">
      <c r="B3076" s="30">
        <v>42632</v>
      </c>
      <c r="C3076">
        <v>177.1677</v>
      </c>
    </row>
    <row r="3077" spans="2:3">
      <c r="B3077" s="30">
        <v>42633</v>
      </c>
      <c r="C3077">
        <v>177.0872</v>
      </c>
    </row>
    <row r="3078" spans="2:3">
      <c r="B3078" s="30">
        <v>42634</v>
      </c>
      <c r="C3078">
        <v>178.32390000000001</v>
      </c>
    </row>
    <row r="3079" spans="2:3">
      <c r="B3079" s="30">
        <v>42635</v>
      </c>
      <c r="C3079">
        <v>179.066</v>
      </c>
    </row>
    <row r="3080" spans="2:3">
      <c r="B3080" s="30">
        <v>42636</v>
      </c>
      <c r="C3080">
        <v>178.7687</v>
      </c>
    </row>
    <row r="3081" spans="2:3">
      <c r="B3081" s="30">
        <v>42639</v>
      </c>
      <c r="C3081">
        <v>178.16159999999999</v>
      </c>
    </row>
    <row r="3082" spans="2:3">
      <c r="B3082" s="30">
        <v>42640</v>
      </c>
      <c r="C3082">
        <v>178.8639</v>
      </c>
    </row>
    <row r="3083" spans="2:3">
      <c r="B3083" s="30">
        <v>42641</v>
      </c>
      <c r="C3083">
        <v>179.2439</v>
      </c>
    </row>
    <row r="3084" spans="2:3">
      <c r="B3084" s="30">
        <v>42642</v>
      </c>
      <c r="C3084">
        <v>178.78700000000001</v>
      </c>
    </row>
    <row r="3085" spans="2:3">
      <c r="B3085" s="30">
        <v>42643</v>
      </c>
      <c r="C3085">
        <v>178.94710000000001</v>
      </c>
    </row>
    <row r="3086" spans="2:3">
      <c r="B3086" s="30">
        <v>42646</v>
      </c>
      <c r="C3086">
        <v>178.64680000000001</v>
      </c>
    </row>
    <row r="3087" spans="2:3">
      <c r="B3087" s="30">
        <v>42647</v>
      </c>
      <c r="C3087">
        <v>178.0429</v>
      </c>
    </row>
    <row r="3088" spans="2:3">
      <c r="B3088" s="30">
        <v>42648</v>
      </c>
      <c r="C3088">
        <v>178.0222</v>
      </c>
    </row>
    <row r="3089" spans="2:3">
      <c r="B3089" s="30">
        <v>42649</v>
      </c>
      <c r="C3089">
        <v>177.8854</v>
      </c>
    </row>
    <row r="3090" spans="2:3">
      <c r="B3090" s="30">
        <v>42650</v>
      </c>
      <c r="C3090">
        <v>177.73429999999999</v>
      </c>
    </row>
    <row r="3091" spans="2:3">
      <c r="B3091" s="30">
        <v>42654</v>
      </c>
      <c r="C3091">
        <v>177.29660000000001</v>
      </c>
    </row>
    <row r="3092" spans="2:3">
      <c r="B3092" s="30">
        <v>42655</v>
      </c>
      <c r="C3092">
        <v>177.1746</v>
      </c>
    </row>
    <row r="3093" spans="2:3">
      <c r="B3093" s="30">
        <v>42656</v>
      </c>
      <c r="C3093">
        <v>177.2901</v>
      </c>
    </row>
    <row r="3094" spans="2:3">
      <c r="B3094" s="30">
        <v>42657</v>
      </c>
      <c r="C3094">
        <v>177.00659999999999</v>
      </c>
    </row>
    <row r="3095" spans="2:3">
      <c r="B3095" s="30">
        <v>42660</v>
      </c>
      <c r="C3095">
        <v>177.0882</v>
      </c>
    </row>
    <row r="3096" spans="2:3">
      <c r="B3096" s="30">
        <v>42661</v>
      </c>
      <c r="C3096">
        <v>177.4837</v>
      </c>
    </row>
    <row r="3097" spans="2:3">
      <c r="B3097" s="30">
        <v>42662</v>
      </c>
      <c r="C3097">
        <v>177.68629999999999</v>
      </c>
    </row>
    <row r="3098" spans="2:3">
      <c r="B3098" s="30">
        <v>42663</v>
      </c>
      <c r="C3098">
        <v>177.69399999999999</v>
      </c>
    </row>
    <row r="3099" spans="2:3">
      <c r="B3099" s="30">
        <v>42664</v>
      </c>
      <c r="C3099">
        <v>177.68770000000001</v>
      </c>
    </row>
    <row r="3100" spans="2:3">
      <c r="B3100" s="30">
        <v>42667</v>
      </c>
      <c r="C3100">
        <v>177.7911</v>
      </c>
    </row>
    <row r="3101" spans="2:3">
      <c r="B3101" s="30">
        <v>42668</v>
      </c>
      <c r="C3101">
        <v>177.63329999999999</v>
      </c>
    </row>
    <row r="3102" spans="2:3">
      <c r="B3102" s="30">
        <v>42669</v>
      </c>
      <c r="C3102">
        <v>177.3252</v>
      </c>
    </row>
    <row r="3103" spans="2:3">
      <c r="B3103" s="30">
        <v>42670</v>
      </c>
      <c r="C3103">
        <v>176.69810000000001</v>
      </c>
    </row>
    <row r="3104" spans="2:3">
      <c r="B3104" s="30">
        <v>42671</v>
      </c>
      <c r="C3104">
        <v>176.63399999999999</v>
      </c>
    </row>
    <row r="3105" spans="2:3">
      <c r="B3105" s="30">
        <v>42674</v>
      </c>
      <c r="C3105">
        <v>176.60730000000001</v>
      </c>
    </row>
    <row r="3106" spans="2:3">
      <c r="B3106" s="30">
        <v>42675</v>
      </c>
      <c r="C3106">
        <v>176.3135</v>
      </c>
    </row>
    <row r="3107" spans="2:3">
      <c r="B3107" s="30">
        <v>42676</v>
      </c>
      <c r="C3107">
        <v>176.1079</v>
      </c>
    </row>
    <row r="3108" spans="2:3">
      <c r="B3108" s="30">
        <v>42677</v>
      </c>
      <c r="C3108">
        <v>175.7791</v>
      </c>
    </row>
    <row r="3109" spans="2:3">
      <c r="B3109" s="30">
        <v>42678</v>
      </c>
      <c r="C3109">
        <v>175.84049999999999</v>
      </c>
    </row>
    <row r="3110" spans="2:3">
      <c r="B3110" s="30">
        <v>42681</v>
      </c>
      <c r="C3110">
        <v>177.09010000000001</v>
      </c>
    </row>
    <row r="3111" spans="2:3">
      <c r="B3111" s="30">
        <v>42682</v>
      </c>
      <c r="C3111">
        <v>177.10230000000001</v>
      </c>
    </row>
    <row r="3112" spans="2:3">
      <c r="B3112" s="30">
        <v>42683</v>
      </c>
      <c r="C3112">
        <v>176.83160000000001</v>
      </c>
    </row>
    <row r="3113" spans="2:3">
      <c r="B3113" s="30">
        <v>42684</v>
      </c>
      <c r="C3113">
        <v>176.77950000000001</v>
      </c>
    </row>
    <row r="3114" spans="2:3">
      <c r="B3114" s="30">
        <v>42688</v>
      </c>
      <c r="C3114">
        <v>175.9718</v>
      </c>
    </row>
    <row r="3115" spans="2:3">
      <c r="B3115" s="30">
        <v>42689</v>
      </c>
      <c r="C3115">
        <v>176.6926</v>
      </c>
    </row>
    <row r="3116" spans="2:3">
      <c r="B3116" s="30">
        <v>42690</v>
      </c>
      <c r="C3116">
        <v>176.535</v>
      </c>
    </row>
    <row r="3117" spans="2:3">
      <c r="B3117" s="30">
        <v>42691</v>
      </c>
      <c r="C3117">
        <v>176.65960000000001</v>
      </c>
    </row>
    <row r="3118" spans="2:3">
      <c r="B3118" s="30">
        <v>42692</v>
      </c>
      <c r="C3118">
        <v>176.2483</v>
      </c>
    </row>
    <row r="3119" spans="2:3">
      <c r="B3119" s="30">
        <v>42695</v>
      </c>
      <c r="C3119">
        <v>176.67930000000001</v>
      </c>
    </row>
    <row r="3120" spans="2:3">
      <c r="B3120" s="30">
        <v>42696</v>
      </c>
      <c r="C3120">
        <v>177.041</v>
      </c>
    </row>
    <row r="3121" spans="2:3">
      <c r="B3121" s="30">
        <v>42697</v>
      </c>
      <c r="C3121">
        <v>176.8706</v>
      </c>
    </row>
    <row r="3122" spans="2:3">
      <c r="B3122" s="30">
        <v>42699</v>
      </c>
      <c r="C3122">
        <v>177.238</v>
      </c>
    </row>
    <row r="3123" spans="2:3">
      <c r="B3123" s="30">
        <v>42702</v>
      </c>
      <c r="C3123">
        <v>177.09049999999999</v>
      </c>
    </row>
    <row r="3124" spans="2:3">
      <c r="B3124" s="30">
        <v>42703</v>
      </c>
      <c r="C3124">
        <v>177.3075</v>
      </c>
    </row>
    <row r="3125" spans="2:3">
      <c r="B3125" s="30">
        <v>42704</v>
      </c>
      <c r="C3125">
        <v>176.8766</v>
      </c>
    </row>
    <row r="3126" spans="2:3">
      <c r="B3126" s="30">
        <v>42705</v>
      </c>
      <c r="C3126">
        <v>176.21729999999999</v>
      </c>
    </row>
    <row r="3127" spans="2:3">
      <c r="B3127" s="30">
        <v>42706</v>
      </c>
      <c r="C3127">
        <v>176.5487</v>
      </c>
    </row>
    <row r="3128" spans="2:3">
      <c r="B3128" s="30">
        <v>42709</v>
      </c>
      <c r="C3128">
        <v>177.00960000000001</v>
      </c>
    </row>
    <row r="3129" spans="2:3">
      <c r="B3129" s="30">
        <v>42710</v>
      </c>
      <c r="C3129">
        <v>177.2577</v>
      </c>
    </row>
    <row r="3130" spans="2:3">
      <c r="B3130" s="30">
        <v>42711</v>
      </c>
      <c r="C3130">
        <v>178.48349999999999</v>
      </c>
    </row>
    <row r="3131" spans="2:3">
      <c r="B3131" s="30">
        <v>42712</v>
      </c>
      <c r="C3131">
        <v>178.6292</v>
      </c>
    </row>
    <row r="3132" spans="2:3">
      <c r="B3132" s="30">
        <v>42713</v>
      </c>
      <c r="C3132">
        <v>178.84979999999999</v>
      </c>
    </row>
    <row r="3133" spans="2:3">
      <c r="B3133" s="30">
        <v>42716</v>
      </c>
      <c r="C3133">
        <v>178.64959999999999</v>
      </c>
    </row>
    <row r="3134" spans="2:3">
      <c r="B3134" s="30">
        <v>42717</v>
      </c>
      <c r="C3134">
        <v>179.35589999999999</v>
      </c>
    </row>
    <row r="3135" spans="2:3">
      <c r="B3135" s="30">
        <v>42718</v>
      </c>
      <c r="C3135">
        <v>178.41319999999999</v>
      </c>
    </row>
    <row r="3136" spans="2:3">
      <c r="B3136" s="30">
        <v>42719</v>
      </c>
      <c r="C3136">
        <v>178.53729999999999</v>
      </c>
    </row>
    <row r="3137" spans="2:3">
      <c r="B3137" s="30">
        <v>42720</v>
      </c>
      <c r="C3137">
        <v>178.3064</v>
      </c>
    </row>
    <row r="3138" spans="2:3">
      <c r="B3138" s="30">
        <v>42723</v>
      </c>
      <c r="C3138">
        <v>178.8109</v>
      </c>
    </row>
    <row r="3139" spans="2:3">
      <c r="B3139" s="30">
        <v>42724</v>
      </c>
      <c r="C3139">
        <v>179.00720000000001</v>
      </c>
    </row>
    <row r="3140" spans="2:3">
      <c r="B3140" s="30">
        <v>42725</v>
      </c>
      <c r="C3140">
        <v>178.904</v>
      </c>
    </row>
    <row r="3141" spans="2:3">
      <c r="B3141" s="30">
        <v>42726</v>
      </c>
      <c r="C3141">
        <v>178.8115</v>
      </c>
    </row>
    <row r="3142" spans="2:3">
      <c r="B3142" s="30">
        <v>42727</v>
      </c>
      <c r="C3142">
        <v>178.91839999999999</v>
      </c>
    </row>
    <row r="3143" spans="2:3">
      <c r="B3143" s="30">
        <v>42731</v>
      </c>
      <c r="C3143">
        <v>178.8546</v>
      </c>
    </row>
    <row r="3144" spans="2:3">
      <c r="B3144" s="30">
        <v>42732</v>
      </c>
      <c r="C3144">
        <v>178.44030000000001</v>
      </c>
    </row>
    <row r="3145" spans="2:3">
      <c r="B3145" s="30">
        <v>42733</v>
      </c>
      <c r="C3145">
        <v>178.5539</v>
      </c>
    </row>
    <row r="3146" spans="2:3">
      <c r="B3146" s="30">
        <v>42734</v>
      </c>
      <c r="C3146">
        <v>178.39439999999999</v>
      </c>
    </row>
    <row r="3147" spans="2:3">
      <c r="B3147" s="30">
        <v>42738</v>
      </c>
      <c r="C3147">
        <v>179.07759999999999</v>
      </c>
    </row>
    <row r="3148" spans="2:3">
      <c r="B3148" s="30">
        <v>42739</v>
      </c>
      <c r="C3148">
        <v>179.66480000000001</v>
      </c>
    </row>
    <row r="3149" spans="2:3">
      <c r="B3149" s="30">
        <v>42740</v>
      </c>
      <c r="C3149">
        <v>180.0712</v>
      </c>
    </row>
    <row r="3150" spans="2:3">
      <c r="B3150" s="30">
        <v>42741</v>
      </c>
      <c r="C3150">
        <v>180.1122</v>
      </c>
    </row>
    <row r="3151" spans="2:3">
      <c r="B3151" s="30">
        <v>42744</v>
      </c>
      <c r="C3151">
        <v>180.0025</v>
      </c>
    </row>
    <row r="3152" spans="2:3">
      <c r="B3152" s="30">
        <v>42745</v>
      </c>
      <c r="C3152">
        <v>179.90440000000001</v>
      </c>
    </row>
    <row r="3153" spans="2:3">
      <c r="B3153" s="30">
        <v>42746</v>
      </c>
      <c r="C3153">
        <v>180.26900000000001</v>
      </c>
    </row>
    <row r="3154" spans="2:3">
      <c r="B3154" s="30">
        <v>42747</v>
      </c>
      <c r="C3154">
        <v>179.91669999999999</v>
      </c>
    </row>
    <row r="3155" spans="2:3">
      <c r="B3155" s="30">
        <v>42748</v>
      </c>
      <c r="C3155">
        <v>180.3527</v>
      </c>
    </row>
    <row r="3156" spans="2:3">
      <c r="B3156" s="30">
        <v>42752</v>
      </c>
      <c r="C3156">
        <v>179.98910000000001</v>
      </c>
    </row>
    <row r="3157" spans="2:3">
      <c r="B3157" s="30">
        <v>42753</v>
      </c>
      <c r="C3157">
        <v>180.04150000000001</v>
      </c>
    </row>
    <row r="3158" spans="2:3">
      <c r="B3158" s="30">
        <v>42754</v>
      </c>
      <c r="C3158">
        <v>179.596</v>
      </c>
    </row>
    <row r="3159" spans="2:3">
      <c r="B3159" s="30">
        <v>42755</v>
      </c>
      <c r="C3159">
        <v>179.8723</v>
      </c>
    </row>
    <row r="3160" spans="2:3">
      <c r="B3160" s="30">
        <v>42758</v>
      </c>
      <c r="C3160">
        <v>179.80860000000001</v>
      </c>
    </row>
    <row r="3161" spans="2:3">
      <c r="B3161" s="30">
        <v>42759</v>
      </c>
      <c r="C3161">
        <v>180.41069999999999</v>
      </c>
    </row>
    <row r="3162" spans="2:3">
      <c r="B3162" s="30">
        <v>42760</v>
      </c>
      <c r="C3162">
        <v>181.49180000000001</v>
      </c>
    </row>
    <row r="3163" spans="2:3">
      <c r="B3163" s="30">
        <v>42761</v>
      </c>
      <c r="C3163">
        <v>181.5393</v>
      </c>
    </row>
    <row r="3164" spans="2:3">
      <c r="B3164" s="30">
        <v>42762</v>
      </c>
      <c r="C3164">
        <v>181.32579999999999</v>
      </c>
    </row>
    <row r="3165" spans="2:3">
      <c r="B3165" s="30">
        <v>42765</v>
      </c>
      <c r="C3165">
        <v>180.53819999999999</v>
      </c>
    </row>
    <row r="3166" spans="2:3">
      <c r="B3166" s="30">
        <v>42766</v>
      </c>
      <c r="C3166">
        <v>180.5067</v>
      </c>
    </row>
    <row r="3167" spans="2:3">
      <c r="B3167" s="30">
        <v>42767</v>
      </c>
      <c r="C3167">
        <v>180.46600000000001</v>
      </c>
    </row>
    <row r="3168" spans="2:3">
      <c r="B3168" s="30">
        <v>42768</v>
      </c>
      <c r="C3168">
        <v>180.5436</v>
      </c>
    </row>
    <row r="3169" spans="2:3">
      <c r="B3169" s="30">
        <v>42769</v>
      </c>
      <c r="C3169">
        <v>181.42939999999999</v>
      </c>
    </row>
    <row r="3170" spans="2:3">
      <c r="B3170" s="30">
        <v>42772</v>
      </c>
      <c r="C3170">
        <v>181.3355</v>
      </c>
    </row>
    <row r="3171" spans="2:3">
      <c r="B3171" s="30">
        <v>42773</v>
      </c>
      <c r="C3171">
        <v>181.4956</v>
      </c>
    </row>
    <row r="3172" spans="2:3">
      <c r="B3172" s="30">
        <v>42774</v>
      </c>
      <c r="C3172">
        <v>181.684</v>
      </c>
    </row>
    <row r="3173" spans="2:3">
      <c r="B3173" s="30">
        <v>42775</v>
      </c>
      <c r="C3173">
        <v>182.48439999999999</v>
      </c>
    </row>
    <row r="3174" spans="2:3">
      <c r="B3174" s="30">
        <v>42776</v>
      </c>
      <c r="C3174">
        <v>183.0146</v>
      </c>
    </row>
    <row r="3175" spans="2:3">
      <c r="B3175" s="30">
        <v>42779</v>
      </c>
      <c r="C3175">
        <v>183.88900000000001</v>
      </c>
    </row>
    <row r="3176" spans="2:3">
      <c r="B3176" s="30">
        <v>42780</v>
      </c>
      <c r="C3176">
        <v>184.53630000000001</v>
      </c>
    </row>
    <row r="3177" spans="2:3">
      <c r="B3177" s="30">
        <v>42781</v>
      </c>
      <c r="C3177">
        <v>185.3526</v>
      </c>
    </row>
    <row r="3178" spans="2:3">
      <c r="B3178" s="30">
        <v>42782</v>
      </c>
      <c r="C3178">
        <v>185.11330000000001</v>
      </c>
    </row>
    <row r="3179" spans="2:3">
      <c r="B3179" s="30">
        <v>42783</v>
      </c>
      <c r="C3179">
        <v>185.33199999999999</v>
      </c>
    </row>
    <row r="3180" spans="2:3">
      <c r="B3180" s="30">
        <v>42787</v>
      </c>
      <c r="C3180">
        <v>186.11279999999999</v>
      </c>
    </row>
    <row r="3181" spans="2:3">
      <c r="B3181" s="30">
        <v>42788</v>
      </c>
      <c r="C3181">
        <v>186.18260000000001</v>
      </c>
    </row>
    <row r="3182" spans="2:3">
      <c r="B3182" s="30">
        <v>42789</v>
      </c>
      <c r="C3182">
        <v>186.36449999999999</v>
      </c>
    </row>
    <row r="3183" spans="2:3">
      <c r="B3183" s="30">
        <v>42790</v>
      </c>
      <c r="C3183">
        <v>186.6514</v>
      </c>
    </row>
    <row r="3184" spans="2:3">
      <c r="B3184" s="30">
        <v>42793</v>
      </c>
      <c r="C3184">
        <v>186.7824</v>
      </c>
    </row>
    <row r="3185" spans="2:3">
      <c r="B3185" s="30">
        <v>42794</v>
      </c>
      <c r="C3185">
        <v>186.41759999999999</v>
      </c>
    </row>
    <row r="3186" spans="2:3">
      <c r="B3186" s="30">
        <v>42795</v>
      </c>
      <c r="C3186">
        <v>188.40790000000001</v>
      </c>
    </row>
    <row r="3187" spans="2:3">
      <c r="B3187" s="30">
        <v>42796</v>
      </c>
      <c r="C3187">
        <v>187.583</v>
      </c>
    </row>
    <row r="3188" spans="2:3">
      <c r="B3188" s="30">
        <v>42797</v>
      </c>
      <c r="C3188">
        <v>187.55549999999999</v>
      </c>
    </row>
    <row r="3189" spans="2:3">
      <c r="B3189" s="30">
        <v>42800</v>
      </c>
      <c r="C3189">
        <v>187.16980000000001</v>
      </c>
    </row>
    <row r="3190" spans="2:3">
      <c r="B3190" s="30">
        <v>42801</v>
      </c>
      <c r="C3190">
        <v>186.54660000000001</v>
      </c>
    </row>
    <row r="3191" spans="2:3">
      <c r="B3191" s="30">
        <v>42802</v>
      </c>
      <c r="C3191">
        <v>186.279</v>
      </c>
    </row>
    <row r="3192" spans="2:3">
      <c r="B3192" s="30">
        <v>42803</v>
      </c>
      <c r="C3192">
        <v>186.3014</v>
      </c>
    </row>
    <row r="3193" spans="2:3">
      <c r="B3193" s="30">
        <v>42804</v>
      </c>
      <c r="C3193">
        <v>186.64940000000001</v>
      </c>
    </row>
    <row r="3194" spans="2:3">
      <c r="B3194" s="30">
        <v>42807</v>
      </c>
      <c r="C3194">
        <v>186.7799</v>
      </c>
    </row>
    <row r="3195" spans="2:3">
      <c r="B3195" s="30">
        <v>42808</v>
      </c>
      <c r="C3195">
        <v>186.25980000000001</v>
      </c>
    </row>
    <row r="3196" spans="2:3">
      <c r="B3196" s="30">
        <v>42809</v>
      </c>
      <c r="C3196">
        <v>187.61019999999999</v>
      </c>
    </row>
    <row r="3197" spans="2:3">
      <c r="B3197" s="30">
        <v>42810</v>
      </c>
      <c r="C3197">
        <v>187.4803</v>
      </c>
    </row>
    <row r="3198" spans="2:3">
      <c r="B3198" s="30">
        <v>42811</v>
      </c>
      <c r="C3198">
        <v>187.31120000000001</v>
      </c>
    </row>
    <row r="3199" spans="2:3">
      <c r="B3199" s="30">
        <v>42814</v>
      </c>
      <c r="C3199">
        <v>187.05260000000001</v>
      </c>
    </row>
    <row r="3200" spans="2:3">
      <c r="B3200" s="30">
        <v>42815</v>
      </c>
      <c r="C3200">
        <v>185.3725</v>
      </c>
    </row>
    <row r="3201" spans="2:3">
      <c r="B3201" s="30">
        <v>42816</v>
      </c>
      <c r="C3201">
        <v>185.49459999999999</v>
      </c>
    </row>
    <row r="3202" spans="2:3">
      <c r="B3202" s="30">
        <v>42817</v>
      </c>
      <c r="C3202">
        <v>185.32550000000001</v>
      </c>
    </row>
    <row r="3203" spans="2:3">
      <c r="B3203" s="30">
        <v>42818</v>
      </c>
      <c r="C3203">
        <v>185.67959999999999</v>
      </c>
    </row>
    <row r="3204" spans="2:3">
      <c r="B3204" s="30">
        <v>42821</v>
      </c>
      <c r="C3204">
        <v>185.3733</v>
      </c>
    </row>
    <row r="3205" spans="2:3">
      <c r="B3205" s="30">
        <v>42822</v>
      </c>
      <c r="C3205">
        <v>185.96780000000001</v>
      </c>
    </row>
    <row r="3206" spans="2:3">
      <c r="B3206" s="30">
        <v>42823</v>
      </c>
      <c r="C3206">
        <v>186.334</v>
      </c>
    </row>
    <row r="3207" spans="2:3">
      <c r="B3207" s="30">
        <v>42824</v>
      </c>
      <c r="C3207">
        <v>186.64179999999999</v>
      </c>
    </row>
    <row r="3208" spans="2:3">
      <c r="B3208" s="30">
        <v>42825</v>
      </c>
      <c r="C3208">
        <v>186.4468</v>
      </c>
    </row>
    <row r="3209" spans="2:3">
      <c r="B3209" s="30">
        <v>42828</v>
      </c>
      <c r="C3209">
        <v>186.38890000000001</v>
      </c>
    </row>
    <row r="3210" spans="2:3">
      <c r="B3210" s="30">
        <v>42829</v>
      </c>
      <c r="C3210">
        <v>186.42529999999999</v>
      </c>
    </row>
    <row r="3211" spans="2:3">
      <c r="B3211" s="30">
        <v>42830</v>
      </c>
      <c r="C3211">
        <v>185.80619999999999</v>
      </c>
    </row>
    <row r="3212" spans="2:3">
      <c r="B3212" s="30">
        <v>42831</v>
      </c>
      <c r="C3212">
        <v>186.28360000000001</v>
      </c>
    </row>
    <row r="3213" spans="2:3">
      <c r="B3213" s="30">
        <v>42832</v>
      </c>
      <c r="C3213">
        <v>186.1224</v>
      </c>
    </row>
    <row r="3214" spans="2:3">
      <c r="B3214" s="30">
        <v>42835</v>
      </c>
      <c r="C3214">
        <v>186.1754</v>
      </c>
    </row>
    <row r="3215" spans="2:3">
      <c r="B3215" s="30">
        <v>42836</v>
      </c>
      <c r="C3215">
        <v>186.2192</v>
      </c>
    </row>
    <row r="3216" spans="2:3">
      <c r="B3216" s="30">
        <v>42837</v>
      </c>
      <c r="C3216">
        <v>185.56649999999999</v>
      </c>
    </row>
    <row r="3217" spans="2:3">
      <c r="B3217" s="30">
        <v>42838</v>
      </c>
      <c r="C3217">
        <v>184.83850000000001</v>
      </c>
    </row>
    <row r="3218" spans="2:3">
      <c r="B3218" s="30">
        <v>42842</v>
      </c>
      <c r="C3218">
        <v>185.91630000000001</v>
      </c>
    </row>
    <row r="3219" spans="2:3">
      <c r="B3219" s="30">
        <v>42843</v>
      </c>
      <c r="C3219">
        <v>185.5616</v>
      </c>
    </row>
    <row r="3220" spans="2:3">
      <c r="B3220" s="30">
        <v>42844</v>
      </c>
      <c r="C3220">
        <v>185.28970000000001</v>
      </c>
    </row>
    <row r="3221" spans="2:3">
      <c r="B3221" s="30">
        <v>42845</v>
      </c>
      <c r="C3221">
        <v>186.33349999999999</v>
      </c>
    </row>
    <row r="3222" spans="2:3">
      <c r="B3222" s="30">
        <v>42846</v>
      </c>
      <c r="C3222">
        <v>186.0795</v>
      </c>
    </row>
    <row r="3223" spans="2:3">
      <c r="B3223" s="30">
        <v>42849</v>
      </c>
      <c r="C3223">
        <v>187.40469999999999</v>
      </c>
    </row>
    <row r="3224" spans="2:3">
      <c r="B3224" s="30">
        <v>42850</v>
      </c>
      <c r="C3224">
        <v>188.2004</v>
      </c>
    </row>
    <row r="3225" spans="2:3">
      <c r="B3225" s="30">
        <v>42851</v>
      </c>
      <c r="C3225">
        <v>188.07230000000001</v>
      </c>
    </row>
    <row r="3226" spans="2:3">
      <c r="B3226" s="30">
        <v>42852</v>
      </c>
      <c r="C3226">
        <v>188.30549999999999</v>
      </c>
    </row>
    <row r="3227" spans="2:3">
      <c r="B3227" s="30">
        <v>42853</v>
      </c>
      <c r="C3227">
        <v>188.017</v>
      </c>
    </row>
    <row r="3228" spans="2:3">
      <c r="B3228" s="30">
        <v>42856</v>
      </c>
      <c r="C3228">
        <v>188.30189999999999</v>
      </c>
    </row>
    <row r="3229" spans="2:3">
      <c r="B3229" s="30">
        <v>42857</v>
      </c>
      <c r="C3229">
        <v>188.32660000000001</v>
      </c>
    </row>
    <row r="3230" spans="2:3">
      <c r="B3230" s="30">
        <v>42858</v>
      </c>
      <c r="C3230">
        <v>188.1609</v>
      </c>
    </row>
    <row r="3231" spans="2:3">
      <c r="B3231" s="30">
        <v>42859</v>
      </c>
      <c r="C3231">
        <v>188.16159999999999</v>
      </c>
    </row>
    <row r="3232" spans="2:3">
      <c r="B3232" s="30">
        <v>42860</v>
      </c>
      <c r="C3232">
        <v>188.92910000000001</v>
      </c>
    </row>
    <row r="3233" spans="2:3">
      <c r="B3233" s="30">
        <v>42863</v>
      </c>
      <c r="C3233">
        <v>188.70519999999999</v>
      </c>
    </row>
    <row r="3234" spans="2:3">
      <c r="B3234" s="30">
        <v>42864</v>
      </c>
      <c r="C3234">
        <v>188.52590000000001</v>
      </c>
    </row>
    <row r="3235" spans="2:3">
      <c r="B3235" s="30">
        <v>42865</v>
      </c>
      <c r="C3235">
        <v>188.6498</v>
      </c>
    </row>
    <row r="3236" spans="2:3">
      <c r="B3236" s="30">
        <v>42866</v>
      </c>
      <c r="C3236">
        <v>188.41489999999999</v>
      </c>
    </row>
    <row r="3237" spans="2:3">
      <c r="B3237" s="30">
        <v>42867</v>
      </c>
      <c r="C3237">
        <v>188.4341</v>
      </c>
    </row>
    <row r="3238" spans="2:3">
      <c r="B3238" s="30">
        <v>42870</v>
      </c>
      <c r="C3238">
        <v>189.03819999999999</v>
      </c>
    </row>
    <row r="3239" spans="2:3">
      <c r="B3239" s="30">
        <v>42871</v>
      </c>
      <c r="C3239">
        <v>188.9665</v>
      </c>
    </row>
    <row r="3240" spans="2:3">
      <c r="B3240" s="30">
        <v>42872</v>
      </c>
      <c r="C3240">
        <v>186.54740000000001</v>
      </c>
    </row>
    <row r="3241" spans="2:3">
      <c r="B3241" s="30">
        <v>42873</v>
      </c>
      <c r="C3241">
        <v>186.9342</v>
      </c>
    </row>
    <row r="3242" spans="2:3">
      <c r="B3242" s="30">
        <v>42874</v>
      </c>
      <c r="C3242">
        <v>188.0847</v>
      </c>
    </row>
    <row r="3243" spans="2:3">
      <c r="B3243" s="30">
        <v>42877</v>
      </c>
      <c r="C3243">
        <v>188.7825</v>
      </c>
    </row>
    <row r="3244" spans="2:3">
      <c r="B3244" s="30">
        <v>42878</v>
      </c>
      <c r="C3244">
        <v>189.0102</v>
      </c>
    </row>
    <row r="3245" spans="2:3">
      <c r="B3245" s="30">
        <v>42879</v>
      </c>
      <c r="C3245">
        <v>189.30099999999999</v>
      </c>
    </row>
    <row r="3246" spans="2:3">
      <c r="B3246" s="30">
        <v>42880</v>
      </c>
      <c r="C3246">
        <v>189.98599999999999</v>
      </c>
    </row>
    <row r="3247" spans="2:3">
      <c r="B3247" s="30">
        <v>42881</v>
      </c>
      <c r="C3247">
        <v>190.00299999999999</v>
      </c>
    </row>
    <row r="3248" spans="2:3">
      <c r="B3248" s="30">
        <v>42885</v>
      </c>
      <c r="C3248">
        <v>189.93450000000001</v>
      </c>
    </row>
    <row r="3249" spans="2:3">
      <c r="B3249" s="30">
        <v>42886</v>
      </c>
      <c r="C3249">
        <v>190.02699999999999</v>
      </c>
    </row>
    <row r="3250" spans="2:3">
      <c r="B3250" s="30">
        <v>42887</v>
      </c>
      <c r="C3250">
        <v>191.04570000000001</v>
      </c>
    </row>
    <row r="3251" spans="2:3">
      <c r="B3251" s="30">
        <v>42888</v>
      </c>
      <c r="C3251">
        <v>191.68979999999999</v>
      </c>
    </row>
    <row r="3252" spans="2:3">
      <c r="B3252" s="30">
        <v>42891</v>
      </c>
      <c r="C3252">
        <v>191.42740000000001</v>
      </c>
    </row>
    <row r="3253" spans="2:3">
      <c r="B3253" s="30">
        <v>42892</v>
      </c>
      <c r="C3253">
        <v>191.33150000000001</v>
      </c>
    </row>
    <row r="3254" spans="2:3">
      <c r="B3254" s="30">
        <v>42893</v>
      </c>
      <c r="C3254">
        <v>191.2955</v>
      </c>
    </row>
    <row r="3255" spans="2:3">
      <c r="B3255" s="30">
        <v>42894</v>
      </c>
      <c r="C3255">
        <v>191.27600000000001</v>
      </c>
    </row>
    <row r="3256" spans="2:3">
      <c r="B3256" s="30">
        <v>42895</v>
      </c>
      <c r="C3256">
        <v>191.17259999999999</v>
      </c>
    </row>
    <row r="3257" spans="2:3">
      <c r="B3257" s="30">
        <v>42898</v>
      </c>
      <c r="C3257">
        <v>191.05119999999999</v>
      </c>
    </row>
    <row r="3258" spans="2:3">
      <c r="B3258" s="30">
        <v>42899</v>
      </c>
      <c r="C3258">
        <v>191.71789999999999</v>
      </c>
    </row>
    <row r="3259" spans="2:3">
      <c r="B3259" s="30">
        <v>42900</v>
      </c>
      <c r="C3259">
        <v>191.80789999999999</v>
      </c>
    </row>
    <row r="3260" spans="2:3">
      <c r="B3260" s="30">
        <v>42901</v>
      </c>
      <c r="C3260">
        <v>191.5162</v>
      </c>
    </row>
    <row r="3261" spans="2:3">
      <c r="B3261" s="30">
        <v>42902</v>
      </c>
      <c r="C3261">
        <v>191.4778</v>
      </c>
    </row>
    <row r="3262" spans="2:3">
      <c r="B3262" s="30">
        <v>42905</v>
      </c>
      <c r="C3262">
        <v>192.34479999999999</v>
      </c>
    </row>
    <row r="3263" spans="2:3">
      <c r="B3263" s="30">
        <v>42906</v>
      </c>
      <c r="C3263">
        <v>191.86170000000001</v>
      </c>
    </row>
    <row r="3264" spans="2:3">
      <c r="B3264" s="30">
        <v>42907</v>
      </c>
      <c r="C3264">
        <v>191.59639999999999</v>
      </c>
    </row>
    <row r="3265" spans="2:3">
      <c r="B3265" s="30">
        <v>42908</v>
      </c>
      <c r="C3265">
        <v>191.51779999999999</v>
      </c>
    </row>
    <row r="3266" spans="2:3">
      <c r="B3266" s="30">
        <v>42909</v>
      </c>
      <c r="C3266">
        <v>191.7595</v>
      </c>
    </row>
    <row r="3267" spans="2:3">
      <c r="B3267" s="30">
        <v>42912</v>
      </c>
      <c r="C3267">
        <v>191.85810000000001</v>
      </c>
    </row>
    <row r="3268" spans="2:3">
      <c r="B3268" s="30">
        <v>42913</v>
      </c>
      <c r="C3268">
        <v>190.72620000000001</v>
      </c>
    </row>
    <row r="3269" spans="2:3">
      <c r="B3269" s="30">
        <v>42914</v>
      </c>
      <c r="C3269">
        <v>191.88990000000001</v>
      </c>
    </row>
    <row r="3270" spans="2:3">
      <c r="B3270" s="30">
        <v>42915</v>
      </c>
      <c r="C3270">
        <v>190.6249</v>
      </c>
    </row>
    <row r="3271" spans="2:3">
      <c r="B3271" s="30">
        <v>42916</v>
      </c>
      <c r="C3271">
        <v>190.62899999999999</v>
      </c>
    </row>
    <row r="3272" spans="2:3">
      <c r="B3272" s="30">
        <v>42919</v>
      </c>
      <c r="C3272">
        <v>190.749</v>
      </c>
    </row>
    <row r="3273" spans="2:3">
      <c r="B3273" s="30">
        <v>42921</v>
      </c>
      <c r="C3273">
        <v>190.93539999999999</v>
      </c>
    </row>
    <row r="3274" spans="2:3">
      <c r="B3274" s="30">
        <v>42922</v>
      </c>
      <c r="C3274">
        <v>189.68469999999999</v>
      </c>
    </row>
    <row r="3275" spans="2:3">
      <c r="B3275" s="30">
        <v>42923</v>
      </c>
      <c r="C3275">
        <v>190.4503</v>
      </c>
    </row>
    <row r="3276" spans="2:3">
      <c r="B3276" s="30">
        <v>42926</v>
      </c>
      <c r="C3276">
        <v>190.63120000000001</v>
      </c>
    </row>
    <row r="3277" spans="2:3">
      <c r="B3277" s="30">
        <v>42927</v>
      </c>
      <c r="C3277">
        <v>190.65960000000001</v>
      </c>
    </row>
    <row r="3278" spans="2:3">
      <c r="B3278" s="30">
        <v>42928</v>
      </c>
      <c r="C3278">
        <v>191.6712</v>
      </c>
    </row>
    <row r="3279" spans="2:3">
      <c r="B3279" s="30">
        <v>42929</v>
      </c>
      <c r="C3279">
        <v>191.9332</v>
      </c>
    </row>
    <row r="3280" spans="2:3">
      <c r="B3280" s="30">
        <v>42930</v>
      </c>
      <c r="C3280">
        <v>192.58070000000001</v>
      </c>
    </row>
    <row r="3281" spans="2:3">
      <c r="B3281" s="30">
        <v>42933</v>
      </c>
      <c r="C3281">
        <v>192.77690000000001</v>
      </c>
    </row>
    <row r="3282" spans="2:3">
      <c r="B3282" s="30">
        <v>42934</v>
      </c>
      <c r="C3282">
        <v>192.88929999999999</v>
      </c>
    </row>
    <row r="3283" spans="2:3">
      <c r="B3283" s="30">
        <v>42935</v>
      </c>
      <c r="C3283">
        <v>193.6122</v>
      </c>
    </row>
    <row r="3284" spans="2:3">
      <c r="B3284" s="30">
        <v>42936</v>
      </c>
      <c r="C3284">
        <v>193.6156</v>
      </c>
    </row>
    <row r="3285" spans="2:3">
      <c r="B3285" s="30">
        <v>42937</v>
      </c>
      <c r="C3285">
        <v>193.62780000000001</v>
      </c>
    </row>
    <row r="3286" spans="2:3">
      <c r="B3286" s="30">
        <v>42940</v>
      </c>
      <c r="C3286">
        <v>193.50790000000001</v>
      </c>
    </row>
    <row r="3287" spans="2:3">
      <c r="B3287" s="30">
        <v>42941</v>
      </c>
      <c r="C3287">
        <v>193.56979999999999</v>
      </c>
    </row>
    <row r="3288" spans="2:3">
      <c r="B3288" s="30">
        <v>42942</v>
      </c>
      <c r="C3288">
        <v>193.66919999999999</v>
      </c>
    </row>
    <row r="3289" spans="2:3">
      <c r="B3289" s="30">
        <v>42943</v>
      </c>
      <c r="C3289">
        <v>193.49420000000001</v>
      </c>
    </row>
    <row r="3290" spans="2:3">
      <c r="B3290" s="30">
        <v>42944</v>
      </c>
      <c r="C3290">
        <v>193.45679999999999</v>
      </c>
    </row>
    <row r="3291" spans="2:3">
      <c r="B3291" s="30">
        <v>42947</v>
      </c>
      <c r="C3291">
        <v>193.3186</v>
      </c>
    </row>
    <row r="3292" spans="2:3">
      <c r="B3292" s="30">
        <v>42948</v>
      </c>
      <c r="C3292">
        <v>193.6979</v>
      </c>
    </row>
    <row r="3293" spans="2:3">
      <c r="B3293" s="30">
        <v>42949</v>
      </c>
      <c r="C3293">
        <v>193.76759999999999</v>
      </c>
    </row>
    <row r="3294" spans="2:3">
      <c r="B3294" s="30">
        <v>42950</v>
      </c>
      <c r="C3294">
        <v>193.697</v>
      </c>
    </row>
    <row r="3295" spans="2:3">
      <c r="B3295" s="30">
        <v>42951</v>
      </c>
      <c r="C3295">
        <v>193.65899999999999</v>
      </c>
    </row>
    <row r="3296" spans="2:3">
      <c r="B3296" s="30">
        <v>42954</v>
      </c>
      <c r="C3296">
        <v>194.06129999999999</v>
      </c>
    </row>
    <row r="3297" spans="2:3">
      <c r="B3297" s="30">
        <v>42955</v>
      </c>
      <c r="C3297">
        <v>193.68899999999999</v>
      </c>
    </row>
    <row r="3298" spans="2:3">
      <c r="B3298" s="30">
        <v>42956</v>
      </c>
      <c r="C3298">
        <v>193.74709999999999</v>
      </c>
    </row>
    <row r="3299" spans="2:3">
      <c r="B3299" s="30">
        <v>42957</v>
      </c>
      <c r="C3299">
        <v>191.1371</v>
      </c>
    </row>
    <row r="3300" spans="2:3">
      <c r="B3300" s="30">
        <v>42958</v>
      </c>
      <c r="C3300">
        <v>191.3733</v>
      </c>
    </row>
    <row r="3301" spans="2:3">
      <c r="B3301" s="30">
        <v>42961</v>
      </c>
      <c r="C3301">
        <v>193.078</v>
      </c>
    </row>
    <row r="3302" spans="2:3">
      <c r="B3302" s="30">
        <v>42962</v>
      </c>
      <c r="C3302">
        <v>193.0265</v>
      </c>
    </row>
    <row r="3303" spans="2:3">
      <c r="B3303" s="30">
        <v>42963</v>
      </c>
      <c r="C3303">
        <v>193.30369999999999</v>
      </c>
    </row>
    <row r="3304" spans="2:3">
      <c r="B3304" s="30">
        <v>42964</v>
      </c>
      <c r="C3304">
        <v>190.94200000000001</v>
      </c>
    </row>
    <row r="3305" spans="2:3">
      <c r="B3305" s="30">
        <v>42965</v>
      </c>
      <c r="C3305">
        <v>190.62719999999999</v>
      </c>
    </row>
    <row r="3306" spans="2:3">
      <c r="B3306" s="30">
        <v>42968</v>
      </c>
      <c r="C3306">
        <v>190.83459999999999</v>
      </c>
    </row>
    <row r="3307" spans="2:3">
      <c r="B3307" s="30">
        <v>42969</v>
      </c>
      <c r="C3307">
        <v>192.16849999999999</v>
      </c>
    </row>
    <row r="3308" spans="2:3">
      <c r="B3308" s="30">
        <v>42970</v>
      </c>
      <c r="C3308">
        <v>191.8252</v>
      </c>
    </row>
    <row r="3309" spans="2:3">
      <c r="B3309" s="30">
        <v>42971</v>
      </c>
      <c r="C3309">
        <v>191.5067</v>
      </c>
    </row>
    <row r="3310" spans="2:3">
      <c r="B3310" s="30">
        <v>42972</v>
      </c>
      <c r="C3310">
        <v>191.8006</v>
      </c>
    </row>
    <row r="3311" spans="2:3">
      <c r="B3311" s="30">
        <v>42975</v>
      </c>
      <c r="C3311">
        <v>191.89779999999999</v>
      </c>
    </row>
    <row r="3312" spans="2:3">
      <c r="B3312" s="30">
        <v>42976</v>
      </c>
      <c r="C3312">
        <v>192.08699999999999</v>
      </c>
    </row>
    <row r="3313" spans="2:3">
      <c r="B3313" s="30">
        <v>42977</v>
      </c>
      <c r="C3313">
        <v>192.52940000000001</v>
      </c>
    </row>
    <row r="3314" spans="2:3">
      <c r="B3314" s="30">
        <v>42978</v>
      </c>
      <c r="C3314">
        <v>193.24520000000001</v>
      </c>
    </row>
    <row r="3315" spans="2:3">
      <c r="B3315" s="30">
        <v>42979</v>
      </c>
      <c r="C3315">
        <v>193.29839999999999</v>
      </c>
    </row>
    <row r="3316" spans="2:3">
      <c r="B3316" s="30">
        <v>42983</v>
      </c>
      <c r="C3316">
        <v>192.98240000000001</v>
      </c>
    </row>
    <row r="3317" spans="2:3">
      <c r="B3317" s="30">
        <v>42984</v>
      </c>
      <c r="C3317">
        <v>193.09989999999999</v>
      </c>
    </row>
    <row r="3318" spans="2:3">
      <c r="B3318" s="30">
        <v>42985</v>
      </c>
      <c r="C3318">
        <v>193.32419999999999</v>
      </c>
    </row>
    <row r="3319" spans="2:3">
      <c r="B3319" s="30">
        <v>42986</v>
      </c>
      <c r="C3319">
        <v>193.13059999999999</v>
      </c>
    </row>
    <row r="3320" spans="2:3">
      <c r="B3320" s="30">
        <v>42989</v>
      </c>
      <c r="C3320">
        <v>193.96199999999999</v>
      </c>
    </row>
    <row r="3321" spans="2:3">
      <c r="B3321" s="30">
        <v>42990</v>
      </c>
      <c r="C3321">
        <v>194.1687</v>
      </c>
    </row>
    <row r="3322" spans="2:3">
      <c r="B3322" s="30">
        <v>42991</v>
      </c>
      <c r="C3322">
        <v>194.12459999999999</v>
      </c>
    </row>
    <row r="3323" spans="2:3">
      <c r="B3323" s="30">
        <v>42992</v>
      </c>
      <c r="C3323">
        <v>194.03100000000001</v>
      </c>
    </row>
    <row r="3324" spans="2:3">
      <c r="B3324" s="30">
        <v>42993</v>
      </c>
      <c r="C3324">
        <v>194.1994</v>
      </c>
    </row>
    <row r="3325" spans="2:3">
      <c r="B3325" s="30">
        <v>42996</v>
      </c>
      <c r="C3325">
        <v>194.2758</v>
      </c>
    </row>
    <row r="3326" spans="2:3">
      <c r="B3326" s="30">
        <v>42997</v>
      </c>
      <c r="C3326">
        <v>194.42009999999999</v>
      </c>
    </row>
    <row r="3327" spans="2:3">
      <c r="B3327" s="30">
        <v>42998</v>
      </c>
      <c r="C3327">
        <v>194.31639999999999</v>
      </c>
    </row>
    <row r="3328" spans="2:3">
      <c r="B3328" s="30">
        <v>42999</v>
      </c>
      <c r="C3328">
        <v>193.95330000000001</v>
      </c>
    </row>
    <row r="3329" spans="2:3">
      <c r="B3329" s="30">
        <v>43000</v>
      </c>
      <c r="C3329">
        <v>194.0274</v>
      </c>
    </row>
    <row r="3330" spans="2:3">
      <c r="B3330" s="30">
        <v>43003</v>
      </c>
      <c r="C3330">
        <v>193.8929</v>
      </c>
    </row>
    <row r="3331" spans="2:3">
      <c r="B3331" s="30">
        <v>43004</v>
      </c>
      <c r="C3331">
        <v>193.91659999999999</v>
      </c>
    </row>
    <row r="3332" spans="2:3">
      <c r="B3332" s="30">
        <v>43005</v>
      </c>
      <c r="C3332">
        <v>194.18289999999999</v>
      </c>
    </row>
    <row r="3333" spans="2:3">
      <c r="B3333" s="30">
        <v>43006</v>
      </c>
      <c r="C3333">
        <v>194.37450000000001</v>
      </c>
    </row>
    <row r="3334" spans="2:3">
      <c r="B3334" s="30">
        <v>43007</v>
      </c>
      <c r="C3334">
        <v>194.821</v>
      </c>
    </row>
    <row r="3335" spans="2:3">
      <c r="B3335" s="30">
        <v>43010</v>
      </c>
      <c r="C3335">
        <v>195.33510000000001</v>
      </c>
    </row>
    <row r="3336" spans="2:3">
      <c r="B3336" s="30">
        <v>43011</v>
      </c>
      <c r="C3336">
        <v>195.64510000000001</v>
      </c>
    </row>
    <row r="3337" spans="2:3">
      <c r="B3337" s="30">
        <v>43012</v>
      </c>
      <c r="C3337">
        <v>195.79310000000001</v>
      </c>
    </row>
    <row r="3338" spans="2:3">
      <c r="B3338" s="30">
        <v>43013</v>
      </c>
      <c r="C3338">
        <v>196.47210000000001</v>
      </c>
    </row>
    <row r="3339" spans="2:3">
      <c r="B3339" s="30">
        <v>43014</v>
      </c>
      <c r="C3339">
        <v>196.26249999999999</v>
      </c>
    </row>
    <row r="3340" spans="2:3">
      <c r="B3340" s="30">
        <v>43018</v>
      </c>
      <c r="C3340">
        <v>196.45840000000001</v>
      </c>
    </row>
    <row r="3341" spans="2:3">
      <c r="B3341" s="30">
        <v>43019</v>
      </c>
      <c r="C3341">
        <v>196.66679999999999</v>
      </c>
    </row>
    <row r="3342" spans="2:3">
      <c r="B3342" s="30">
        <v>43020</v>
      </c>
      <c r="C3342">
        <v>196.47579999999999</v>
      </c>
    </row>
    <row r="3343" spans="2:3">
      <c r="B3343" s="30">
        <v>43021</v>
      </c>
      <c r="C3343">
        <v>196.7517</v>
      </c>
    </row>
    <row r="3344" spans="2:3">
      <c r="B3344" s="30">
        <v>43024</v>
      </c>
      <c r="C3344">
        <v>196.94120000000001</v>
      </c>
    </row>
    <row r="3345" spans="2:3">
      <c r="B3345" s="30">
        <v>43025</v>
      </c>
      <c r="C3345">
        <v>197.05950000000001</v>
      </c>
    </row>
    <row r="3346" spans="2:3">
      <c r="B3346" s="30">
        <v>43026</v>
      </c>
      <c r="C3346">
        <v>197.12029999999999</v>
      </c>
    </row>
    <row r="3347" spans="2:3">
      <c r="B3347" s="30">
        <v>43027</v>
      </c>
      <c r="C3347">
        <v>197.1995</v>
      </c>
    </row>
    <row r="3348" spans="2:3">
      <c r="B3348" s="30">
        <v>43028</v>
      </c>
      <c r="C3348">
        <v>197.99709999999999</v>
      </c>
    </row>
    <row r="3349" spans="2:3">
      <c r="B3349" s="30">
        <v>43031</v>
      </c>
      <c r="C3349">
        <v>197.38229999999999</v>
      </c>
    </row>
    <row r="3350" spans="2:3">
      <c r="B3350" s="30">
        <v>43032</v>
      </c>
      <c r="C3350">
        <v>197.6191</v>
      </c>
    </row>
    <row r="3351" spans="2:3">
      <c r="B3351" s="30">
        <v>43033</v>
      </c>
      <c r="C3351">
        <v>196.72280000000001</v>
      </c>
    </row>
    <row r="3352" spans="2:3">
      <c r="B3352" s="30">
        <v>43034</v>
      </c>
      <c r="C3352">
        <v>196.96559999999999</v>
      </c>
    </row>
    <row r="3353" spans="2:3">
      <c r="B3353" s="30">
        <v>43035</v>
      </c>
      <c r="C3353">
        <v>198.46459999999999</v>
      </c>
    </row>
    <row r="3354" spans="2:3">
      <c r="B3354" s="30">
        <v>43038</v>
      </c>
      <c r="C3354">
        <v>197.86080000000001</v>
      </c>
    </row>
    <row r="3355" spans="2:3">
      <c r="B3355" s="30">
        <v>43039</v>
      </c>
      <c r="C3355">
        <v>198.06030000000001</v>
      </c>
    </row>
    <row r="3356" spans="2:3">
      <c r="B3356" s="30">
        <v>43040</v>
      </c>
      <c r="C3356">
        <v>198.27930000000001</v>
      </c>
    </row>
    <row r="3357" spans="2:3">
      <c r="B3357" s="30">
        <v>43041</v>
      </c>
      <c r="C3357">
        <v>198.35579999999999</v>
      </c>
    </row>
    <row r="3358" spans="2:3">
      <c r="B3358" s="30">
        <v>43042</v>
      </c>
      <c r="C3358">
        <v>198.952</v>
      </c>
    </row>
    <row r="3359" spans="2:3">
      <c r="B3359" s="30">
        <v>43045</v>
      </c>
      <c r="C3359">
        <v>199.24590000000001</v>
      </c>
    </row>
    <row r="3360" spans="2:3">
      <c r="B3360" s="30">
        <v>43046</v>
      </c>
      <c r="C3360">
        <v>199.15799999999999</v>
      </c>
    </row>
    <row r="3361" spans="2:3">
      <c r="B3361" s="30">
        <v>43047</v>
      </c>
      <c r="C3361">
        <v>199.4907</v>
      </c>
    </row>
    <row r="3362" spans="2:3">
      <c r="B3362" s="30">
        <v>43048</v>
      </c>
      <c r="C3362">
        <v>198.74639999999999</v>
      </c>
    </row>
    <row r="3363" spans="2:3">
      <c r="B3363" s="30">
        <v>43049</v>
      </c>
      <c r="C3363">
        <v>198.6396</v>
      </c>
    </row>
    <row r="3364" spans="2:3">
      <c r="B3364" s="30">
        <v>43052</v>
      </c>
      <c r="C3364">
        <v>198.82810000000001</v>
      </c>
    </row>
    <row r="3365" spans="2:3">
      <c r="B3365" s="30">
        <v>43053</v>
      </c>
      <c r="C3365">
        <v>198.40459999999999</v>
      </c>
    </row>
    <row r="3366" spans="2:3">
      <c r="B3366" s="30">
        <v>43054</v>
      </c>
      <c r="C3366">
        <v>197.3561</v>
      </c>
    </row>
    <row r="3367" spans="2:3">
      <c r="B3367" s="30">
        <v>43055</v>
      </c>
      <c r="C3367">
        <v>198.97309999999999</v>
      </c>
    </row>
    <row r="3368" spans="2:3">
      <c r="B3368" s="30">
        <v>43056</v>
      </c>
      <c r="C3368">
        <v>198.44290000000001</v>
      </c>
    </row>
    <row r="3369" spans="2:3">
      <c r="B3369" s="30">
        <v>43059</v>
      </c>
      <c r="C3369">
        <v>198.71190000000001</v>
      </c>
    </row>
    <row r="3370" spans="2:3">
      <c r="B3370" s="30">
        <v>43060</v>
      </c>
      <c r="C3370">
        <v>199.91800000000001</v>
      </c>
    </row>
    <row r="3371" spans="2:3">
      <c r="B3371" s="30">
        <v>43061</v>
      </c>
      <c r="C3371">
        <v>199.7877</v>
      </c>
    </row>
    <row r="3372" spans="2:3">
      <c r="B3372" s="30">
        <v>43063</v>
      </c>
      <c r="C3372">
        <v>200.16540000000001</v>
      </c>
    </row>
    <row r="3373" spans="2:3">
      <c r="B3373" s="30">
        <v>43066</v>
      </c>
      <c r="C3373">
        <v>200.1266</v>
      </c>
    </row>
    <row r="3374" spans="2:3">
      <c r="B3374" s="30">
        <v>43067</v>
      </c>
      <c r="C3374">
        <v>201.82040000000001</v>
      </c>
    </row>
    <row r="3375" spans="2:3">
      <c r="B3375" s="30">
        <v>43068</v>
      </c>
      <c r="C3375">
        <v>201.75049999999999</v>
      </c>
    </row>
    <row r="3376" spans="2:3">
      <c r="B3376" s="30">
        <v>43069</v>
      </c>
      <c r="C3376">
        <v>203.23570000000001</v>
      </c>
    </row>
    <row r="3377" spans="2:3">
      <c r="B3377" s="30">
        <v>43070</v>
      </c>
      <c r="C3377">
        <v>202.95009999999999</v>
      </c>
    </row>
    <row r="3378" spans="2:3">
      <c r="B3378" s="30">
        <v>43073</v>
      </c>
      <c r="C3378">
        <v>202.7484</v>
      </c>
    </row>
    <row r="3379" spans="2:3">
      <c r="B3379" s="30">
        <v>43074</v>
      </c>
      <c r="C3379">
        <v>202.19569999999999</v>
      </c>
    </row>
    <row r="3380" spans="2:3">
      <c r="B3380" s="30">
        <v>43075</v>
      </c>
      <c r="C3380">
        <v>202.24520000000001</v>
      </c>
    </row>
    <row r="3381" spans="2:3">
      <c r="B3381" s="30">
        <v>43076</v>
      </c>
      <c r="C3381">
        <v>202.5599</v>
      </c>
    </row>
    <row r="3382" spans="2:3">
      <c r="B3382" s="30">
        <v>43077</v>
      </c>
      <c r="C3382">
        <v>203.4392</v>
      </c>
    </row>
    <row r="3383" spans="2:3">
      <c r="B3383" s="30">
        <v>43080</v>
      </c>
      <c r="C3383">
        <v>203.9581</v>
      </c>
    </row>
    <row r="3384" spans="2:3">
      <c r="B3384" s="30">
        <v>43081</v>
      </c>
      <c r="C3384">
        <v>204.13980000000001</v>
      </c>
    </row>
    <row r="3385" spans="2:3">
      <c r="B3385" s="30">
        <v>43082</v>
      </c>
      <c r="C3385">
        <v>204.3021</v>
      </c>
    </row>
    <row r="3386" spans="2:3">
      <c r="B3386" s="30">
        <v>43083</v>
      </c>
      <c r="C3386">
        <v>203.6618</v>
      </c>
    </row>
    <row r="3387" spans="2:3">
      <c r="B3387" s="30">
        <v>43084</v>
      </c>
      <c r="C3387">
        <v>204.8811</v>
      </c>
    </row>
    <row r="3388" spans="2:3">
      <c r="B3388" s="30">
        <v>43087</v>
      </c>
      <c r="C3388">
        <v>205.7551</v>
      </c>
    </row>
    <row r="3389" spans="2:3">
      <c r="B3389" s="30">
        <v>43088</v>
      </c>
      <c r="C3389">
        <v>204.97489999999999</v>
      </c>
    </row>
    <row r="3390" spans="2:3">
      <c r="B3390" s="30">
        <v>43089</v>
      </c>
      <c r="C3390">
        <v>204.76439999999999</v>
      </c>
    </row>
    <row r="3391" spans="2:3">
      <c r="B3391" s="30">
        <v>43090</v>
      </c>
      <c r="C3391">
        <v>205.15629999999999</v>
      </c>
    </row>
    <row r="3392" spans="2:3">
      <c r="B3392" s="30">
        <v>43091</v>
      </c>
      <c r="C3392">
        <v>205.12520000000001</v>
      </c>
    </row>
    <row r="3393" spans="2:3">
      <c r="B3393" s="30">
        <v>43095</v>
      </c>
      <c r="C3393">
        <v>205.11490000000001</v>
      </c>
    </row>
    <row r="3394" spans="2:3">
      <c r="B3394" s="30">
        <v>43096</v>
      </c>
      <c r="C3394">
        <v>205.17760000000001</v>
      </c>
    </row>
    <row r="3395" spans="2:3">
      <c r="B3395" s="30">
        <v>43097</v>
      </c>
      <c r="C3395">
        <v>205.23699999999999</v>
      </c>
    </row>
    <row r="3396" spans="2:3">
      <c r="B3396" s="30">
        <v>43098</v>
      </c>
      <c r="C3396">
        <v>204.67699999999999</v>
      </c>
    </row>
    <row r="3397" spans="2:3">
      <c r="B3397" s="30">
        <v>43102</v>
      </c>
      <c r="C3397">
        <v>205.715</v>
      </c>
    </row>
    <row r="3398" spans="2:3">
      <c r="B3398" s="30">
        <v>43103</v>
      </c>
      <c r="C3398">
        <v>206.80279999999999</v>
      </c>
    </row>
    <row r="3399" spans="2:3">
      <c r="B3399" s="30">
        <v>43104</v>
      </c>
      <c r="C3399">
        <v>207.51840000000001</v>
      </c>
    </row>
    <row r="3400" spans="2:3">
      <c r="B3400" s="30">
        <v>43105</v>
      </c>
      <c r="C3400">
        <v>208.57740000000001</v>
      </c>
    </row>
    <row r="3401" spans="2:3">
      <c r="B3401" s="30">
        <v>43108</v>
      </c>
      <c r="C3401">
        <v>208.84540000000001</v>
      </c>
    </row>
    <row r="3402" spans="2:3">
      <c r="B3402" s="30">
        <v>43109</v>
      </c>
      <c r="C3402">
        <v>208.9477</v>
      </c>
    </row>
    <row r="3403" spans="2:3">
      <c r="B3403" s="30">
        <v>43110</v>
      </c>
      <c r="C3403">
        <v>208.74270000000001</v>
      </c>
    </row>
    <row r="3404" spans="2:3">
      <c r="B3404" s="30">
        <v>43111</v>
      </c>
      <c r="C3404">
        <v>209.89259999999999</v>
      </c>
    </row>
    <row r="3405" spans="2:3">
      <c r="B3405" s="30">
        <v>43112</v>
      </c>
      <c r="C3405">
        <v>210.93870000000001</v>
      </c>
    </row>
    <row r="3406" spans="2:3">
      <c r="B3406" s="30">
        <v>43116</v>
      </c>
      <c r="C3406">
        <v>210.4504</v>
      </c>
    </row>
    <row r="3407" spans="2:3">
      <c r="B3407" s="30">
        <v>43117</v>
      </c>
      <c r="C3407">
        <v>211.76159999999999</v>
      </c>
    </row>
    <row r="3408" spans="2:3">
      <c r="B3408" s="30">
        <v>43118</v>
      </c>
      <c r="C3408">
        <v>211.47499999999999</v>
      </c>
    </row>
    <row r="3409" spans="2:3">
      <c r="B3409" s="30">
        <v>43119</v>
      </c>
      <c r="C3409">
        <v>211.99340000000001</v>
      </c>
    </row>
    <row r="3410" spans="2:3">
      <c r="B3410" s="30">
        <v>43122</v>
      </c>
      <c r="C3410">
        <v>213.16290000000001</v>
      </c>
    </row>
    <row r="3411" spans="2:3">
      <c r="B3411" s="30">
        <v>43123</v>
      </c>
      <c r="C3411">
        <v>213.64920000000001</v>
      </c>
    </row>
    <row r="3412" spans="2:3">
      <c r="B3412" s="30">
        <v>43124</v>
      </c>
      <c r="C3412">
        <v>213.43680000000001</v>
      </c>
    </row>
    <row r="3413" spans="2:3">
      <c r="B3413" s="30">
        <v>43125</v>
      </c>
      <c r="C3413">
        <v>213.6318</v>
      </c>
    </row>
    <row r="3414" spans="2:3">
      <c r="B3414" s="30">
        <v>43126</v>
      </c>
      <c r="C3414">
        <v>215.1388</v>
      </c>
    </row>
    <row r="3415" spans="2:3">
      <c r="B3415" s="30">
        <v>43129</v>
      </c>
      <c r="C3415">
        <v>214.0669</v>
      </c>
    </row>
    <row r="3416" spans="2:3">
      <c r="B3416" s="30">
        <v>43130</v>
      </c>
      <c r="C3416">
        <v>212.47579999999999</v>
      </c>
    </row>
    <row r="3417" spans="2:3">
      <c r="B3417" s="30">
        <v>43131</v>
      </c>
      <c r="C3417">
        <v>212.5951</v>
      </c>
    </row>
    <row r="3418" spans="2:3">
      <c r="B3418" s="30">
        <v>43132</v>
      </c>
      <c r="C3418">
        <v>212.16970000000001</v>
      </c>
    </row>
    <row r="3419" spans="2:3">
      <c r="B3419" s="30">
        <v>43133</v>
      </c>
      <c r="C3419">
        <v>209.1404</v>
      </c>
    </row>
    <row r="3420" spans="2:3">
      <c r="B3420" s="30">
        <v>43136</v>
      </c>
      <c r="C3420">
        <v>204.49369999999999</v>
      </c>
    </row>
    <row r="3421" spans="2:3">
      <c r="B3421" s="30">
        <v>43137</v>
      </c>
      <c r="C3421">
        <v>206.51679999999999</v>
      </c>
    </row>
    <row r="3422" spans="2:3">
      <c r="B3422" s="30">
        <v>43138</v>
      </c>
      <c r="C3422">
        <v>205.596</v>
      </c>
    </row>
    <row r="3423" spans="2:3">
      <c r="B3423" s="30">
        <v>43139</v>
      </c>
      <c r="C3423">
        <v>201.68520000000001</v>
      </c>
    </row>
    <row r="3424" spans="2:3">
      <c r="B3424" s="30">
        <v>43140</v>
      </c>
      <c r="C3424">
        <v>203.12469999999999</v>
      </c>
    </row>
    <row r="3425" spans="2:3">
      <c r="B3425" s="30">
        <v>43143</v>
      </c>
      <c r="C3425">
        <v>204.3023</v>
      </c>
    </row>
    <row r="3426" spans="2:3">
      <c r="B3426" s="30">
        <v>43144</v>
      </c>
      <c r="C3426">
        <v>204.5522</v>
      </c>
    </row>
    <row r="3427" spans="2:3">
      <c r="B3427" s="30">
        <v>43145</v>
      </c>
      <c r="C3427">
        <v>205.02010000000001</v>
      </c>
    </row>
    <row r="3428" spans="2:3">
      <c r="B3428" s="30">
        <v>43146</v>
      </c>
      <c r="C3428">
        <v>206.13200000000001</v>
      </c>
    </row>
    <row r="3429" spans="2:3">
      <c r="B3429" s="30">
        <v>43147</v>
      </c>
      <c r="C3429">
        <v>206.39179999999999</v>
      </c>
    </row>
    <row r="3430" spans="2:3">
      <c r="B3430" s="30">
        <v>43151</v>
      </c>
      <c r="C3430">
        <v>205.72569999999999</v>
      </c>
    </row>
    <row r="3431" spans="2:3">
      <c r="B3431" s="30">
        <v>43152</v>
      </c>
      <c r="C3431">
        <v>204.96619999999999</v>
      </c>
    </row>
    <row r="3432" spans="2:3">
      <c r="B3432" s="30">
        <v>43153</v>
      </c>
      <c r="C3432">
        <v>205.1601</v>
      </c>
    </row>
    <row r="3433" spans="2:3">
      <c r="B3433" s="30">
        <v>43154</v>
      </c>
      <c r="C3433">
        <v>206.2449</v>
      </c>
    </row>
    <row r="3434" spans="2:3">
      <c r="B3434" s="30">
        <v>43157</v>
      </c>
      <c r="C3434">
        <v>206.80930000000001</v>
      </c>
    </row>
    <row r="3435" spans="2:3">
      <c r="B3435" s="30">
        <v>43158</v>
      </c>
      <c r="C3435">
        <v>205.92939999999999</v>
      </c>
    </row>
    <row r="3436" spans="2:3">
      <c r="B3436" s="30">
        <v>43159</v>
      </c>
      <c r="C3436">
        <v>206.01320000000001</v>
      </c>
    </row>
    <row r="3437" spans="2:3">
      <c r="B3437" s="30">
        <v>43160</v>
      </c>
      <c r="C3437">
        <v>206.3528</v>
      </c>
    </row>
    <row r="3438" spans="2:3">
      <c r="B3438" s="30">
        <v>43161</v>
      </c>
      <c r="C3438">
        <v>206.0488</v>
      </c>
    </row>
    <row r="3439" spans="2:3">
      <c r="B3439" s="30">
        <v>43164</v>
      </c>
      <c r="C3439">
        <v>206.078</v>
      </c>
    </row>
    <row r="3440" spans="2:3">
      <c r="B3440" s="30">
        <v>43165</v>
      </c>
      <c r="C3440">
        <v>206.1174</v>
      </c>
    </row>
    <row r="3441" spans="2:3">
      <c r="B3441" s="30">
        <v>43166</v>
      </c>
      <c r="C3441">
        <v>205.99279999999999</v>
      </c>
    </row>
    <row r="3442" spans="2:3">
      <c r="B3442" s="30">
        <v>43167</v>
      </c>
      <c r="C3442">
        <v>206.3595</v>
      </c>
    </row>
    <row r="3443" spans="2:3">
      <c r="B3443" s="30">
        <v>43168</v>
      </c>
      <c r="C3443">
        <v>206.82740000000001</v>
      </c>
    </row>
    <row r="3444" spans="2:3">
      <c r="B3444" s="30">
        <v>43171</v>
      </c>
      <c r="C3444">
        <v>207.08699999999999</v>
      </c>
    </row>
    <row r="3445" spans="2:3">
      <c r="B3445" s="30">
        <v>43172</v>
      </c>
      <c r="C3445">
        <v>207.01089999999999</v>
      </c>
    </row>
    <row r="3446" spans="2:3">
      <c r="B3446" s="30">
        <v>43173</v>
      </c>
      <c r="C3446">
        <v>207.0882</v>
      </c>
    </row>
    <row r="3447" spans="2:3">
      <c r="B3447" s="30">
        <v>43174</v>
      </c>
      <c r="C3447">
        <v>207.01929999999999</v>
      </c>
    </row>
    <row r="3448" spans="2:3">
      <c r="B3448" s="30">
        <v>43175</v>
      </c>
      <c r="C3448">
        <v>206.9298</v>
      </c>
    </row>
    <row r="3449" spans="2:3">
      <c r="B3449" s="30">
        <v>43178</v>
      </c>
      <c r="C3449">
        <v>206.4093</v>
      </c>
    </row>
    <row r="3450" spans="2:3">
      <c r="B3450" s="30">
        <v>43179</v>
      </c>
      <c r="C3450">
        <v>206.07599999999999</v>
      </c>
    </row>
    <row r="3451" spans="2:3">
      <c r="B3451" s="30">
        <v>43180</v>
      </c>
      <c r="C3451">
        <v>205.93190000000001</v>
      </c>
    </row>
    <row r="3452" spans="2:3">
      <c r="B3452" s="30">
        <v>43181</v>
      </c>
      <c r="C3452">
        <v>205.48320000000001</v>
      </c>
    </row>
    <row r="3453" spans="2:3">
      <c r="B3453" s="30">
        <v>43182</v>
      </c>
      <c r="C3453">
        <v>204.6251</v>
      </c>
    </row>
    <row r="3454" spans="2:3">
      <c r="B3454" s="30">
        <v>43185</v>
      </c>
      <c r="C3454">
        <v>205.67930000000001</v>
      </c>
    </row>
    <row r="3455" spans="2:3">
      <c r="B3455" s="30">
        <v>43186</v>
      </c>
      <c r="C3455">
        <v>205.471</v>
      </c>
    </row>
    <row r="3456" spans="2:3">
      <c r="B3456" s="30">
        <v>43187</v>
      </c>
      <c r="C3456">
        <v>205.4289</v>
      </c>
    </row>
    <row r="3457" spans="2:3">
      <c r="B3457" s="30">
        <v>43188</v>
      </c>
      <c r="C3457">
        <v>206.3449</v>
      </c>
    </row>
    <row r="3458" spans="2:3">
      <c r="B3458" s="30">
        <v>43192</v>
      </c>
      <c r="C3458">
        <v>205.56870000000001</v>
      </c>
    </row>
    <row r="3459" spans="2:3">
      <c r="B3459" s="30">
        <v>43193</v>
      </c>
      <c r="C3459">
        <v>205.5454</v>
      </c>
    </row>
    <row r="3460" spans="2:3">
      <c r="B3460" s="30">
        <v>43194</v>
      </c>
      <c r="C3460">
        <v>206.0162</v>
      </c>
    </row>
    <row r="3461" spans="2:3">
      <c r="B3461" s="30">
        <v>43195</v>
      </c>
      <c r="C3461">
        <v>205.9222</v>
      </c>
    </row>
    <row r="3462" spans="2:3">
      <c r="B3462" s="30">
        <v>43196</v>
      </c>
      <c r="C3462">
        <v>205.4263</v>
      </c>
    </row>
    <row r="3463" spans="2:3">
      <c r="B3463" s="30">
        <v>43199</v>
      </c>
      <c r="C3463">
        <v>205.5376</v>
      </c>
    </row>
    <row r="3464" spans="2:3">
      <c r="B3464" s="30">
        <v>43200</v>
      </c>
      <c r="C3464">
        <v>206.2132</v>
      </c>
    </row>
    <row r="3465" spans="2:3">
      <c r="B3465" s="30">
        <v>43201</v>
      </c>
      <c r="C3465">
        <v>206.02029999999999</v>
      </c>
    </row>
    <row r="3466" spans="2:3">
      <c r="B3466" s="30">
        <v>43202</v>
      </c>
      <c r="C3466">
        <v>206.05590000000001</v>
      </c>
    </row>
    <row r="3467" spans="2:3">
      <c r="B3467" s="30">
        <v>43203</v>
      </c>
      <c r="C3467">
        <v>205.94380000000001</v>
      </c>
    </row>
    <row r="3468" spans="2:3">
      <c r="B3468" s="30">
        <v>43206</v>
      </c>
      <c r="C3468">
        <v>206.4255</v>
      </c>
    </row>
    <row r="3469" spans="2:3">
      <c r="B3469" s="30">
        <v>43207</v>
      </c>
      <c r="C3469">
        <v>207.05930000000001</v>
      </c>
    </row>
    <row r="3470" spans="2:3">
      <c r="B3470" s="30">
        <v>43208</v>
      </c>
      <c r="C3470">
        <v>206.5821</v>
      </c>
    </row>
    <row r="3471" spans="2:3">
      <c r="B3471" s="30">
        <v>43209</v>
      </c>
      <c r="C3471">
        <v>205.84780000000001</v>
      </c>
    </row>
    <row r="3472" spans="2:3">
      <c r="B3472" s="30">
        <v>43210</v>
      </c>
      <c r="C3472">
        <v>205.11240000000001</v>
      </c>
    </row>
    <row r="3473" spans="2:3">
      <c r="B3473" s="30">
        <v>43213</v>
      </c>
      <c r="C3473">
        <v>204.9171</v>
      </c>
    </row>
    <row r="3474" spans="2:3">
      <c r="B3474" s="30">
        <v>43214</v>
      </c>
      <c r="C3474">
        <v>204.21530000000001</v>
      </c>
    </row>
    <row r="3475" spans="2:3">
      <c r="B3475" s="30">
        <v>43215</v>
      </c>
      <c r="C3475">
        <v>204.04130000000001</v>
      </c>
    </row>
    <row r="3476" spans="2:3">
      <c r="B3476" s="30">
        <v>43216</v>
      </c>
      <c r="C3476">
        <v>204.9194</v>
      </c>
    </row>
    <row r="3477" spans="2:3">
      <c r="B3477" s="30">
        <v>43217</v>
      </c>
      <c r="C3477">
        <v>205.28319999999999</v>
      </c>
    </row>
    <row r="3478" spans="2:3">
      <c r="B3478" s="30">
        <v>43220</v>
      </c>
      <c r="C3478">
        <v>204.98859999999999</v>
      </c>
    </row>
    <row r="3479" spans="2:3">
      <c r="B3479" s="30">
        <v>43221</v>
      </c>
      <c r="C3479">
        <v>204.7775</v>
      </c>
    </row>
    <row r="3480" spans="2:3">
      <c r="B3480" s="30">
        <v>43222</v>
      </c>
      <c r="C3480">
        <v>204.46420000000001</v>
      </c>
    </row>
    <row r="3481" spans="2:3">
      <c r="B3481" s="30">
        <v>43223</v>
      </c>
      <c r="C3481">
        <v>204.4682</v>
      </c>
    </row>
    <row r="3482" spans="2:3">
      <c r="B3482" s="30">
        <v>43224</v>
      </c>
      <c r="C3482">
        <v>205.2278</v>
      </c>
    </row>
    <row r="3483" spans="2:3">
      <c r="B3483" s="30">
        <v>43227</v>
      </c>
      <c r="C3483">
        <v>205.36099999999999</v>
      </c>
    </row>
    <row r="3484" spans="2:3">
      <c r="B3484" s="30">
        <v>43228</v>
      </c>
      <c r="C3484">
        <v>205.18029999999999</v>
      </c>
    </row>
    <row r="3485" spans="2:3">
      <c r="B3485" s="30">
        <v>43229</v>
      </c>
      <c r="C3485">
        <v>205.49299999999999</v>
      </c>
    </row>
    <row r="3486" spans="2:3">
      <c r="B3486" s="30">
        <v>43230</v>
      </c>
      <c r="C3486">
        <v>206.28210000000001</v>
      </c>
    </row>
    <row r="3487" spans="2:3">
      <c r="B3487" s="30">
        <v>43231</v>
      </c>
      <c r="C3487">
        <v>206.4195</v>
      </c>
    </row>
    <row r="3488" spans="2:3">
      <c r="B3488" s="30">
        <v>43234</v>
      </c>
      <c r="C3488">
        <v>206.30539999999999</v>
      </c>
    </row>
    <row r="3489" spans="2:3">
      <c r="B3489" s="30">
        <v>43235</v>
      </c>
      <c r="C3489">
        <v>205.11519999999999</v>
      </c>
    </row>
    <row r="3490" spans="2:3">
      <c r="B3490" s="30">
        <v>43236</v>
      </c>
      <c r="C3490">
        <v>205.29920000000001</v>
      </c>
    </row>
    <row r="3491" spans="2:3">
      <c r="B3491" s="30">
        <v>43237</v>
      </c>
      <c r="C3491">
        <v>205.15280000000001</v>
      </c>
    </row>
    <row r="3492" spans="2:3">
      <c r="B3492" s="30">
        <v>43238</v>
      </c>
      <c r="C3492">
        <v>205.32910000000001</v>
      </c>
    </row>
    <row r="3493" spans="2:3">
      <c r="B3493" s="30">
        <v>43241</v>
      </c>
      <c r="C3493">
        <v>205.71010000000001</v>
      </c>
    </row>
    <row r="3494" spans="2:3">
      <c r="B3494" s="30">
        <v>43242</v>
      </c>
      <c r="C3494">
        <v>205.58940000000001</v>
      </c>
    </row>
    <row r="3495" spans="2:3">
      <c r="B3495" s="30">
        <v>43243</v>
      </c>
      <c r="C3495">
        <v>206.23650000000001</v>
      </c>
    </row>
    <row r="3496" spans="2:3">
      <c r="B3496" s="30">
        <v>43244</v>
      </c>
      <c r="C3496">
        <v>206.31200000000001</v>
      </c>
    </row>
    <row r="3497" spans="2:3">
      <c r="B3497" s="30">
        <v>43245</v>
      </c>
      <c r="C3497">
        <v>206.5034</v>
      </c>
    </row>
    <row r="3498" spans="2:3">
      <c r="B3498" s="30">
        <v>43249</v>
      </c>
      <c r="C3498">
        <v>206.9117</v>
      </c>
    </row>
    <row r="3499" spans="2:3">
      <c r="B3499" s="30">
        <v>43250</v>
      </c>
      <c r="C3499">
        <v>207.3706</v>
      </c>
    </row>
    <row r="3500" spans="2:3">
      <c r="B3500" s="30">
        <v>43251</v>
      </c>
      <c r="C3500">
        <v>206.9194</v>
      </c>
    </row>
    <row r="3501" spans="2:3">
      <c r="B3501" s="30">
        <v>43252</v>
      </c>
      <c r="C3501">
        <v>207.26669999999999</v>
      </c>
    </row>
    <row r="3502" spans="2:3">
      <c r="B3502" s="30">
        <v>43255</v>
      </c>
      <c r="C3502">
        <v>207.3931</v>
      </c>
    </row>
    <row r="3503" spans="2:3">
      <c r="B3503" s="30">
        <v>43256</v>
      </c>
      <c r="C3503">
        <v>207.58840000000001</v>
      </c>
    </row>
    <row r="3504" spans="2:3">
      <c r="B3504" s="30">
        <v>43257</v>
      </c>
      <c r="C3504">
        <v>207.93190000000001</v>
      </c>
    </row>
    <row r="3505" spans="2:3">
      <c r="B3505" s="30">
        <v>43258</v>
      </c>
      <c r="C3505">
        <v>208.05889999999999</v>
      </c>
    </row>
    <row r="3506" spans="2:3">
      <c r="B3506" s="30">
        <v>43259</v>
      </c>
      <c r="C3506">
        <v>208.35810000000001</v>
      </c>
    </row>
    <row r="3507" spans="2:3">
      <c r="B3507" s="30">
        <v>43262</v>
      </c>
      <c r="C3507">
        <v>208.42179999999999</v>
      </c>
    </row>
    <row r="3508" spans="2:3">
      <c r="B3508" s="30">
        <v>43263</v>
      </c>
      <c r="C3508">
        <v>208.62790000000001</v>
      </c>
    </row>
    <row r="3509" spans="2:3">
      <c r="B3509" s="30">
        <v>43264</v>
      </c>
      <c r="C3509">
        <v>208.0916</v>
      </c>
    </row>
    <row r="3510" spans="2:3">
      <c r="B3510" s="30">
        <v>43265</v>
      </c>
      <c r="C3510">
        <v>208.67019999999999</v>
      </c>
    </row>
    <row r="3511" spans="2:3">
      <c r="B3511" s="30">
        <v>43266</v>
      </c>
      <c r="C3511">
        <v>208.68049999999999</v>
      </c>
    </row>
    <row r="3512" spans="2:3">
      <c r="B3512" s="30">
        <v>43269</v>
      </c>
      <c r="C3512">
        <v>208.4058</v>
      </c>
    </row>
    <row r="3513" spans="2:3">
      <c r="B3513" s="30">
        <v>43270</v>
      </c>
      <c r="C3513">
        <v>208.0746</v>
      </c>
    </row>
    <row r="3514" spans="2:3">
      <c r="B3514" s="30">
        <v>43271</v>
      </c>
      <c r="C3514">
        <v>208.1044</v>
      </c>
    </row>
    <row r="3515" spans="2:3">
      <c r="B3515" s="30">
        <v>43272</v>
      </c>
      <c r="C3515">
        <v>207.46629999999999</v>
      </c>
    </row>
    <row r="3516" spans="2:3">
      <c r="B3516" s="30">
        <v>43273</v>
      </c>
      <c r="C3516">
        <v>207.626</v>
      </c>
    </row>
    <row r="3517" spans="2:3">
      <c r="B3517" s="30">
        <v>43276</v>
      </c>
      <c r="C3517">
        <v>206.16079999999999</v>
      </c>
    </row>
    <row r="3518" spans="2:3">
      <c r="B3518" s="30">
        <v>43277</v>
      </c>
      <c r="C3518">
        <v>206.4204</v>
      </c>
    </row>
    <row r="3519" spans="2:3">
      <c r="B3519" s="30">
        <v>43278</v>
      </c>
      <c r="C3519">
        <v>205.66919999999999</v>
      </c>
    </row>
    <row r="3520" spans="2:3">
      <c r="B3520" s="30">
        <v>43279</v>
      </c>
      <c r="C3520">
        <v>206.27029999999999</v>
      </c>
    </row>
    <row r="3521" spans="2:3">
      <c r="B3521" s="30">
        <v>43280</v>
      </c>
      <c r="C3521">
        <v>206.40440000000001</v>
      </c>
    </row>
    <row r="3522" spans="2:3">
      <c r="B3522" s="30">
        <v>43283</v>
      </c>
      <c r="C3522">
        <v>206.5712</v>
      </c>
    </row>
    <row r="3523" spans="2:3">
      <c r="B3523" s="30">
        <v>43284</v>
      </c>
      <c r="C3523">
        <v>206.1951</v>
      </c>
    </row>
    <row r="3524" spans="2:3">
      <c r="B3524" s="30">
        <v>43286</v>
      </c>
      <c r="C3524">
        <v>207.26990000000001</v>
      </c>
    </row>
    <row r="3525" spans="2:3">
      <c r="B3525" s="30">
        <v>43287</v>
      </c>
      <c r="C3525">
        <v>208.494</v>
      </c>
    </row>
    <row r="3526" spans="2:3">
      <c r="B3526" s="30">
        <v>43290</v>
      </c>
      <c r="C3526">
        <v>209.50919999999999</v>
      </c>
    </row>
    <row r="3527" spans="2:3">
      <c r="B3527" s="30">
        <v>43291</v>
      </c>
      <c r="C3527">
        <v>209.8485</v>
      </c>
    </row>
    <row r="3528" spans="2:3">
      <c r="B3528" s="30">
        <v>43292</v>
      </c>
      <c r="C3528">
        <v>209.0462</v>
      </c>
    </row>
    <row r="3529" spans="2:3">
      <c r="B3529" s="30">
        <v>43293</v>
      </c>
      <c r="C3529">
        <v>210.16210000000001</v>
      </c>
    </row>
    <row r="3530" spans="2:3">
      <c r="B3530" s="30">
        <v>43294</v>
      </c>
      <c r="C3530">
        <v>210.4385</v>
      </c>
    </row>
    <row r="3531" spans="2:3">
      <c r="B3531" s="30">
        <v>43297</v>
      </c>
      <c r="C3531">
        <v>210.15989999999999</v>
      </c>
    </row>
    <row r="3532" spans="2:3">
      <c r="B3532" s="30">
        <v>43298</v>
      </c>
      <c r="C3532">
        <v>210.61019999999999</v>
      </c>
    </row>
    <row r="3533" spans="2:3">
      <c r="B3533" s="30">
        <v>43299</v>
      </c>
      <c r="C3533">
        <v>210.7638</v>
      </c>
    </row>
    <row r="3534" spans="2:3">
      <c r="B3534" s="30">
        <v>43300</v>
      </c>
      <c r="C3534">
        <v>210.41820000000001</v>
      </c>
    </row>
    <row r="3535" spans="2:3">
      <c r="B3535" s="30">
        <v>43301</v>
      </c>
      <c r="C3535">
        <v>210.06620000000001</v>
      </c>
    </row>
    <row r="3536" spans="2:3">
      <c r="B3536" s="30">
        <v>43304</v>
      </c>
      <c r="C3536">
        <v>209.89779999999999</v>
      </c>
    </row>
    <row r="3537" spans="2:3">
      <c r="B3537" s="30">
        <v>43305</v>
      </c>
      <c r="C3537">
        <v>210.5558</v>
      </c>
    </row>
    <row r="3538" spans="2:3">
      <c r="B3538" s="30">
        <v>43306</v>
      </c>
      <c r="C3538">
        <v>211.77539999999999</v>
      </c>
    </row>
    <row r="3539" spans="2:3">
      <c r="B3539" s="30">
        <v>43307</v>
      </c>
      <c r="C3539">
        <v>211.27760000000001</v>
      </c>
    </row>
    <row r="3540" spans="2:3">
      <c r="B3540" s="30">
        <v>43308</v>
      </c>
      <c r="C3540">
        <v>210.5164</v>
      </c>
    </row>
    <row r="3541" spans="2:3">
      <c r="B3541" s="30">
        <v>43311</v>
      </c>
      <c r="C3541">
        <v>209.7253</v>
      </c>
    </row>
    <row r="3542" spans="2:3">
      <c r="B3542" s="30">
        <v>43312</v>
      </c>
      <c r="C3542">
        <v>210.43539999999999</v>
      </c>
    </row>
    <row r="3543" spans="2:3">
      <c r="B3543" s="30">
        <v>43313</v>
      </c>
      <c r="C3543">
        <v>210.05879999999999</v>
      </c>
    </row>
    <row r="3544" spans="2:3">
      <c r="B3544" s="30">
        <v>43314</v>
      </c>
      <c r="C3544">
        <v>210.7276</v>
      </c>
    </row>
    <row r="3545" spans="2:3">
      <c r="B3545" s="30">
        <v>43315</v>
      </c>
      <c r="C3545">
        <v>211.43389999999999</v>
      </c>
    </row>
    <row r="3546" spans="2:3">
      <c r="B3546" s="30">
        <v>43318</v>
      </c>
      <c r="C3546">
        <v>211.95230000000001</v>
      </c>
    </row>
    <row r="3547" spans="2:3">
      <c r="B3547" s="30">
        <v>43319</v>
      </c>
      <c r="C3547">
        <v>212.1747</v>
      </c>
    </row>
    <row r="3548" spans="2:3">
      <c r="B3548" s="30">
        <v>43320</v>
      </c>
      <c r="C3548">
        <v>212.14789999999999</v>
      </c>
    </row>
    <row r="3549" spans="2:3">
      <c r="B3549" s="30">
        <v>43321</v>
      </c>
      <c r="C3549">
        <v>212.11760000000001</v>
      </c>
    </row>
    <row r="3550" spans="2:3">
      <c r="B3550" s="30">
        <v>43322</v>
      </c>
      <c r="C3550">
        <v>211.59479999999999</v>
      </c>
    </row>
    <row r="3551" spans="2:3">
      <c r="B3551" s="30">
        <v>43325</v>
      </c>
      <c r="C3551">
        <v>210.94069999999999</v>
      </c>
    </row>
    <row r="3552" spans="2:3">
      <c r="B3552" s="30">
        <v>43326</v>
      </c>
      <c r="C3552">
        <v>211.673</v>
      </c>
    </row>
    <row r="3553" spans="2:3">
      <c r="B3553" s="30">
        <v>43327</v>
      </c>
      <c r="C3553">
        <v>210.8887</v>
      </c>
    </row>
    <row r="3554" spans="2:3">
      <c r="B3554" s="30">
        <v>43328</v>
      </c>
      <c r="C3554">
        <v>211.8544</v>
      </c>
    </row>
    <row r="3555" spans="2:3">
      <c r="B3555" s="30">
        <v>43329</v>
      </c>
      <c r="C3555">
        <v>212.2457</v>
      </c>
    </row>
    <row r="3556" spans="2:3">
      <c r="B3556" s="30">
        <v>43332</v>
      </c>
      <c r="C3556">
        <v>212.78630000000001</v>
      </c>
    </row>
    <row r="3557" spans="2:3">
      <c r="B3557" s="30">
        <v>43333</v>
      </c>
      <c r="C3557">
        <v>213.011</v>
      </c>
    </row>
    <row r="3558" spans="2:3">
      <c r="B3558" s="30">
        <v>43334</v>
      </c>
      <c r="C3558">
        <v>213.06039999999999</v>
      </c>
    </row>
    <row r="3559" spans="2:3">
      <c r="B3559" s="30">
        <v>43335</v>
      </c>
      <c r="C3559">
        <v>212.79239999999999</v>
      </c>
    </row>
    <row r="3560" spans="2:3">
      <c r="B3560" s="30">
        <v>43336</v>
      </c>
      <c r="C3560">
        <v>213.5992</v>
      </c>
    </row>
    <row r="3561" spans="2:3">
      <c r="B3561" s="30">
        <v>43339</v>
      </c>
      <c r="C3561">
        <v>214.54849999999999</v>
      </c>
    </row>
    <row r="3562" spans="2:3">
      <c r="B3562" s="30">
        <v>43340</v>
      </c>
      <c r="C3562">
        <v>214.4272</v>
      </c>
    </row>
    <row r="3563" spans="2:3">
      <c r="B3563" s="30">
        <v>43341</v>
      </c>
      <c r="C3563">
        <v>215.15860000000001</v>
      </c>
    </row>
    <row r="3564" spans="2:3">
      <c r="B3564" s="30">
        <v>43342</v>
      </c>
      <c r="C3564">
        <v>214.6326</v>
      </c>
    </row>
    <row r="3565" spans="2:3">
      <c r="B3565" s="30">
        <v>43343</v>
      </c>
      <c r="C3565">
        <v>214.7054</v>
      </c>
    </row>
    <row r="3566" spans="2:3">
      <c r="B3566" s="30">
        <v>43347</v>
      </c>
      <c r="C3566">
        <v>214.2406</v>
      </c>
    </row>
    <row r="3567" spans="2:3">
      <c r="B3567" s="30">
        <v>43348</v>
      </c>
      <c r="C3567">
        <v>213.86080000000001</v>
      </c>
    </row>
    <row r="3568" spans="2:3">
      <c r="B3568" s="30">
        <v>43349</v>
      </c>
      <c r="C3568">
        <v>213.49590000000001</v>
      </c>
    </row>
    <row r="3569" spans="2:3">
      <c r="B3569" s="30">
        <v>43350</v>
      </c>
      <c r="C3569">
        <v>212.9307</v>
      </c>
    </row>
    <row r="3570" spans="2:3">
      <c r="B3570" s="30">
        <v>43353</v>
      </c>
      <c r="C3570">
        <v>213.2704</v>
      </c>
    </row>
    <row r="3571" spans="2:3">
      <c r="B3571" s="30">
        <v>43354</v>
      </c>
      <c r="C3571">
        <v>213.59049999999999</v>
      </c>
    </row>
    <row r="3572" spans="2:3">
      <c r="B3572" s="30">
        <v>43355</v>
      </c>
      <c r="C3572">
        <v>213.66810000000001</v>
      </c>
    </row>
    <row r="3573" spans="2:3">
      <c r="B3573" s="30">
        <v>43356</v>
      </c>
      <c r="C3573">
        <v>214.53639999999999</v>
      </c>
    </row>
    <row r="3574" spans="2:3">
      <c r="B3574" s="30">
        <v>43357</v>
      </c>
      <c r="C3574">
        <v>214.46850000000001</v>
      </c>
    </row>
    <row r="3575" spans="2:3">
      <c r="B3575" s="30">
        <v>43360</v>
      </c>
      <c r="C3575">
        <v>213.62190000000001</v>
      </c>
    </row>
    <row r="3576" spans="2:3">
      <c r="B3576" s="30">
        <v>43361</v>
      </c>
      <c r="C3576">
        <v>214.3458</v>
      </c>
    </row>
    <row r="3577" spans="2:3">
      <c r="B3577" s="30">
        <v>43362</v>
      </c>
      <c r="C3577">
        <v>214.3329</v>
      </c>
    </row>
    <row r="3578" spans="2:3">
      <c r="B3578" s="30">
        <v>43363</v>
      </c>
      <c r="C3578">
        <v>215.5548</v>
      </c>
    </row>
    <row r="3579" spans="2:3">
      <c r="B3579" s="30">
        <v>43364</v>
      </c>
      <c r="C3579">
        <v>215.4579</v>
      </c>
    </row>
    <row r="3580" spans="2:3">
      <c r="B3580" s="30">
        <v>43367</v>
      </c>
      <c r="C3580">
        <v>214.8897</v>
      </c>
    </row>
    <row r="3581" spans="2:3">
      <c r="B3581" s="30">
        <v>43368</v>
      </c>
      <c r="C3581">
        <v>214.5934</v>
      </c>
    </row>
    <row r="3582" spans="2:3">
      <c r="B3582" s="30">
        <v>43369</v>
      </c>
      <c r="C3582">
        <v>214.18870000000001</v>
      </c>
    </row>
    <row r="3583" spans="2:3">
      <c r="B3583" s="30">
        <v>43370</v>
      </c>
      <c r="C3583">
        <v>214.72200000000001</v>
      </c>
    </row>
    <row r="3584" spans="2:3">
      <c r="B3584" s="30">
        <v>43371</v>
      </c>
      <c r="C3584">
        <v>214.70480000000001</v>
      </c>
    </row>
    <row r="3585" spans="2:3">
      <c r="B3585" s="30">
        <v>43374</v>
      </c>
      <c r="C3585">
        <v>215.2303</v>
      </c>
    </row>
    <row r="3586" spans="2:3">
      <c r="B3586" s="30">
        <v>43375</v>
      </c>
      <c r="C3586">
        <v>215.22479999999999</v>
      </c>
    </row>
    <row r="3587" spans="2:3">
      <c r="B3587" s="30">
        <v>43376</v>
      </c>
      <c r="C3587">
        <v>215.0265</v>
      </c>
    </row>
    <row r="3588" spans="2:3">
      <c r="B3588" s="30">
        <v>43377</v>
      </c>
      <c r="C3588">
        <v>213.52799999999999</v>
      </c>
    </row>
    <row r="3589" spans="2:3">
      <c r="B3589" s="30">
        <v>43378</v>
      </c>
      <c r="C3589">
        <v>212.495</v>
      </c>
    </row>
    <row r="3590" spans="2:3">
      <c r="B3590" s="30">
        <v>43382</v>
      </c>
      <c r="C3590">
        <v>212.36500000000001</v>
      </c>
    </row>
    <row r="3591" spans="2:3">
      <c r="B3591" s="30">
        <v>43383</v>
      </c>
      <c r="C3591">
        <v>207.15960000000001</v>
      </c>
    </row>
    <row r="3592" spans="2:3">
      <c r="B3592" s="30">
        <v>43384</v>
      </c>
      <c r="C3592">
        <v>204.08269999999999</v>
      </c>
    </row>
    <row r="3593" spans="2:3">
      <c r="B3593" s="30">
        <v>43385</v>
      </c>
      <c r="C3593">
        <v>206.09100000000001</v>
      </c>
    </row>
    <row r="3594" spans="2:3">
      <c r="B3594" s="30">
        <v>43388</v>
      </c>
      <c r="C3594">
        <v>205.1705</v>
      </c>
    </row>
    <row r="3595" spans="2:3">
      <c r="B3595" s="30">
        <v>43389</v>
      </c>
      <c r="C3595">
        <v>208.1403</v>
      </c>
    </row>
    <row r="3596" spans="2:3">
      <c r="B3596" s="30">
        <v>43390</v>
      </c>
      <c r="C3596">
        <v>207.99709999999999</v>
      </c>
    </row>
    <row r="3597" spans="2:3">
      <c r="B3597" s="30">
        <v>43391</v>
      </c>
      <c r="C3597">
        <v>206.07900000000001</v>
      </c>
    </row>
    <row r="3598" spans="2:3">
      <c r="B3598" s="30">
        <v>43392</v>
      </c>
      <c r="C3598">
        <v>205.91679999999999</v>
      </c>
    </row>
    <row r="3599" spans="2:3">
      <c r="B3599" s="30">
        <v>43395</v>
      </c>
      <c r="C3599">
        <v>205.452</v>
      </c>
    </row>
    <row r="3600" spans="2:3">
      <c r="B3600" s="30">
        <v>43396</v>
      </c>
      <c r="C3600">
        <v>205.02600000000001</v>
      </c>
    </row>
    <row r="3601" spans="2:3">
      <c r="B3601" s="30">
        <v>43397</v>
      </c>
      <c r="C3601">
        <v>202.13900000000001</v>
      </c>
    </row>
    <row r="3602" spans="2:3">
      <c r="B3602" s="30">
        <v>43398</v>
      </c>
      <c r="C3602">
        <v>203.80799999999999</v>
      </c>
    </row>
    <row r="3603" spans="2:3">
      <c r="B3603" s="30">
        <v>43399</v>
      </c>
      <c r="C3603">
        <v>202.596</v>
      </c>
    </row>
    <row r="3604" spans="2:3">
      <c r="B3604" s="30">
        <v>43402</v>
      </c>
      <c r="C3604">
        <v>202.02979999999999</v>
      </c>
    </row>
    <row r="3605" spans="2:3">
      <c r="B3605" s="30">
        <v>43403</v>
      </c>
      <c r="C3605">
        <v>203.0692</v>
      </c>
    </row>
    <row r="3606" spans="2:3">
      <c r="B3606" s="30">
        <v>43404</v>
      </c>
      <c r="C3606">
        <v>203.423</v>
      </c>
    </row>
    <row r="3607" spans="2:3">
      <c r="B3607" s="30">
        <v>43405</v>
      </c>
      <c r="C3607">
        <v>204.31489999999999</v>
      </c>
    </row>
    <row r="3608" spans="2:3">
      <c r="B3608" s="30">
        <v>43406</v>
      </c>
      <c r="C3608">
        <v>203.3262</v>
      </c>
    </row>
    <row r="3609" spans="2:3">
      <c r="B3609" s="30">
        <v>43409</v>
      </c>
      <c r="C3609">
        <v>203.8492</v>
      </c>
    </row>
    <row r="3610" spans="2:3">
      <c r="B3610" s="30">
        <v>43410</v>
      </c>
      <c r="C3610">
        <v>204.06270000000001</v>
      </c>
    </row>
    <row r="3611" spans="2:3">
      <c r="B3611" s="30">
        <v>43411</v>
      </c>
      <c r="C3611">
        <v>204.91200000000001</v>
      </c>
    </row>
    <row r="3612" spans="2:3">
      <c r="B3612" s="30">
        <v>43412</v>
      </c>
      <c r="C3612">
        <v>204.57380000000001</v>
      </c>
    </row>
    <row r="3613" spans="2:3">
      <c r="B3613" s="30">
        <v>43413</v>
      </c>
      <c r="C3613">
        <v>204.4727</v>
      </c>
    </row>
    <row r="3614" spans="2:3">
      <c r="B3614" s="30">
        <v>43417</v>
      </c>
      <c r="C3614">
        <v>203.83459999999999</v>
      </c>
    </row>
    <row r="3615" spans="2:3">
      <c r="B3615" s="30">
        <v>43418</v>
      </c>
      <c r="C3615">
        <v>203.62950000000001</v>
      </c>
    </row>
    <row r="3616" spans="2:3">
      <c r="B3616" s="30">
        <v>43419</v>
      </c>
      <c r="C3616">
        <v>204.0386</v>
      </c>
    </row>
    <row r="3617" spans="2:3">
      <c r="B3617" s="30">
        <v>43420</v>
      </c>
      <c r="C3617">
        <v>204.53700000000001</v>
      </c>
    </row>
    <row r="3618" spans="2:3">
      <c r="B3618" s="30">
        <v>43423</v>
      </c>
      <c r="C3618">
        <v>203.7878</v>
      </c>
    </row>
    <row r="3619" spans="2:3">
      <c r="B3619" s="30">
        <v>43424</v>
      </c>
      <c r="C3619">
        <v>202.89689999999999</v>
      </c>
    </row>
    <row r="3620" spans="2:3">
      <c r="B3620" s="30">
        <v>43425</v>
      </c>
      <c r="C3620">
        <v>202.96360000000001</v>
      </c>
    </row>
    <row r="3621" spans="2:3">
      <c r="B3621" s="30">
        <v>43427</v>
      </c>
      <c r="C3621">
        <v>202.60419999999999</v>
      </c>
    </row>
    <row r="3622" spans="2:3">
      <c r="B3622" s="30">
        <v>43430</v>
      </c>
      <c r="C3622">
        <v>203.24420000000001</v>
      </c>
    </row>
    <row r="3623" spans="2:3">
      <c r="B3623" s="30">
        <v>43431</v>
      </c>
      <c r="C3623">
        <v>203.50749999999999</v>
      </c>
    </row>
    <row r="3624" spans="2:3">
      <c r="B3624" s="30">
        <v>43432</v>
      </c>
      <c r="C3624">
        <v>204.91919999999999</v>
      </c>
    </row>
    <row r="3625" spans="2:3">
      <c r="B3625" s="30">
        <v>43433</v>
      </c>
      <c r="C3625">
        <v>204.80930000000001</v>
      </c>
    </row>
    <row r="3626" spans="2:3">
      <c r="B3626" s="30">
        <v>43434</v>
      </c>
      <c r="C3626">
        <v>205.2388</v>
      </c>
    </row>
    <row r="3627" spans="2:3">
      <c r="B3627" s="30">
        <v>43437</v>
      </c>
      <c r="C3627">
        <v>205.96299999999999</v>
      </c>
    </row>
    <row r="3628" spans="2:3">
      <c r="B3628" s="30">
        <v>43438</v>
      </c>
      <c r="C3628">
        <v>205.01480000000001</v>
      </c>
    </row>
    <row r="3629" spans="2:3">
      <c r="B3629" s="30">
        <v>43440</v>
      </c>
      <c r="C3629">
        <v>205.4212</v>
      </c>
    </row>
    <row r="3630" spans="2:3">
      <c r="B3630" s="30">
        <v>43441</v>
      </c>
      <c r="C3630">
        <v>204.53700000000001</v>
      </c>
    </row>
    <row r="3631" spans="2:3">
      <c r="B3631" s="30">
        <v>43444</v>
      </c>
      <c r="C3631">
        <v>204.70699999999999</v>
      </c>
    </row>
    <row r="3632" spans="2:3">
      <c r="B3632" s="30">
        <v>43445</v>
      </c>
      <c r="C3632">
        <v>204.56829999999999</v>
      </c>
    </row>
    <row r="3633" spans="2:3">
      <c r="B3633" s="30">
        <v>43446</v>
      </c>
      <c r="C3633">
        <v>204.73490000000001</v>
      </c>
    </row>
    <row r="3634" spans="2:3">
      <c r="B3634" s="30">
        <v>43447</v>
      </c>
      <c r="C3634">
        <v>204.72389999999999</v>
      </c>
    </row>
    <row r="3635" spans="2:3">
      <c r="B3635" s="30">
        <v>43448</v>
      </c>
      <c r="C3635">
        <v>203.89150000000001</v>
      </c>
    </row>
    <row r="3636" spans="2:3">
      <c r="B3636" s="30">
        <v>43451</v>
      </c>
      <c r="C3636">
        <v>203.0659</v>
      </c>
    </row>
    <row r="3637" spans="2:3">
      <c r="B3637" s="30">
        <v>43452</v>
      </c>
      <c r="C3637">
        <v>203.37870000000001</v>
      </c>
    </row>
    <row r="3638" spans="2:3">
      <c r="B3638" s="30">
        <v>43453</v>
      </c>
      <c r="C3638">
        <v>202.8443</v>
      </c>
    </row>
    <row r="3639" spans="2:3">
      <c r="B3639" s="30">
        <v>43454</v>
      </c>
      <c r="C3639">
        <v>201.7664</v>
      </c>
    </row>
    <row r="3640" spans="2:3">
      <c r="B3640" s="30">
        <v>43455</v>
      </c>
      <c r="C3640">
        <v>200.661</v>
      </c>
    </row>
    <row r="3641" spans="2:3">
      <c r="B3641" s="30">
        <v>43458</v>
      </c>
      <c r="C3641">
        <v>199.75370000000001</v>
      </c>
    </row>
    <row r="3642" spans="2:3">
      <c r="B3642" s="30">
        <v>43460</v>
      </c>
      <c r="C3642">
        <v>201.8289</v>
      </c>
    </row>
    <row r="3643" spans="2:3">
      <c r="B3643" s="30">
        <v>43461</v>
      </c>
      <c r="C3643">
        <v>202.54859999999999</v>
      </c>
    </row>
    <row r="3644" spans="2:3">
      <c r="B3644" s="30">
        <v>43462</v>
      </c>
      <c r="C3644">
        <v>202.6645</v>
      </c>
    </row>
    <row r="3645" spans="2:3">
      <c r="B3645" s="30">
        <v>43465</v>
      </c>
      <c r="C3645">
        <v>203.33090000000001</v>
      </c>
    </row>
    <row r="3646" spans="2:3">
      <c r="B3646" s="30">
        <v>43467</v>
      </c>
      <c r="C3646">
        <v>203.57239999999999</v>
      </c>
    </row>
    <row r="3647" spans="2:3">
      <c r="B3647" s="30">
        <v>43468</v>
      </c>
      <c r="C3647">
        <v>203.78030000000001</v>
      </c>
    </row>
    <row r="3648" spans="2:3">
      <c r="B3648" s="30">
        <v>43469</v>
      </c>
      <c r="C3648">
        <v>204.298</v>
      </c>
    </row>
    <row r="3649" spans="2:3">
      <c r="B3649" s="30">
        <v>43472</v>
      </c>
      <c r="C3649">
        <v>204.4101</v>
      </c>
    </row>
    <row r="3650" spans="2:3">
      <c r="B3650" s="30">
        <v>43473</v>
      </c>
      <c r="C3650">
        <v>204.5514</v>
      </c>
    </row>
    <row r="3651" spans="2:3">
      <c r="B3651" s="30">
        <v>43474</v>
      </c>
      <c r="C3651">
        <v>204.58199999999999</v>
      </c>
    </row>
    <row r="3652" spans="2:3">
      <c r="B3652" s="30">
        <v>43475</v>
      </c>
      <c r="C3652">
        <v>204.7748</v>
      </c>
    </row>
    <row r="3653" spans="2:3">
      <c r="B3653" s="30">
        <v>43476</v>
      </c>
      <c r="C3653">
        <v>204.9676</v>
      </c>
    </row>
    <row r="3654" spans="2:3">
      <c r="B3654" s="30">
        <v>43479</v>
      </c>
      <c r="C3654">
        <v>204.57480000000001</v>
      </c>
    </row>
    <row r="3655" spans="2:3">
      <c r="B3655" s="30">
        <v>43480</v>
      </c>
      <c r="C3655">
        <v>205.1242</v>
      </c>
    </row>
    <row r="3656" spans="2:3">
      <c r="B3656" s="30">
        <v>43481</v>
      </c>
      <c r="C3656">
        <v>205.0513</v>
      </c>
    </row>
    <row r="3657" spans="2:3">
      <c r="B3657" s="30">
        <v>43482</v>
      </c>
      <c r="C3657">
        <v>205.31360000000001</v>
      </c>
    </row>
    <row r="3658" spans="2:3">
      <c r="B3658" s="30">
        <v>43483</v>
      </c>
      <c r="C3658">
        <v>205.49639999999999</v>
      </c>
    </row>
    <row r="3659" spans="2:3">
      <c r="B3659" s="30">
        <v>43487</v>
      </c>
      <c r="C3659">
        <v>205.251</v>
      </c>
    </row>
    <row r="3660" spans="2:3">
      <c r="B3660" s="30">
        <v>43488</v>
      </c>
      <c r="C3660">
        <v>205.2081</v>
      </c>
    </row>
    <row r="3661" spans="2:3">
      <c r="B3661" s="30">
        <v>43489</v>
      </c>
      <c r="C3661">
        <v>205.70249999999999</v>
      </c>
    </row>
    <row r="3662" spans="2:3">
      <c r="B3662" s="30">
        <v>43490</v>
      </c>
      <c r="C3662">
        <v>205.75129999999999</v>
      </c>
    </row>
    <row r="3663" spans="2:3">
      <c r="B3663" s="30">
        <v>43493</v>
      </c>
      <c r="C3663">
        <v>205.42679999999999</v>
      </c>
    </row>
    <row r="3664" spans="2:3">
      <c r="B3664" s="30">
        <v>43494</v>
      </c>
      <c r="C3664">
        <v>205.67320000000001</v>
      </c>
    </row>
    <row r="3665" spans="2:3">
      <c r="B3665" s="30">
        <v>43495</v>
      </c>
      <c r="C3665">
        <v>206.73759999999999</v>
      </c>
    </row>
    <row r="3666" spans="2:3">
      <c r="B3666" s="30">
        <v>43496</v>
      </c>
      <c r="C3666">
        <v>207.83080000000001</v>
      </c>
    </row>
    <row r="3667" spans="2:3">
      <c r="B3667" s="30">
        <v>43497</v>
      </c>
      <c r="C3667">
        <v>207.29949999999999</v>
      </c>
    </row>
    <row r="3668" spans="2:3">
      <c r="B3668" s="30">
        <v>43500</v>
      </c>
      <c r="C3668">
        <v>207.39830000000001</v>
      </c>
    </row>
    <row r="3669" spans="2:3">
      <c r="B3669" s="30">
        <v>43501</v>
      </c>
      <c r="C3669">
        <v>207.9049</v>
      </c>
    </row>
    <row r="3670" spans="2:3">
      <c r="B3670" s="30">
        <v>43502</v>
      </c>
      <c r="C3670">
        <v>207.768</v>
      </c>
    </row>
    <row r="3671" spans="2:3">
      <c r="B3671" s="30">
        <v>43503</v>
      </c>
      <c r="C3671">
        <v>207.56989999999999</v>
      </c>
    </row>
    <row r="3672" spans="2:3">
      <c r="B3672" s="30">
        <v>43504</v>
      </c>
      <c r="C3672">
        <v>207.79409999999999</v>
      </c>
    </row>
    <row r="3673" spans="2:3">
      <c r="B3673" s="30">
        <v>43507</v>
      </c>
      <c r="C3673">
        <v>207.59440000000001</v>
      </c>
    </row>
    <row r="3674" spans="2:3">
      <c r="B3674" s="30">
        <v>43508</v>
      </c>
      <c r="C3674">
        <v>208.1901</v>
      </c>
    </row>
    <row r="3675" spans="2:3">
      <c r="B3675" s="30">
        <v>43509</v>
      </c>
      <c r="C3675">
        <v>208.15639999999999</v>
      </c>
    </row>
    <row r="3676" spans="2:3">
      <c r="B3676" s="30">
        <v>43510</v>
      </c>
      <c r="C3676">
        <v>208.38890000000001</v>
      </c>
    </row>
    <row r="3677" spans="2:3">
      <c r="B3677" s="30">
        <v>43511</v>
      </c>
      <c r="C3677">
        <v>208.97989999999999</v>
      </c>
    </row>
    <row r="3678" spans="2:3">
      <c r="B3678" s="30">
        <v>43515</v>
      </c>
      <c r="C3678">
        <v>209.3579</v>
      </c>
    </row>
    <row r="3679" spans="2:3">
      <c r="B3679" s="30">
        <v>43516</v>
      </c>
      <c r="C3679">
        <v>209.3537</v>
      </c>
    </row>
    <row r="3680" spans="2:3">
      <c r="B3680" s="30">
        <v>43517</v>
      </c>
      <c r="C3680">
        <v>208.7466</v>
      </c>
    </row>
    <row r="3681" spans="2:3">
      <c r="B3681" s="30">
        <v>43518</v>
      </c>
      <c r="C3681">
        <v>209.3605</v>
      </c>
    </row>
    <row r="3682" spans="2:3">
      <c r="B3682" s="30">
        <v>43521</v>
      </c>
      <c r="C3682">
        <v>209.46019999999999</v>
      </c>
    </row>
    <row r="3683" spans="2:3">
      <c r="B3683" s="30">
        <v>43522</v>
      </c>
      <c r="C3683">
        <v>209.65180000000001</v>
      </c>
    </row>
    <row r="3684" spans="2:3">
      <c r="B3684" s="30">
        <v>43523</v>
      </c>
      <c r="C3684">
        <v>209.1919</v>
      </c>
    </row>
    <row r="3685" spans="2:3">
      <c r="B3685" s="30">
        <v>43524</v>
      </c>
      <c r="C3685">
        <v>208.8313</v>
      </c>
    </row>
    <row r="3686" spans="2:3">
      <c r="B3686" s="30">
        <v>43525</v>
      </c>
      <c r="C3686">
        <v>209.03380000000001</v>
      </c>
    </row>
    <row r="3687" spans="2:3">
      <c r="B3687" s="30">
        <v>43528</v>
      </c>
      <c r="C3687">
        <v>208.94589999999999</v>
      </c>
    </row>
    <row r="3688" spans="2:3">
      <c r="B3688" s="30">
        <v>43529</v>
      </c>
      <c r="C3688">
        <v>208.88220000000001</v>
      </c>
    </row>
    <row r="3689" spans="2:3">
      <c r="B3689" s="30">
        <v>43530</v>
      </c>
      <c r="C3689">
        <v>208.54589999999999</v>
      </c>
    </row>
    <row r="3690" spans="2:3">
      <c r="B3690" s="30">
        <v>43531</v>
      </c>
      <c r="C3690">
        <v>208.11600000000001</v>
      </c>
    </row>
    <row r="3691" spans="2:3">
      <c r="B3691" s="30">
        <v>43532</v>
      </c>
      <c r="C3691">
        <v>208.0299</v>
      </c>
    </row>
    <row r="3692" spans="2:3">
      <c r="B3692" s="30">
        <v>43535</v>
      </c>
      <c r="C3692">
        <v>209.2405</v>
      </c>
    </row>
    <row r="3693" spans="2:3">
      <c r="B3693" s="30">
        <v>43536</v>
      </c>
      <c r="C3693">
        <v>210.0301</v>
      </c>
    </row>
    <row r="3694" spans="2:3">
      <c r="B3694" s="30">
        <v>43537</v>
      </c>
      <c r="C3694">
        <v>210.65889999999999</v>
      </c>
    </row>
    <row r="3695" spans="2:3">
      <c r="B3695" s="30">
        <v>43538</v>
      </c>
      <c r="C3695">
        <v>210.41730000000001</v>
      </c>
    </row>
    <row r="3696" spans="2:3">
      <c r="B3696" s="30">
        <v>43539</v>
      </c>
      <c r="C3696">
        <v>211.1087</v>
      </c>
    </row>
    <row r="3697" spans="2:3">
      <c r="B3697" s="30">
        <v>43542</v>
      </c>
      <c r="C3697">
        <v>211.47239999999999</v>
      </c>
    </row>
    <row r="3698" spans="2:3">
      <c r="B3698" s="30">
        <v>43543</v>
      </c>
      <c r="C3698">
        <v>211.4194</v>
      </c>
    </row>
    <row r="3699" spans="2:3">
      <c r="B3699" s="30">
        <v>43544</v>
      </c>
      <c r="C3699">
        <v>211.64570000000001</v>
      </c>
    </row>
    <row r="3700" spans="2:3">
      <c r="B3700" s="30">
        <v>43545</v>
      </c>
      <c r="C3700">
        <v>212.66220000000001</v>
      </c>
    </row>
    <row r="3701" spans="2:3">
      <c r="B3701" s="30">
        <v>43546</v>
      </c>
      <c r="C3701">
        <v>211.1293</v>
      </c>
    </row>
    <row r="3702" spans="2:3">
      <c r="B3702" s="30">
        <v>43549</v>
      </c>
      <c r="C3702">
        <v>211.20500000000001</v>
      </c>
    </row>
    <row r="3703" spans="2:3">
      <c r="B3703" s="30">
        <v>43550</v>
      </c>
      <c r="C3703">
        <v>211.94149999999999</v>
      </c>
    </row>
    <row r="3704" spans="2:3">
      <c r="B3704" s="30">
        <v>43551</v>
      </c>
      <c r="C3704">
        <v>211.7757</v>
      </c>
    </row>
    <row r="3705" spans="2:3">
      <c r="B3705" s="30">
        <v>43552</v>
      </c>
      <c r="C3705">
        <v>212.09809999999999</v>
      </c>
    </row>
    <row r="3706" spans="2:3">
      <c r="B3706" s="30">
        <v>43553</v>
      </c>
      <c r="C3706">
        <v>212.63229999999999</v>
      </c>
    </row>
    <row r="3707" spans="2:3">
      <c r="B3707" s="30">
        <v>43556</v>
      </c>
      <c r="C3707">
        <v>213.28</v>
      </c>
    </row>
    <row r="3708" spans="2:3">
      <c r="B3708" s="30">
        <v>43557</v>
      </c>
      <c r="C3708">
        <v>213.3776</v>
      </c>
    </row>
    <row r="3709" spans="2:3">
      <c r="B3709" s="30">
        <v>43558</v>
      </c>
      <c r="C3709">
        <v>213.3082</v>
      </c>
    </row>
    <row r="3710" spans="2:3">
      <c r="B3710" s="30">
        <v>43559</v>
      </c>
      <c r="C3710">
        <v>213.5822</v>
      </c>
    </row>
    <row r="3711" spans="2:3">
      <c r="B3711" s="30">
        <v>43560</v>
      </c>
      <c r="C3711">
        <v>214.10749999999999</v>
      </c>
    </row>
    <row r="3712" spans="2:3">
      <c r="B3712" s="30">
        <v>43563</v>
      </c>
      <c r="C3712">
        <v>214.11369999999999</v>
      </c>
    </row>
    <row r="3713" spans="2:3">
      <c r="B3713" s="30">
        <v>43564</v>
      </c>
      <c r="C3713">
        <v>213.6575</v>
      </c>
    </row>
    <row r="3714" spans="2:3">
      <c r="B3714" s="30">
        <v>43565</v>
      </c>
      <c r="C3714">
        <v>214.15299999999999</v>
      </c>
    </row>
    <row r="3715" spans="2:3">
      <c r="B3715" s="30">
        <v>43566</v>
      </c>
      <c r="C3715">
        <v>213.9932</v>
      </c>
    </row>
    <row r="3716" spans="2:3">
      <c r="B3716" s="30">
        <v>43567</v>
      </c>
      <c r="C3716">
        <v>214.52860000000001</v>
      </c>
    </row>
    <row r="3717" spans="2:3">
      <c r="B3717" s="30">
        <v>43570</v>
      </c>
      <c r="C3717">
        <v>214.4939</v>
      </c>
    </row>
    <row r="3718" spans="2:3">
      <c r="B3718" s="30">
        <v>43571</v>
      </c>
      <c r="C3718">
        <v>214.3194</v>
      </c>
    </row>
    <row r="3719" spans="2:3">
      <c r="B3719" s="30">
        <v>43572</v>
      </c>
      <c r="C3719">
        <v>214.06739999999999</v>
      </c>
    </row>
    <row r="3720" spans="2:3">
      <c r="B3720" s="30">
        <v>43573</v>
      </c>
      <c r="C3720">
        <v>214.41759999999999</v>
      </c>
    </row>
    <row r="3721" spans="2:3">
      <c r="B3721" s="30">
        <v>43577</v>
      </c>
      <c r="C3721">
        <v>214.33750000000001</v>
      </c>
    </row>
    <row r="3722" spans="2:3">
      <c r="B3722" s="30">
        <v>43578</v>
      </c>
      <c r="C3722">
        <v>215.5164</v>
      </c>
    </row>
    <row r="3723" spans="2:3">
      <c r="B3723" s="30">
        <v>43579</v>
      </c>
      <c r="C3723">
        <v>215.4648</v>
      </c>
    </row>
    <row r="3724" spans="2:3">
      <c r="B3724" s="30">
        <v>43580</v>
      </c>
      <c r="C3724">
        <v>215.29900000000001</v>
      </c>
    </row>
    <row r="3725" spans="2:3">
      <c r="B3725" s="30">
        <v>43581</v>
      </c>
      <c r="C3725">
        <v>216.04580000000001</v>
      </c>
    </row>
    <row r="3726" spans="2:3">
      <c r="B3726" s="30">
        <v>43584</v>
      </c>
      <c r="C3726">
        <v>216.05850000000001</v>
      </c>
    </row>
    <row r="3727" spans="2:3">
      <c r="B3727" s="30">
        <v>43585</v>
      </c>
      <c r="C3727">
        <v>216.32339999999999</v>
      </c>
    </row>
    <row r="3728" spans="2:3">
      <c r="B3728" s="30">
        <v>43586</v>
      </c>
      <c r="C3728">
        <v>215.35149999999999</v>
      </c>
    </row>
    <row r="3729" spans="2:3">
      <c r="B3729" s="30">
        <v>43587</v>
      </c>
      <c r="C3729">
        <v>214.74119999999999</v>
      </c>
    </row>
    <row r="3730" spans="2:3">
      <c r="B3730" s="30">
        <v>43588</v>
      </c>
      <c r="C3730">
        <v>216.0712</v>
      </c>
    </row>
    <row r="3731" spans="2:3">
      <c r="B3731" s="30">
        <v>43591</v>
      </c>
      <c r="C3731">
        <v>215.67330000000001</v>
      </c>
    </row>
    <row r="3732" spans="2:3">
      <c r="B3732" s="30">
        <v>43592</v>
      </c>
      <c r="C3732">
        <v>213.86080000000001</v>
      </c>
    </row>
    <row r="3733" spans="2:3">
      <c r="B3733" s="30">
        <v>43593</v>
      </c>
      <c r="C3733">
        <v>213.52600000000001</v>
      </c>
    </row>
    <row r="3734" spans="2:3">
      <c r="B3734" s="30">
        <v>43594</v>
      </c>
      <c r="C3734">
        <v>213.25729999999999</v>
      </c>
    </row>
    <row r="3735" spans="2:3">
      <c r="B3735" s="30">
        <v>43595</v>
      </c>
      <c r="C3735">
        <v>213.86490000000001</v>
      </c>
    </row>
    <row r="3736" spans="2:3">
      <c r="B3736" s="30">
        <v>43598</v>
      </c>
      <c r="C3736">
        <v>211.2345</v>
      </c>
    </row>
    <row r="3737" spans="2:3">
      <c r="B3737" s="30">
        <v>43599</v>
      </c>
      <c r="C3737">
        <v>212.08690000000001</v>
      </c>
    </row>
    <row r="3738" spans="2:3">
      <c r="B3738" s="30">
        <v>43600</v>
      </c>
      <c r="C3738">
        <v>212.96559999999999</v>
      </c>
    </row>
    <row r="3739" spans="2:3">
      <c r="B3739" s="30">
        <v>43601</v>
      </c>
      <c r="C3739">
        <v>213.71549999999999</v>
      </c>
    </row>
    <row r="3740" spans="2:3">
      <c r="B3740" s="30">
        <v>43602</v>
      </c>
      <c r="C3740">
        <v>213.22309999999999</v>
      </c>
    </row>
    <row r="3741" spans="2:3">
      <c r="B3741" s="30">
        <v>43605</v>
      </c>
      <c r="C3741">
        <v>212.37710000000001</v>
      </c>
    </row>
    <row r="3742" spans="2:3">
      <c r="B3742" s="30">
        <v>43606</v>
      </c>
      <c r="C3742">
        <v>213.06399999999999</v>
      </c>
    </row>
    <row r="3743" spans="2:3">
      <c r="B3743" s="30">
        <v>43607</v>
      </c>
      <c r="C3743">
        <v>213.0574</v>
      </c>
    </row>
    <row r="3744" spans="2:3">
      <c r="B3744" s="30">
        <v>43608</v>
      </c>
      <c r="C3744">
        <v>212.71789999999999</v>
      </c>
    </row>
    <row r="3745" spans="2:3">
      <c r="B3745" s="30">
        <v>43609</v>
      </c>
      <c r="C3745">
        <v>212.5866</v>
      </c>
    </row>
    <row r="3746" spans="2:3">
      <c r="B3746" s="30">
        <v>43613</v>
      </c>
      <c r="C3746">
        <v>212.31729999999999</v>
      </c>
    </row>
    <row r="3747" spans="2:3">
      <c r="B3747" s="30">
        <v>43614</v>
      </c>
      <c r="C3747">
        <v>211.96619999999999</v>
      </c>
    </row>
    <row r="3748" spans="2:3">
      <c r="B3748" s="30">
        <v>43615</v>
      </c>
      <c r="C3748">
        <v>212.26779999999999</v>
      </c>
    </row>
    <row r="3749" spans="2:3">
      <c r="B3749" s="30">
        <v>43616</v>
      </c>
      <c r="C3749">
        <v>211.82400000000001</v>
      </c>
    </row>
    <row r="3750" spans="2:3">
      <c r="B3750" s="30">
        <v>43619</v>
      </c>
      <c r="C3750">
        <v>212.09180000000001</v>
      </c>
    </row>
    <row r="3751" spans="2:3">
      <c r="B3751" s="30">
        <v>43620</v>
      </c>
      <c r="C3751">
        <v>213.625</v>
      </c>
    </row>
    <row r="3752" spans="2:3">
      <c r="B3752" s="30">
        <v>43621</v>
      </c>
      <c r="C3752">
        <v>214.23570000000001</v>
      </c>
    </row>
    <row r="3753" spans="2:3">
      <c r="B3753" s="30">
        <v>43622</v>
      </c>
      <c r="C3753">
        <v>214.73670000000001</v>
      </c>
    </row>
    <row r="3754" spans="2:3">
      <c r="B3754" s="30">
        <v>43623</v>
      </c>
      <c r="C3754">
        <v>215.84610000000001</v>
      </c>
    </row>
    <row r="3755" spans="2:3">
      <c r="B3755" s="30">
        <v>43626</v>
      </c>
      <c r="C3755">
        <v>215.9161</v>
      </c>
    </row>
    <row r="3756" spans="2:3">
      <c r="B3756" s="30">
        <v>43627</v>
      </c>
      <c r="C3756">
        <v>215.8587</v>
      </c>
    </row>
    <row r="3757" spans="2:3">
      <c r="B3757" s="30">
        <v>43628</v>
      </c>
      <c r="C3757">
        <v>215.76240000000001</v>
      </c>
    </row>
    <row r="3758" spans="2:3">
      <c r="B3758" s="30">
        <v>43629</v>
      </c>
      <c r="C3758">
        <v>216.45769999999999</v>
      </c>
    </row>
    <row r="3759" spans="2:3">
      <c r="B3759" s="30">
        <v>43630</v>
      </c>
      <c r="C3759">
        <v>216.2449</v>
      </c>
    </row>
    <row r="3760" spans="2:3">
      <c r="B3760" s="30">
        <v>43633</v>
      </c>
      <c r="C3760">
        <v>216.38579999999999</v>
      </c>
    </row>
    <row r="3761" spans="2:3">
      <c r="B3761" s="30">
        <v>43634</v>
      </c>
      <c r="C3761">
        <v>217.53049999999999</v>
      </c>
    </row>
    <row r="3762" spans="2:3">
      <c r="B3762" s="30">
        <v>43635</v>
      </c>
      <c r="C3762">
        <v>218.19</v>
      </c>
    </row>
    <row r="3763" spans="2:3">
      <c r="B3763" s="30">
        <v>43636</v>
      </c>
      <c r="C3763">
        <v>219.23060000000001</v>
      </c>
    </row>
    <row r="3764" spans="2:3">
      <c r="B3764" s="30">
        <v>43637</v>
      </c>
      <c r="C3764">
        <v>218.59559999999999</v>
      </c>
    </row>
    <row r="3765" spans="2:3">
      <c r="B3765" s="30">
        <v>43640</v>
      </c>
      <c r="C3765">
        <v>218.77610000000001</v>
      </c>
    </row>
    <row r="3766" spans="2:3">
      <c r="B3766" s="30">
        <v>43641</v>
      </c>
      <c r="C3766">
        <v>218.06440000000001</v>
      </c>
    </row>
    <row r="3767" spans="2:3">
      <c r="B3767" s="30">
        <v>43642</v>
      </c>
      <c r="C3767">
        <v>217.58279999999999</v>
      </c>
    </row>
    <row r="3768" spans="2:3">
      <c r="B3768" s="30">
        <v>43643</v>
      </c>
      <c r="C3768">
        <v>218.24270000000001</v>
      </c>
    </row>
    <row r="3769" spans="2:3">
      <c r="B3769" s="30">
        <v>43644</v>
      </c>
      <c r="C3769">
        <v>218.703</v>
      </c>
    </row>
    <row r="3770" spans="2:3">
      <c r="B3770" s="30">
        <v>43647</v>
      </c>
      <c r="C3770">
        <v>219.12620000000001</v>
      </c>
    </row>
    <row r="3771" spans="2:3">
      <c r="B3771" s="30">
        <v>43648</v>
      </c>
      <c r="C3771">
        <v>219.8066</v>
      </c>
    </row>
    <row r="3772" spans="2:3">
      <c r="B3772" s="30">
        <v>43649</v>
      </c>
      <c r="C3772">
        <v>220.66059999999999</v>
      </c>
    </row>
    <row r="3773" spans="2:3">
      <c r="B3773" s="30">
        <v>43651</v>
      </c>
      <c r="C3773">
        <v>219.72749999999999</v>
      </c>
    </row>
    <row r="3774" spans="2:3">
      <c r="B3774" s="30">
        <v>43654</v>
      </c>
      <c r="C3774">
        <v>219.2972</v>
      </c>
    </row>
    <row r="3775" spans="2:3">
      <c r="B3775" s="30">
        <v>43655</v>
      </c>
      <c r="C3775">
        <v>219.32740000000001</v>
      </c>
    </row>
    <row r="3776" spans="2:3">
      <c r="B3776" s="30">
        <v>43656</v>
      </c>
      <c r="C3776">
        <v>219.76150000000001</v>
      </c>
    </row>
    <row r="3777" spans="2:3">
      <c r="B3777" s="30">
        <v>43657</v>
      </c>
      <c r="C3777">
        <v>219.44499999999999</v>
      </c>
    </row>
    <row r="3778" spans="2:3">
      <c r="B3778" s="30">
        <v>43658</v>
      </c>
      <c r="C3778">
        <v>219.959</v>
      </c>
    </row>
    <row r="3779" spans="2:3">
      <c r="B3779" s="30">
        <v>43661</v>
      </c>
      <c r="C3779">
        <v>220.0762</v>
      </c>
    </row>
    <row r="3780" spans="2:3">
      <c r="B3780" s="30">
        <v>43662</v>
      </c>
      <c r="C3780">
        <v>219.49950000000001</v>
      </c>
    </row>
    <row r="3781" spans="2:3">
      <c r="B3781" s="30">
        <v>43663</v>
      </c>
      <c r="C3781">
        <v>219.3135</v>
      </c>
    </row>
    <row r="3782" spans="2:3">
      <c r="B3782" s="30">
        <v>43664</v>
      </c>
      <c r="C3782">
        <v>219.82380000000001</v>
      </c>
    </row>
    <row r="3783" spans="2:3">
      <c r="B3783" s="30">
        <v>43665</v>
      </c>
      <c r="C3783">
        <v>219.11019999999999</v>
      </c>
    </row>
    <row r="3784" spans="2:3">
      <c r="B3784" s="30">
        <v>43668</v>
      </c>
      <c r="C3784">
        <v>219.4717</v>
      </c>
    </row>
    <row r="3785" spans="2:3">
      <c r="B3785" s="30">
        <v>43669</v>
      </c>
      <c r="C3785">
        <v>220.01419999999999</v>
      </c>
    </row>
    <row r="3786" spans="2:3">
      <c r="B3786" s="30">
        <v>43670</v>
      </c>
      <c r="C3786">
        <v>220.6814</v>
      </c>
    </row>
    <row r="3787" spans="2:3">
      <c r="B3787" s="30">
        <v>43671</v>
      </c>
      <c r="C3787">
        <v>219.85480000000001</v>
      </c>
    </row>
    <row r="3788" spans="2:3">
      <c r="B3788" s="30">
        <v>43672</v>
      </c>
      <c r="C3788">
        <v>220.55080000000001</v>
      </c>
    </row>
    <row r="3789" spans="2:3">
      <c r="B3789" s="30">
        <v>43675</v>
      </c>
      <c r="C3789">
        <v>220.43219999999999</v>
      </c>
    </row>
    <row r="3790" spans="2:3">
      <c r="B3790" s="30">
        <v>43676</v>
      </c>
      <c r="C3790">
        <v>220.15039999999999</v>
      </c>
    </row>
    <row r="3791" spans="2:3">
      <c r="B3791" s="30">
        <v>43677</v>
      </c>
      <c r="C3791">
        <v>219.1892</v>
      </c>
    </row>
    <row r="3792" spans="2:3">
      <c r="B3792" s="30">
        <v>43678</v>
      </c>
      <c r="C3792">
        <v>219.12899999999999</v>
      </c>
    </row>
    <row r="3793" spans="2:3">
      <c r="B3793" s="30">
        <v>43679</v>
      </c>
      <c r="C3793">
        <v>218.51910000000001</v>
      </c>
    </row>
    <row r="3794" spans="2:3">
      <c r="B3794" s="30">
        <v>43682</v>
      </c>
      <c r="C3794">
        <v>215.84219999999999</v>
      </c>
    </row>
    <row r="3795" spans="2:3">
      <c r="B3795" s="30">
        <v>43683</v>
      </c>
      <c r="C3795">
        <v>217.41480000000001</v>
      </c>
    </row>
    <row r="3796" spans="2:3">
      <c r="B3796" s="30">
        <v>43684</v>
      </c>
      <c r="C3796">
        <v>217.86439999999999</v>
      </c>
    </row>
    <row r="3797" spans="2:3">
      <c r="B3797" s="30">
        <v>43685</v>
      </c>
      <c r="C3797">
        <v>219.51429999999999</v>
      </c>
    </row>
    <row r="3798" spans="2:3">
      <c r="B3798" s="30">
        <v>43686</v>
      </c>
      <c r="C3798">
        <v>218.7859</v>
      </c>
    </row>
    <row r="3799" spans="2:3">
      <c r="B3799" s="30">
        <v>43689</v>
      </c>
      <c r="C3799">
        <v>218.30699999999999</v>
      </c>
    </row>
    <row r="3800" spans="2:3">
      <c r="B3800" s="30">
        <v>43690</v>
      </c>
      <c r="C3800">
        <v>219.43770000000001</v>
      </c>
    </row>
    <row r="3801" spans="2:3">
      <c r="B3801" s="30">
        <v>43691</v>
      </c>
      <c r="C3801">
        <v>217.72120000000001</v>
      </c>
    </row>
    <row r="3802" spans="2:3">
      <c r="B3802" s="30">
        <v>43692</v>
      </c>
      <c r="C3802">
        <v>218.32669999999999</v>
      </c>
    </row>
    <row r="3803" spans="2:3">
      <c r="B3803" s="30">
        <v>43693</v>
      </c>
      <c r="C3803">
        <v>219.43979999999999</v>
      </c>
    </row>
    <row r="3804" spans="2:3">
      <c r="B3804" s="30">
        <v>43696</v>
      </c>
      <c r="C3804">
        <v>219.67910000000001</v>
      </c>
    </row>
    <row r="3805" spans="2:3">
      <c r="B3805" s="30">
        <v>43697</v>
      </c>
      <c r="C3805">
        <v>219.5093</v>
      </c>
    </row>
    <row r="3806" spans="2:3">
      <c r="B3806" s="30">
        <v>43698</v>
      </c>
      <c r="C3806">
        <v>219.8818</v>
      </c>
    </row>
    <row r="3807" spans="2:3">
      <c r="B3807" s="30">
        <v>43699</v>
      </c>
      <c r="C3807">
        <v>219.4529</v>
      </c>
    </row>
    <row r="3808" spans="2:3">
      <c r="B3808" s="30">
        <v>43700</v>
      </c>
      <c r="C3808">
        <v>218.547</v>
      </c>
    </row>
    <row r="3809" spans="2:3">
      <c r="B3809" s="30">
        <v>43703</v>
      </c>
      <c r="C3809">
        <v>219.06909999999999</v>
      </c>
    </row>
    <row r="3810" spans="2:3">
      <c r="B3810" s="30">
        <v>43704</v>
      </c>
      <c r="C3810">
        <v>219.4939</v>
      </c>
    </row>
    <row r="3811" spans="2:3">
      <c r="B3811" s="30">
        <v>43705</v>
      </c>
      <c r="C3811">
        <v>220.1557</v>
      </c>
    </row>
    <row r="3812" spans="2:3">
      <c r="B3812" s="30">
        <v>43706</v>
      </c>
      <c r="C3812">
        <v>220.4342</v>
      </c>
    </row>
    <row r="3813" spans="2:3">
      <c r="B3813" s="30">
        <v>43707</v>
      </c>
      <c r="C3813">
        <v>220.51750000000001</v>
      </c>
    </row>
    <row r="3814" spans="2:3">
      <c r="B3814" s="30">
        <v>43711</v>
      </c>
      <c r="C3814">
        <v>220.45400000000001</v>
      </c>
    </row>
    <row r="3815" spans="2:3">
      <c r="B3815" s="30">
        <v>43712</v>
      </c>
      <c r="C3815">
        <v>221.2552</v>
      </c>
    </row>
    <row r="3816" spans="2:3">
      <c r="B3816" s="30">
        <v>43713</v>
      </c>
      <c r="C3816">
        <v>221.21129999999999</v>
      </c>
    </row>
    <row r="3817" spans="2:3">
      <c r="B3817" s="30">
        <v>43714</v>
      </c>
      <c r="C3817">
        <v>221.59460000000001</v>
      </c>
    </row>
    <row r="3818" spans="2:3">
      <c r="B3818" s="30">
        <v>43717</v>
      </c>
      <c r="C3818">
        <v>220.91659999999999</v>
      </c>
    </row>
    <row r="3819" spans="2:3">
      <c r="B3819" s="30">
        <v>43718</v>
      </c>
      <c r="C3819">
        <v>220.10990000000001</v>
      </c>
    </row>
    <row r="3820" spans="2:3">
      <c r="B3820" s="30">
        <v>43719</v>
      </c>
      <c r="C3820">
        <v>220.4599</v>
      </c>
    </row>
    <row r="3821" spans="2:3">
      <c r="B3821" s="30">
        <v>43720</v>
      </c>
      <c r="C3821">
        <v>220.27520000000001</v>
      </c>
    </row>
    <row r="3822" spans="2:3">
      <c r="B3822" s="30">
        <v>43721</v>
      </c>
      <c r="C3822">
        <v>219.2663</v>
      </c>
    </row>
    <row r="3823" spans="2:3">
      <c r="B3823" s="30">
        <v>43724</v>
      </c>
      <c r="C3823">
        <v>219.53899999999999</v>
      </c>
    </row>
    <row r="3824" spans="2:3">
      <c r="B3824" s="30">
        <v>43725</v>
      </c>
      <c r="C3824">
        <v>219.87790000000001</v>
      </c>
    </row>
    <row r="3825" spans="2:3">
      <c r="B3825" s="30">
        <v>43726</v>
      </c>
      <c r="C3825">
        <v>220.08449999999999</v>
      </c>
    </row>
    <row r="3826" spans="2:3">
      <c r="B3826" s="30">
        <v>43727</v>
      </c>
      <c r="C3826">
        <v>220.31620000000001</v>
      </c>
    </row>
    <row r="3827" spans="2:3">
      <c r="B3827" s="30">
        <v>43728</v>
      </c>
      <c r="C3827">
        <v>220.006</v>
      </c>
    </row>
    <row r="3828" spans="2:3">
      <c r="B3828" s="30">
        <v>43731</v>
      </c>
      <c r="C3828">
        <v>220.37799999999999</v>
      </c>
    </row>
    <row r="3829" spans="2:3">
      <c r="B3829" s="30">
        <v>43732</v>
      </c>
      <c r="C3829">
        <v>220.27430000000001</v>
      </c>
    </row>
    <row r="3830" spans="2:3">
      <c r="B3830" s="30">
        <v>43733</v>
      </c>
      <c r="C3830">
        <v>219.99170000000001</v>
      </c>
    </row>
    <row r="3831" spans="2:3">
      <c r="B3831" s="30">
        <v>43734</v>
      </c>
      <c r="C3831">
        <v>220.19589999999999</v>
      </c>
    </row>
    <row r="3832" spans="2:3">
      <c r="B3832" s="30">
        <v>43735</v>
      </c>
      <c r="C3832">
        <v>219.8039</v>
      </c>
    </row>
    <row r="3833" spans="2:3">
      <c r="B3833" s="30">
        <v>43738</v>
      </c>
      <c r="C3833">
        <v>220.285</v>
      </c>
    </row>
    <row r="3834" spans="2:3">
      <c r="B3834" s="30">
        <v>43739</v>
      </c>
      <c r="C3834">
        <v>219.6558</v>
      </c>
    </row>
    <row r="3835" spans="2:3">
      <c r="B3835" s="30">
        <v>43740</v>
      </c>
      <c r="C3835">
        <v>218.5932</v>
      </c>
    </row>
    <row r="3836" spans="2:3">
      <c r="B3836" s="30">
        <v>43741</v>
      </c>
      <c r="C3836">
        <v>219.6892</v>
      </c>
    </row>
    <row r="3837" spans="2:3">
      <c r="B3837" s="30">
        <v>43742</v>
      </c>
      <c r="C3837">
        <v>221.04089999999999</v>
      </c>
    </row>
    <row r="3838" spans="2:3">
      <c r="B3838" s="30">
        <v>43745</v>
      </c>
      <c r="C3838">
        <v>220.369</v>
      </c>
    </row>
    <row r="3839" spans="2:3">
      <c r="B3839" s="30">
        <v>43746</v>
      </c>
      <c r="C3839">
        <v>219.3015</v>
      </c>
    </row>
    <row r="3840" spans="2:3">
      <c r="B3840" s="30">
        <v>43747</v>
      </c>
      <c r="C3840">
        <v>219.5752</v>
      </c>
    </row>
    <row r="3841" spans="2:3">
      <c r="B3841" s="30">
        <v>43748</v>
      </c>
      <c r="C3841">
        <v>219.5282</v>
      </c>
    </row>
    <row r="3842" spans="2:3">
      <c r="B3842" s="30">
        <v>43749</v>
      </c>
      <c r="C3842">
        <v>219.88130000000001</v>
      </c>
    </row>
    <row r="3843" spans="2:3">
      <c r="B3843" s="30">
        <v>43753</v>
      </c>
      <c r="C3843">
        <v>220.40029999999999</v>
      </c>
    </row>
    <row r="3844" spans="2:3">
      <c r="B3844" s="30">
        <v>43754</v>
      </c>
      <c r="C3844">
        <v>220.3887</v>
      </c>
    </row>
    <row r="3845" spans="2:3">
      <c r="B3845" s="30">
        <v>43755</v>
      </c>
      <c r="C3845">
        <v>220.57040000000001</v>
      </c>
    </row>
    <row r="3846" spans="2:3">
      <c r="B3846" s="30">
        <v>43756</v>
      </c>
      <c r="C3846">
        <v>220.35579999999999</v>
      </c>
    </row>
    <row r="3847" spans="2:3">
      <c r="B3847" s="30">
        <v>43759</v>
      </c>
      <c r="C3847">
        <v>220.70009999999999</v>
      </c>
    </row>
    <row r="3848" spans="2:3">
      <c r="B3848" s="30">
        <v>43760</v>
      </c>
      <c r="C3848">
        <v>220.58240000000001</v>
      </c>
    </row>
    <row r="3849" spans="2:3">
      <c r="B3849" s="30">
        <v>43761</v>
      </c>
      <c r="C3849">
        <v>220.79079999999999</v>
      </c>
    </row>
    <row r="3850" spans="2:3">
      <c r="B3850" s="30">
        <v>43762</v>
      </c>
      <c r="C3850">
        <v>220.898</v>
      </c>
    </row>
    <row r="3851" spans="2:3">
      <c r="B3851" s="30">
        <v>43763</v>
      </c>
      <c r="C3851">
        <v>221.03200000000001</v>
      </c>
    </row>
    <row r="3852" spans="2:3">
      <c r="B3852" s="30">
        <v>43766</v>
      </c>
      <c r="C3852">
        <v>221.215</v>
      </c>
    </row>
    <row r="3853" spans="2:3">
      <c r="B3853" s="30">
        <v>43767</v>
      </c>
      <c r="C3853">
        <v>221.13929999999999</v>
      </c>
    </row>
    <row r="3854" spans="2:3">
      <c r="B3854" s="30">
        <v>43768</v>
      </c>
      <c r="C3854">
        <v>221.6651</v>
      </c>
    </row>
    <row r="3855" spans="2:3">
      <c r="B3855" s="30">
        <v>43769</v>
      </c>
      <c r="C3855">
        <v>222.0505</v>
      </c>
    </row>
    <row r="3856" spans="2:3">
      <c r="B3856" s="30">
        <v>43770</v>
      </c>
      <c r="C3856">
        <v>222.85890000000001</v>
      </c>
    </row>
    <row r="3857" spans="2:3">
      <c r="B3857" s="30">
        <v>43773</v>
      </c>
      <c r="C3857">
        <v>223.02459999999999</v>
      </c>
    </row>
    <row r="3858" spans="2:3">
      <c r="B3858" s="30">
        <v>43774</v>
      </c>
      <c r="C3858">
        <v>222.44239999999999</v>
      </c>
    </row>
    <row r="3859" spans="2:3">
      <c r="B3859" s="30">
        <v>43775</v>
      </c>
      <c r="C3859">
        <v>222.7405</v>
      </c>
    </row>
    <row r="3860" spans="2:3">
      <c r="B3860" s="30">
        <v>43776</v>
      </c>
      <c r="C3860">
        <v>222.43989999999999</v>
      </c>
    </row>
    <row r="3861" spans="2:3">
      <c r="B3861" s="30">
        <v>43777</v>
      </c>
      <c r="C3861">
        <v>222.61170000000001</v>
      </c>
    </row>
    <row r="3862" spans="2:3">
      <c r="B3862" s="30">
        <v>43781</v>
      </c>
      <c r="C3862">
        <v>222.77330000000001</v>
      </c>
    </row>
    <row r="3863" spans="2:3">
      <c r="B3863" s="30">
        <v>43782</v>
      </c>
      <c r="C3863">
        <v>223.0478</v>
      </c>
    </row>
    <row r="3864" spans="2:3">
      <c r="B3864" s="30">
        <v>43783</v>
      </c>
      <c r="C3864">
        <v>223.4606</v>
      </c>
    </row>
    <row r="3865" spans="2:3">
      <c r="B3865" s="30">
        <v>43784</v>
      </c>
      <c r="C3865">
        <v>224.2028</v>
      </c>
    </row>
    <row r="3866" spans="2:3">
      <c r="B3866" s="30">
        <v>43787</v>
      </c>
      <c r="C3866">
        <v>224.4282</v>
      </c>
    </row>
    <row r="3867" spans="2:3">
      <c r="B3867" s="30">
        <v>43788</v>
      </c>
      <c r="C3867">
        <v>224.47810000000001</v>
      </c>
    </row>
    <row r="3868" spans="2:3">
      <c r="B3868" s="30">
        <v>43789</v>
      </c>
      <c r="C3868">
        <v>224.25149999999999</v>
      </c>
    </row>
    <row r="3869" spans="2:3">
      <c r="B3869" s="30">
        <v>43790</v>
      </c>
      <c r="C3869">
        <v>223.9622</v>
      </c>
    </row>
    <row r="3870" spans="2:3">
      <c r="B3870" s="30">
        <v>43791</v>
      </c>
      <c r="C3870">
        <v>224.2079</v>
      </c>
    </row>
    <row r="3871" spans="2:3">
      <c r="B3871" s="30">
        <v>43794</v>
      </c>
      <c r="C3871">
        <v>225.2372</v>
      </c>
    </row>
    <row r="3872" spans="2:3">
      <c r="B3872" s="30">
        <v>43795</v>
      </c>
      <c r="C3872">
        <v>225.6858</v>
      </c>
    </row>
    <row r="3873" spans="2:3">
      <c r="B3873" s="30">
        <v>43796</v>
      </c>
      <c r="C3873">
        <v>225.94749999999999</v>
      </c>
    </row>
    <row r="3874" spans="2:3">
      <c r="B3874" s="30">
        <v>43798</v>
      </c>
      <c r="C3874">
        <v>225.54310000000001</v>
      </c>
    </row>
    <row r="3875" spans="2:3">
      <c r="B3875" s="30">
        <v>43801</v>
      </c>
      <c r="C3875">
        <v>223.97749999999999</v>
      </c>
    </row>
    <row r="3876" spans="2:3">
      <c r="B3876" s="30">
        <v>43802</v>
      </c>
      <c r="C3876">
        <v>223.74250000000001</v>
      </c>
    </row>
    <row r="3877" spans="2:3">
      <c r="B3877" s="30">
        <v>43803</v>
      </c>
      <c r="C3877">
        <v>224.2945</v>
      </c>
    </row>
    <row r="3878" spans="2:3">
      <c r="B3878" s="30">
        <v>43804</v>
      </c>
      <c r="C3878">
        <v>224.42949999999999</v>
      </c>
    </row>
    <row r="3879" spans="2:3">
      <c r="B3879" s="30">
        <v>43805</v>
      </c>
      <c r="C3879">
        <v>225.55799999999999</v>
      </c>
    </row>
    <row r="3880" spans="2:3">
      <c r="B3880" s="30">
        <v>43808</v>
      </c>
      <c r="C3880">
        <v>225.1216</v>
      </c>
    </row>
    <row r="3881" spans="2:3">
      <c r="B3881" s="30">
        <v>43809</v>
      </c>
      <c r="C3881">
        <v>224.96709999999999</v>
      </c>
    </row>
    <row r="3882" spans="2:3">
      <c r="B3882" s="30">
        <v>43810</v>
      </c>
      <c r="C3882">
        <v>225.61070000000001</v>
      </c>
    </row>
    <row r="3883" spans="2:3">
      <c r="B3883" s="30">
        <v>43811</v>
      </c>
      <c r="C3883">
        <v>226.59719999999999</v>
      </c>
    </row>
    <row r="3884" spans="2:3">
      <c r="B3884" s="30">
        <v>43812</v>
      </c>
      <c r="C3884">
        <v>226.9264</v>
      </c>
    </row>
    <row r="3885" spans="2:3">
      <c r="B3885" s="30">
        <v>43815</v>
      </c>
      <c r="C3885">
        <v>227.82570000000001</v>
      </c>
    </row>
    <row r="3886" spans="2:3">
      <c r="B3886" s="30">
        <v>43816</v>
      </c>
      <c r="C3886">
        <v>227.81129999999999</v>
      </c>
    </row>
    <row r="3887" spans="2:3">
      <c r="B3887" s="30">
        <v>43817</v>
      </c>
      <c r="C3887">
        <v>227.75200000000001</v>
      </c>
    </row>
    <row r="3888" spans="2:3">
      <c r="B3888" s="30">
        <v>43818</v>
      </c>
      <c r="C3888">
        <v>228.43109999999999</v>
      </c>
    </row>
    <row r="3889" spans="2:3">
      <c r="B3889" s="30">
        <v>43819</v>
      </c>
      <c r="C3889">
        <v>229.04849999999999</v>
      </c>
    </row>
    <row r="3890" spans="2:3">
      <c r="B3890" s="30">
        <v>43822</v>
      </c>
      <c r="C3890">
        <v>229.0685</v>
      </c>
    </row>
    <row r="3891" spans="2:3">
      <c r="B3891" s="30">
        <v>43823</v>
      </c>
      <c r="C3891">
        <v>229.2073</v>
      </c>
    </row>
    <row r="3892" spans="2:3">
      <c r="B3892" s="30">
        <v>43825</v>
      </c>
      <c r="C3892">
        <v>229.96870000000001</v>
      </c>
    </row>
    <row r="3893" spans="2:3">
      <c r="B3893" s="30">
        <v>43826</v>
      </c>
      <c r="C3893">
        <v>230.0735</v>
      </c>
    </row>
    <row r="3894" spans="2:3">
      <c r="B3894" s="30">
        <v>43829</v>
      </c>
      <c r="C3894">
        <v>229.06</v>
      </c>
    </row>
    <row r="3895" spans="2:3">
      <c r="B3895" s="30">
        <v>43830</v>
      </c>
      <c r="C3895">
        <v>229.41650000000001</v>
      </c>
    </row>
    <row r="3896" spans="2:3">
      <c r="B3896" s="30">
        <v>43832</v>
      </c>
      <c r="C3896">
        <v>230.7877</v>
      </c>
    </row>
    <row r="3897" spans="2:3">
      <c r="B3897" s="30">
        <v>43833</v>
      </c>
      <c r="C3897">
        <v>230.08359999999999</v>
      </c>
    </row>
    <row r="3898" spans="2:3">
      <c r="B3898" s="30">
        <v>43836</v>
      </c>
      <c r="C3898">
        <v>230.4633</v>
      </c>
    </row>
    <row r="3899" spans="2:3">
      <c r="B3899" s="30">
        <v>43837</v>
      </c>
      <c r="C3899">
        <v>229.9246</v>
      </c>
    </row>
    <row r="3900" spans="2:3">
      <c r="B3900" s="30">
        <v>43838</v>
      </c>
      <c r="C3900">
        <v>230.57169999999999</v>
      </c>
    </row>
    <row r="3901" spans="2:3">
      <c r="B3901" s="30">
        <v>43839</v>
      </c>
      <c r="C3901">
        <v>231.7741</v>
      </c>
    </row>
    <row r="3902" spans="2:3">
      <c r="B3902" s="30">
        <v>43840</v>
      </c>
      <c r="C3902">
        <v>231.42689999999999</v>
      </c>
    </row>
    <row r="3903" spans="2:3">
      <c r="B3903" s="30">
        <v>43843</v>
      </c>
      <c r="C3903">
        <v>232.44990000000001</v>
      </c>
    </row>
    <row r="3904" spans="2:3">
      <c r="B3904" s="30">
        <v>43844</v>
      </c>
      <c r="C3904">
        <v>232.3065</v>
      </c>
    </row>
    <row r="3905" spans="2:3">
      <c r="B3905" s="30">
        <v>43845</v>
      </c>
      <c r="C3905">
        <v>232.7654</v>
      </c>
    </row>
    <row r="3906" spans="2:3">
      <c r="B3906" s="30">
        <v>43846</v>
      </c>
      <c r="C3906">
        <v>233.99549999999999</v>
      </c>
    </row>
    <row r="3907" spans="2:3">
      <c r="B3907" s="30">
        <v>43847</v>
      </c>
      <c r="C3907">
        <v>234.43510000000001</v>
      </c>
    </row>
    <row r="3908" spans="2:3">
      <c r="B3908" s="30">
        <v>43851</v>
      </c>
      <c r="C3908">
        <v>234.30260000000001</v>
      </c>
    </row>
    <row r="3909" spans="2:3">
      <c r="B3909" s="30">
        <v>43852</v>
      </c>
      <c r="C3909">
        <v>234.41040000000001</v>
      </c>
    </row>
    <row r="3910" spans="2:3">
      <c r="B3910" s="30">
        <v>43853</v>
      </c>
      <c r="C3910">
        <v>234.69030000000001</v>
      </c>
    </row>
    <row r="3911" spans="2:3">
      <c r="B3911" s="30">
        <v>43854</v>
      </c>
      <c r="C3911">
        <v>233.4049</v>
      </c>
    </row>
    <row r="3912" spans="2:3">
      <c r="B3912" s="30">
        <v>43857</v>
      </c>
      <c r="C3912">
        <v>231.14570000000001</v>
      </c>
    </row>
    <row r="3913" spans="2:3">
      <c r="B3913" s="30">
        <v>43858</v>
      </c>
      <c r="C3913">
        <v>232.65700000000001</v>
      </c>
    </row>
    <row r="3914" spans="2:3">
      <c r="B3914" s="30">
        <v>43859</v>
      </c>
      <c r="C3914">
        <v>232.70070000000001</v>
      </c>
    </row>
    <row r="3915" spans="2:3">
      <c r="B3915" s="30">
        <v>43860</v>
      </c>
      <c r="C3915">
        <v>233.25790000000001</v>
      </c>
    </row>
    <row r="3916" spans="2:3">
      <c r="B3916" s="30">
        <v>43861</v>
      </c>
      <c r="C3916">
        <v>230.98670000000001</v>
      </c>
    </row>
    <row r="3917" spans="2:3">
      <c r="B3917" s="30">
        <v>43864</v>
      </c>
      <c r="C3917">
        <v>231.9418</v>
      </c>
    </row>
    <row r="3918" spans="2:3">
      <c r="B3918" s="30">
        <v>43865</v>
      </c>
      <c r="C3918">
        <v>233.3972</v>
      </c>
    </row>
    <row r="3919" spans="2:3">
      <c r="B3919" s="30">
        <v>43866</v>
      </c>
      <c r="C3919">
        <v>234.5095</v>
      </c>
    </row>
    <row r="3920" spans="2:3">
      <c r="B3920" s="30">
        <v>43867</v>
      </c>
      <c r="C3920">
        <v>234.94200000000001</v>
      </c>
    </row>
    <row r="3921" spans="2:3">
      <c r="B3921" s="30">
        <v>43868</v>
      </c>
      <c r="C3921">
        <v>234.83070000000001</v>
      </c>
    </row>
    <row r="3922" spans="2:3">
      <c r="B3922" s="30">
        <v>43871</v>
      </c>
      <c r="C3922">
        <v>235.79079999999999</v>
      </c>
    </row>
    <row r="3923" spans="2:3">
      <c r="B3923" s="30">
        <v>43872</v>
      </c>
      <c r="C3923">
        <v>235.7433</v>
      </c>
    </row>
    <row r="3924" spans="2:3">
      <c r="B3924" s="30">
        <v>43873</v>
      </c>
      <c r="C3924">
        <v>236.137</v>
      </c>
    </row>
    <row r="3925" spans="2:3">
      <c r="B3925" s="30">
        <v>43874</v>
      </c>
      <c r="C3925">
        <v>236.0823</v>
      </c>
    </row>
    <row r="3926" spans="2:3">
      <c r="B3926" s="30">
        <v>43875</v>
      </c>
      <c r="C3926">
        <v>236.43049999999999</v>
      </c>
    </row>
    <row r="3927" spans="2:3">
      <c r="B3927" s="30">
        <v>43879</v>
      </c>
      <c r="C3927">
        <v>236.38249999999999</v>
      </c>
    </row>
    <row r="3928" spans="2:3">
      <c r="B3928" s="30">
        <v>43880</v>
      </c>
      <c r="C3928">
        <v>236.79069999999999</v>
      </c>
    </row>
    <row r="3929" spans="2:3">
      <c r="B3929" s="30">
        <v>43881</v>
      </c>
      <c r="C3929">
        <v>236.6309</v>
      </c>
    </row>
    <row r="3930" spans="2:3">
      <c r="B3930" s="30">
        <v>43882</v>
      </c>
      <c r="C3930">
        <v>235.87370000000001</v>
      </c>
    </row>
    <row r="3931" spans="2:3">
      <c r="B3931" s="30">
        <v>43885</v>
      </c>
      <c r="C3931">
        <v>233.24770000000001</v>
      </c>
    </row>
    <row r="3932" spans="2:3">
      <c r="B3932" s="30">
        <v>43886</v>
      </c>
      <c r="C3932">
        <v>230.13630000000001</v>
      </c>
    </row>
    <row r="3933" spans="2:3">
      <c r="B3933" s="30">
        <v>43887</v>
      </c>
      <c r="C3933">
        <v>229.80170000000001</v>
      </c>
    </row>
    <row r="3934" spans="2:3">
      <c r="B3934" s="30">
        <v>43888</v>
      </c>
      <c r="C3934">
        <v>226.07400000000001</v>
      </c>
    </row>
    <row r="3935" spans="2:3">
      <c r="B3935" s="30">
        <v>43889</v>
      </c>
      <c r="C3935">
        <v>226.416</v>
      </c>
    </row>
    <row r="3936" spans="2:3">
      <c r="B3936" s="30">
        <v>43892</v>
      </c>
      <c r="C3936">
        <v>229.6524</v>
      </c>
    </row>
    <row r="3937" spans="2:3">
      <c r="B3937" s="30">
        <v>43893</v>
      </c>
      <c r="C3937">
        <v>228.3271</v>
      </c>
    </row>
    <row r="3938" spans="2:3">
      <c r="B3938" s="30">
        <v>43894</v>
      </c>
      <c r="C3938">
        <v>231.14349999999999</v>
      </c>
    </row>
    <row r="3939" spans="2:3">
      <c r="B3939" s="30">
        <v>43895</v>
      </c>
      <c r="C3939">
        <v>229.3938</v>
      </c>
    </row>
    <row r="3940" spans="2:3">
      <c r="B3940" s="30">
        <v>43896</v>
      </c>
      <c r="C3940">
        <v>230.42330000000001</v>
      </c>
    </row>
    <row r="3941" spans="2:3">
      <c r="B3941" s="30">
        <v>43899</v>
      </c>
      <c r="C3941">
        <v>227.94540000000001</v>
      </c>
    </row>
    <row r="3942" spans="2:3">
      <c r="B3942" s="30">
        <v>43900</v>
      </c>
      <c r="C3942">
        <v>226.78200000000001</v>
      </c>
    </row>
    <row r="3943" spans="2:3">
      <c r="B3943" s="30">
        <v>43901</v>
      </c>
      <c r="C3943">
        <v>224.99189999999999</v>
      </c>
    </row>
    <row r="3944" spans="2:3">
      <c r="B3944" s="30">
        <v>43902</v>
      </c>
      <c r="C3944">
        <v>221.33240000000001</v>
      </c>
    </row>
    <row r="3945" spans="2:3">
      <c r="B3945" s="30">
        <v>43903</v>
      </c>
      <c r="C3945">
        <v>222.4777</v>
      </c>
    </row>
    <row r="3946" spans="2:3">
      <c r="B3946" s="30">
        <v>43906</v>
      </c>
      <c r="C3946">
        <v>224.8443</v>
      </c>
    </row>
    <row r="3947" spans="2:3">
      <c r="B3947" s="30">
        <v>43907</v>
      </c>
      <c r="C3947">
        <v>221.0549</v>
      </c>
    </row>
    <row r="3948" spans="2:3">
      <c r="B3948" s="30">
        <v>43908</v>
      </c>
      <c r="C3948">
        <v>216.39189999999999</v>
      </c>
    </row>
    <row r="3949" spans="2:3">
      <c r="B3949" s="30">
        <v>43909</v>
      </c>
      <c r="C3949">
        <v>218.5702</v>
      </c>
    </row>
    <row r="3950" spans="2:3">
      <c r="B3950" s="30">
        <v>43910</v>
      </c>
      <c r="C3950">
        <v>220.22890000000001</v>
      </c>
    </row>
    <row r="3951" spans="2:3">
      <c r="B3951" s="30">
        <v>43913</v>
      </c>
      <c r="C3951">
        <v>224.0232</v>
      </c>
    </row>
    <row r="3952" spans="2:3">
      <c r="B3952" s="30">
        <v>43914</v>
      </c>
      <c r="C3952">
        <v>226.36859999999999</v>
      </c>
    </row>
    <row r="3953" spans="2:3">
      <c r="B3953" s="30">
        <v>43915</v>
      </c>
      <c r="C3953">
        <v>226.7355</v>
      </c>
    </row>
    <row r="3954" spans="2:3">
      <c r="B3954" s="30">
        <v>43916</v>
      </c>
      <c r="C3954">
        <v>227.9556</v>
      </c>
    </row>
    <row r="3955" spans="2:3">
      <c r="B3955" s="30">
        <v>43917</v>
      </c>
      <c r="C3955">
        <v>227.14590000000001</v>
      </c>
    </row>
    <row r="3956" spans="2:3">
      <c r="B3956" s="30">
        <v>43920</v>
      </c>
      <c r="C3956">
        <v>227.67750000000001</v>
      </c>
    </row>
    <row r="3957" spans="2:3">
      <c r="B3957" s="30">
        <v>43921</v>
      </c>
      <c r="C3957">
        <v>226.65309999999999</v>
      </c>
    </row>
    <row r="3958" spans="2:3">
      <c r="B3958" s="30">
        <v>43922</v>
      </c>
      <c r="C3958">
        <v>225.71369999999999</v>
      </c>
    </row>
    <row r="3959" spans="2:3">
      <c r="B3959" s="30">
        <v>43923</v>
      </c>
      <c r="C3959">
        <v>226.15770000000001</v>
      </c>
    </row>
    <row r="3960" spans="2:3">
      <c r="B3960" s="30">
        <v>43924</v>
      </c>
      <c r="C3960">
        <v>225.738</v>
      </c>
    </row>
    <row r="3961" spans="2:3">
      <c r="B3961" s="30">
        <v>43927</v>
      </c>
      <c r="C3961">
        <v>226.65090000000001</v>
      </c>
    </row>
    <row r="3962" spans="2:3">
      <c r="B3962" s="30">
        <v>43928</v>
      </c>
      <c r="C3962">
        <v>226.74940000000001</v>
      </c>
    </row>
    <row r="3963" spans="2:3">
      <c r="B3963" s="30">
        <v>43929</v>
      </c>
      <c r="C3963">
        <v>227.72710000000001</v>
      </c>
    </row>
    <row r="3964" spans="2:3">
      <c r="B3964" s="30">
        <v>43930</v>
      </c>
      <c r="C3964">
        <v>230.6183</v>
      </c>
    </row>
    <row r="3965" spans="2:3">
      <c r="B3965" s="30">
        <v>43934</v>
      </c>
      <c r="C3965">
        <v>229.81610000000001</v>
      </c>
    </row>
    <row r="3966" spans="2:3">
      <c r="B3966" s="30">
        <v>43935</v>
      </c>
      <c r="C3966">
        <v>230.45959999999999</v>
      </c>
    </row>
    <row r="3967" spans="2:3">
      <c r="B3967" s="30">
        <v>43936</v>
      </c>
      <c r="C3967">
        <v>230.9847</v>
      </c>
    </row>
    <row r="3968" spans="2:3">
      <c r="B3968" s="30">
        <v>43937</v>
      </c>
      <c r="C3968">
        <v>231.0864</v>
      </c>
    </row>
    <row r="3969" spans="2:3">
      <c r="B3969" s="30">
        <v>43938</v>
      </c>
      <c r="C3969">
        <v>230.77529999999999</v>
      </c>
    </row>
    <row r="3970" spans="2:3">
      <c r="B3970" s="30">
        <v>43941</v>
      </c>
      <c r="C3970">
        <v>230.32910000000001</v>
      </c>
    </row>
    <row r="3971" spans="2:3">
      <c r="B3971" s="30">
        <v>43942</v>
      </c>
      <c r="C3971">
        <v>230.26689999999999</v>
      </c>
    </row>
    <row r="3972" spans="2:3">
      <c r="B3972" s="30">
        <v>43943</v>
      </c>
      <c r="C3972">
        <v>230.2602</v>
      </c>
    </row>
    <row r="3973" spans="2:3">
      <c r="B3973" s="30">
        <v>43944</v>
      </c>
      <c r="C3973">
        <v>230.51650000000001</v>
      </c>
    </row>
    <row r="3974" spans="2:3">
      <c r="B3974" s="30">
        <v>43945</v>
      </c>
      <c r="C3974">
        <v>230.70150000000001</v>
      </c>
    </row>
    <row r="3975" spans="2:3">
      <c r="B3975" s="30">
        <v>43948</v>
      </c>
      <c r="C3975">
        <v>230.20230000000001</v>
      </c>
    </row>
    <row r="3976" spans="2:3">
      <c r="B3976" s="30">
        <v>43949</v>
      </c>
      <c r="C3976">
        <v>230.7414</v>
      </c>
    </row>
    <row r="3977" spans="2:3">
      <c r="B3977" s="30">
        <v>43950</v>
      </c>
      <c r="C3977">
        <v>231.12960000000001</v>
      </c>
    </row>
    <row r="3978" spans="2:3">
      <c r="B3978" s="30">
        <v>43951</v>
      </c>
      <c r="C3978">
        <v>230.9641</v>
      </c>
    </row>
    <row r="3979" spans="2:3">
      <c r="B3979" s="30">
        <v>43952</v>
      </c>
      <c r="C3979">
        <v>230.5549</v>
      </c>
    </row>
    <row r="3980" spans="2:3">
      <c r="B3980" s="30">
        <v>43955</v>
      </c>
      <c r="C3980">
        <v>230.55629999999999</v>
      </c>
    </row>
    <row r="3981" spans="2:3">
      <c r="B3981" s="30">
        <v>43956</v>
      </c>
      <c r="C3981">
        <v>230.54329999999999</v>
      </c>
    </row>
    <row r="3982" spans="2:3">
      <c r="B3982" s="30">
        <v>43957</v>
      </c>
      <c r="C3982">
        <v>229.9906</v>
      </c>
    </row>
    <row r="3983" spans="2:3">
      <c r="B3983" s="30">
        <v>43958</v>
      </c>
      <c r="C3983">
        <v>230.5472</v>
      </c>
    </row>
    <row r="3984" spans="2:3">
      <c r="B3984" s="30">
        <v>43959</v>
      </c>
      <c r="C3984">
        <v>230.29150000000001</v>
      </c>
    </row>
    <row r="3985" spans="2:3">
      <c r="B3985" s="30">
        <v>43962</v>
      </c>
      <c r="C3985">
        <v>230.01490000000001</v>
      </c>
    </row>
    <row r="3986" spans="2:3">
      <c r="B3986" s="30">
        <v>43963</v>
      </c>
      <c r="C3986">
        <v>230.23689999999999</v>
      </c>
    </row>
    <row r="3987" spans="2:3">
      <c r="B3987" s="30">
        <v>43964</v>
      </c>
      <c r="C3987">
        <v>230.07310000000001</v>
      </c>
    </row>
    <row r="3988" spans="2:3">
      <c r="B3988" s="30">
        <v>43965</v>
      </c>
      <c r="C3988">
        <v>230.34389999999999</v>
      </c>
    </row>
    <row r="3989" spans="2:3">
      <c r="B3989" s="30">
        <v>43966</v>
      </c>
      <c r="C3989">
        <v>230.28</v>
      </c>
    </row>
    <row r="3990" spans="2:3">
      <c r="B3990" s="30">
        <v>43969</v>
      </c>
      <c r="C3990">
        <v>229.9735</v>
      </c>
    </row>
    <row r="3991" spans="2:3">
      <c r="B3991" s="30">
        <v>43970</v>
      </c>
      <c r="C3991">
        <v>230.24879999999999</v>
      </c>
    </row>
    <row r="3992" spans="2:3">
      <c r="B3992" s="30">
        <v>43971</v>
      </c>
      <c r="C3992">
        <v>230.86170000000001</v>
      </c>
    </row>
    <row r="3993" spans="2:3">
      <c r="B3993" s="30">
        <v>43972</v>
      </c>
      <c r="C3993">
        <v>230.6909</v>
      </c>
    </row>
    <row r="3994" spans="2:3">
      <c r="B3994" s="30">
        <v>43973</v>
      </c>
      <c r="C3994">
        <v>230.74250000000001</v>
      </c>
    </row>
    <row r="3995" spans="2:3">
      <c r="B3995" s="30">
        <v>43977</v>
      </c>
      <c r="C3995">
        <v>230.7972</v>
      </c>
    </row>
    <row r="3996" spans="2:3">
      <c r="B3996" s="30">
        <v>43978</v>
      </c>
      <c r="C3996">
        <v>231.1309</v>
      </c>
    </row>
    <row r="3997" spans="2:3">
      <c r="B3997" s="30">
        <v>43979</v>
      </c>
      <c r="C3997">
        <v>231.11070000000001</v>
      </c>
    </row>
    <row r="3998" spans="2:3">
      <c r="B3998" s="30">
        <v>43980</v>
      </c>
      <c r="C3998">
        <v>231.59520000000001</v>
      </c>
    </row>
    <row r="3999" spans="2:3">
      <c r="B3999" s="30">
        <v>43983</v>
      </c>
      <c r="C3999">
        <v>231.33750000000001</v>
      </c>
    </row>
    <row r="4000" spans="2:3">
      <c r="B4000" s="30">
        <v>43984</v>
      </c>
      <c r="C4000">
        <v>231.5153</v>
      </c>
    </row>
    <row r="4001" spans="2:3">
      <c r="B4001" s="30">
        <v>43985</v>
      </c>
      <c r="C4001">
        <v>231.24250000000001</v>
      </c>
    </row>
    <row r="4002" spans="2:3">
      <c r="B4002" s="30">
        <v>43986</v>
      </c>
      <c r="C4002">
        <v>230.46440000000001</v>
      </c>
    </row>
    <row r="4003" spans="2:3">
      <c r="B4003" s="30">
        <v>43987</v>
      </c>
      <c r="C4003">
        <v>230.98169999999999</v>
      </c>
    </row>
    <row r="4004" spans="2:3">
      <c r="B4004" s="30">
        <v>43990</v>
      </c>
      <c r="C4004">
        <v>231.2353</v>
      </c>
    </row>
    <row r="4005" spans="2:3">
      <c r="B4005" s="30">
        <v>43991</v>
      </c>
      <c r="C4005">
        <v>231.3014</v>
      </c>
    </row>
    <row r="4006" spans="2:3">
      <c r="B4006" s="30">
        <v>43992</v>
      </c>
      <c r="C4006">
        <v>231.8312</v>
      </c>
    </row>
    <row r="4007" spans="2:3">
      <c r="B4007" s="30">
        <v>43993</v>
      </c>
      <c r="C4007">
        <v>229.88560000000001</v>
      </c>
    </row>
    <row r="4008" spans="2:3">
      <c r="B4008" s="30">
        <v>43994</v>
      </c>
      <c r="C4008">
        <v>230.1721</v>
      </c>
    </row>
    <row r="4009" spans="2:3">
      <c r="B4009" s="30">
        <v>43997</v>
      </c>
      <c r="C4009">
        <v>231.33840000000001</v>
      </c>
    </row>
    <row r="4010" spans="2:3">
      <c r="B4010" s="30">
        <v>43998</v>
      </c>
      <c r="C4010">
        <v>231.68809999999999</v>
      </c>
    </row>
    <row r="4011" spans="2:3">
      <c r="B4011" s="30">
        <v>43999</v>
      </c>
      <c r="C4011">
        <v>231.4513</v>
      </c>
    </row>
    <row r="4012" spans="2:3">
      <c r="B4012" s="30">
        <v>44000</v>
      </c>
      <c r="C4012">
        <v>231.57859999999999</v>
      </c>
    </row>
    <row r="4013" spans="2:3">
      <c r="B4013" s="30">
        <v>44001</v>
      </c>
      <c r="C4013">
        <v>231.0419</v>
      </c>
    </row>
    <row r="4014" spans="2:3">
      <c r="B4014" s="30">
        <v>44004</v>
      </c>
      <c r="C4014">
        <v>231.45930000000001</v>
      </c>
    </row>
    <row r="4015" spans="2:3">
      <c r="B4015" s="30">
        <v>44005</v>
      </c>
      <c r="C4015">
        <v>231.72130000000001</v>
      </c>
    </row>
    <row r="4016" spans="2:3">
      <c r="B4016" s="30">
        <v>44006</v>
      </c>
      <c r="C4016">
        <v>230.49180000000001</v>
      </c>
    </row>
    <row r="4017" spans="2:3">
      <c r="B4017" s="30">
        <v>44007</v>
      </c>
      <c r="C4017">
        <v>231.05940000000001</v>
      </c>
    </row>
    <row r="4018" spans="2:3">
      <c r="B4018" s="30">
        <v>44008</v>
      </c>
      <c r="C4018">
        <v>230.54470000000001</v>
      </c>
    </row>
    <row r="4019" spans="2:3">
      <c r="B4019" s="30">
        <v>44011</v>
      </c>
      <c r="C4019">
        <v>231.1533</v>
      </c>
    </row>
    <row r="4020" spans="2:3">
      <c r="B4020" s="30">
        <v>44012</v>
      </c>
      <c r="C4020">
        <v>231.80520000000001</v>
      </c>
    </row>
    <row r="4021" spans="2:3">
      <c r="B4021" s="30">
        <v>44013</v>
      </c>
      <c r="C4021">
        <v>231.96469999999999</v>
      </c>
    </row>
    <row r="4022" spans="2:3">
      <c r="B4022" s="30">
        <v>44014</v>
      </c>
      <c r="C4022">
        <v>232.23679999999999</v>
      </c>
    </row>
    <row r="4023" spans="2:3">
      <c r="B4023" s="30">
        <v>44018</v>
      </c>
      <c r="C4023">
        <v>232.88140000000001</v>
      </c>
    </row>
    <row r="4024" spans="2:3">
      <c r="B4024" s="30">
        <v>44019</v>
      </c>
      <c r="C4024">
        <v>232.81700000000001</v>
      </c>
    </row>
    <row r="4025" spans="2:3">
      <c r="B4025" s="30">
        <v>44020</v>
      </c>
      <c r="C4025">
        <v>233.0489</v>
      </c>
    </row>
    <row r="4026" spans="2:3">
      <c r="B4026" s="30">
        <v>44021</v>
      </c>
      <c r="C4026">
        <v>233.39670000000001</v>
      </c>
    </row>
    <row r="4027" spans="2:3">
      <c r="B4027" s="30">
        <v>44022</v>
      </c>
      <c r="C4027">
        <v>233.49520000000001</v>
      </c>
    </row>
    <row r="4028" spans="2:3">
      <c r="B4028" s="30">
        <v>44025</v>
      </c>
      <c r="C4028">
        <v>233.33029999999999</v>
      </c>
    </row>
    <row r="4029" spans="2:3">
      <c r="B4029" s="30">
        <v>44026</v>
      </c>
      <c r="C4029">
        <v>233.99510000000001</v>
      </c>
    </row>
    <row r="4030" spans="2:3">
      <c r="B4030" s="30">
        <v>44027</v>
      </c>
      <c r="C4030">
        <v>234.3733</v>
      </c>
    </row>
    <row r="4031" spans="2:3">
      <c r="B4031" s="30">
        <v>44028</v>
      </c>
      <c r="C4031">
        <v>234.4538</v>
      </c>
    </row>
    <row r="4032" spans="2:3">
      <c r="B4032" s="30">
        <v>44029</v>
      </c>
      <c r="C4032">
        <v>234.49080000000001</v>
      </c>
    </row>
    <row r="4033" spans="2:3">
      <c r="B4033" s="30">
        <v>44032</v>
      </c>
      <c r="C4033">
        <v>235.1763</v>
      </c>
    </row>
    <row r="4034" spans="2:3">
      <c r="B4034" s="30">
        <v>44033</v>
      </c>
      <c r="C4034">
        <v>235.3742</v>
      </c>
    </row>
    <row r="4035" spans="2:3">
      <c r="B4035" s="30">
        <v>44034</v>
      </c>
      <c r="C4035">
        <v>235.77850000000001</v>
      </c>
    </row>
    <row r="4036" spans="2:3">
      <c r="B4036" s="30">
        <v>44035</v>
      </c>
      <c r="C4036">
        <v>235.44569999999999</v>
      </c>
    </row>
    <row r="4037" spans="2:3">
      <c r="B4037" s="30">
        <v>44036</v>
      </c>
      <c r="C4037">
        <v>235.1284</v>
      </c>
    </row>
    <row r="4038" spans="2:3">
      <c r="B4038" s="30">
        <v>44039</v>
      </c>
      <c r="C4038">
        <v>235.31100000000001</v>
      </c>
    </row>
    <row r="4039" spans="2:3">
      <c r="B4039" s="30">
        <v>44040</v>
      </c>
      <c r="C4039">
        <v>235.32900000000001</v>
      </c>
    </row>
    <row r="4040" spans="2:3">
      <c r="B4040" s="30">
        <v>44041</v>
      </c>
      <c r="C4040">
        <v>235.91759999999999</v>
      </c>
    </row>
    <row r="4041" spans="2:3">
      <c r="B4041" s="30">
        <v>44042</v>
      </c>
      <c r="C4041">
        <v>236.10740000000001</v>
      </c>
    </row>
    <row r="4042" spans="2:3">
      <c r="B4042" s="30">
        <v>44043</v>
      </c>
      <c r="C4042">
        <v>236.53219999999999</v>
      </c>
    </row>
    <row r="4043" spans="2:3">
      <c r="B4043" s="30">
        <v>44046</v>
      </c>
      <c r="C4043">
        <v>236.863</v>
      </c>
    </row>
    <row r="4044" spans="2:3">
      <c r="B4044" s="30">
        <v>44047</v>
      </c>
      <c r="C4044">
        <v>237.5453</v>
      </c>
    </row>
    <row r="4045" spans="2:3">
      <c r="B4045" s="30">
        <v>44048</v>
      </c>
      <c r="C4045">
        <v>237.8081</v>
      </c>
    </row>
    <row r="4046" spans="2:3">
      <c r="B4046" s="30">
        <v>44049</v>
      </c>
      <c r="C4046">
        <v>238.3956</v>
      </c>
    </row>
    <row r="4047" spans="2:3">
      <c r="B4047" s="30">
        <v>44050</v>
      </c>
      <c r="C4047">
        <v>238.06549999999999</v>
      </c>
    </row>
    <row r="4048" spans="2:3">
      <c r="B4048" s="30">
        <v>44053</v>
      </c>
      <c r="C4048">
        <v>237.97280000000001</v>
      </c>
    </row>
    <row r="4049" spans="2:3">
      <c r="B4049" s="30">
        <v>44054</v>
      </c>
      <c r="C4049">
        <v>236.6979</v>
      </c>
    </row>
    <row r="4050" spans="2:3">
      <c r="B4050" s="30">
        <v>44055</v>
      </c>
      <c r="C4050">
        <v>237.50530000000001</v>
      </c>
    </row>
    <row r="4051" spans="2:3">
      <c r="B4051" s="30">
        <v>44056</v>
      </c>
      <c r="C4051">
        <v>236.8194</v>
      </c>
    </row>
    <row r="4052" spans="2:3">
      <c r="B4052" s="30">
        <v>44057</v>
      </c>
      <c r="C4052">
        <v>236.7748</v>
      </c>
    </row>
    <row r="4053" spans="2:3">
      <c r="B4053" s="30">
        <v>44060</v>
      </c>
      <c r="C4053">
        <v>237.25739999999999</v>
      </c>
    </row>
    <row r="4054" spans="2:3">
      <c r="B4054" s="30">
        <v>44061</v>
      </c>
      <c r="C4054">
        <v>237.63239999999999</v>
      </c>
    </row>
    <row r="4055" spans="2:3">
      <c r="B4055" s="30">
        <v>44062</v>
      </c>
      <c r="C4055">
        <v>237.19130000000001</v>
      </c>
    </row>
    <row r="4056" spans="2:3">
      <c r="B4056" s="30">
        <v>44063</v>
      </c>
      <c r="C4056">
        <v>237.6465</v>
      </c>
    </row>
    <row r="4057" spans="2:3">
      <c r="B4057" s="30">
        <v>44064</v>
      </c>
      <c r="C4057">
        <v>237.99510000000001</v>
      </c>
    </row>
    <row r="4058" spans="2:3">
      <c r="B4058" s="30">
        <v>44067</v>
      </c>
      <c r="C4058">
        <v>238.87049999999999</v>
      </c>
    </row>
    <row r="4059" spans="2:3">
      <c r="B4059" s="30">
        <v>44068</v>
      </c>
      <c r="C4059">
        <v>238.93809999999999</v>
      </c>
    </row>
    <row r="4060" spans="2:3">
      <c r="B4060" s="30">
        <v>44069</v>
      </c>
      <c r="C4060">
        <v>239.65049999999999</v>
      </c>
    </row>
    <row r="4061" spans="2:3">
      <c r="B4061" s="30">
        <v>44070</v>
      </c>
      <c r="C4061">
        <v>239.24809999999999</v>
      </c>
    </row>
    <row r="4062" spans="2:3">
      <c r="B4062" s="30">
        <v>44071</v>
      </c>
      <c r="C4062">
        <v>240.02940000000001</v>
      </c>
    </row>
    <row r="4063" spans="2:3">
      <c r="B4063" s="30">
        <v>44074</v>
      </c>
      <c r="C4063">
        <v>240.34790000000001</v>
      </c>
    </row>
    <row r="4064" spans="2:3">
      <c r="B4064" s="30">
        <v>44075</v>
      </c>
      <c r="C4064">
        <v>241.44540000000001</v>
      </c>
    </row>
    <row r="4065" spans="2:3">
      <c r="B4065" s="30">
        <v>44076</v>
      </c>
      <c r="C4065">
        <v>243.2508</v>
      </c>
    </row>
    <row r="4066" spans="2:3">
      <c r="B4066" s="30">
        <v>44077</v>
      </c>
      <c r="C4066">
        <v>239.74029999999999</v>
      </c>
    </row>
    <row r="4067" spans="2:3">
      <c r="B4067" s="30">
        <v>44078</v>
      </c>
      <c r="C4067">
        <v>238.02269999999999</v>
      </c>
    </row>
    <row r="4068" spans="2:3">
      <c r="B4068" s="30">
        <v>44082</v>
      </c>
      <c r="C4068">
        <v>235.78450000000001</v>
      </c>
    </row>
    <row r="4069" spans="2:3">
      <c r="B4069" s="30">
        <v>44083</v>
      </c>
      <c r="C4069">
        <v>237.36089999999999</v>
      </c>
    </row>
    <row r="4070" spans="2:3">
      <c r="B4070" s="30">
        <v>44084</v>
      </c>
      <c r="C4070">
        <v>236.10730000000001</v>
      </c>
    </row>
    <row r="4071" spans="2:3">
      <c r="B4071" s="30">
        <v>44085</v>
      </c>
      <c r="C4071">
        <v>236.25299999999999</v>
      </c>
    </row>
    <row r="4072" spans="2:3">
      <c r="B4072" s="30">
        <v>44088</v>
      </c>
      <c r="C4072">
        <v>237.14830000000001</v>
      </c>
    </row>
    <row r="4073" spans="2:3">
      <c r="B4073" s="30">
        <v>44089</v>
      </c>
      <c r="C4073">
        <v>237.38669999999999</v>
      </c>
    </row>
    <row r="4074" spans="2:3">
      <c r="B4074" s="30">
        <v>44090</v>
      </c>
      <c r="C4074">
        <v>237.11770000000001</v>
      </c>
    </row>
    <row r="4075" spans="2:3">
      <c r="B4075" s="30">
        <v>44091</v>
      </c>
      <c r="C4075">
        <v>236.62139999999999</v>
      </c>
    </row>
    <row r="4076" spans="2:3">
      <c r="B4076" s="30">
        <v>44092</v>
      </c>
      <c r="C4076">
        <v>235.7706</v>
      </c>
    </row>
    <row r="4077" spans="2:3">
      <c r="B4077" s="30">
        <v>44095</v>
      </c>
      <c r="C4077">
        <v>234.93219999999999</v>
      </c>
    </row>
    <row r="4078" spans="2:3">
      <c r="B4078" s="30">
        <v>44096</v>
      </c>
      <c r="C4078">
        <v>235.47409999999999</v>
      </c>
    </row>
    <row r="4079" spans="2:3">
      <c r="B4079" s="30">
        <v>44097</v>
      </c>
      <c r="C4079">
        <v>233.78700000000001</v>
      </c>
    </row>
    <row r="4080" spans="2:3">
      <c r="B4080" s="30">
        <v>44098</v>
      </c>
      <c r="C4080">
        <v>234.1079</v>
      </c>
    </row>
    <row r="4081" spans="2:3">
      <c r="B4081" s="30">
        <v>44099</v>
      </c>
      <c r="C4081">
        <v>234.6225</v>
      </c>
    </row>
    <row r="4082" spans="2:3">
      <c r="B4082" s="30">
        <v>44102</v>
      </c>
      <c r="C4082">
        <v>235.31129999999999</v>
      </c>
    </row>
    <row r="4083" spans="2:3">
      <c r="B4083" s="30">
        <v>44103</v>
      </c>
      <c r="C4083">
        <v>235.01310000000001</v>
      </c>
    </row>
    <row r="4084" spans="2:3">
      <c r="B4084" s="30">
        <v>44104</v>
      </c>
      <c r="C4084">
        <v>234.97149999999999</v>
      </c>
    </row>
    <row r="4085" spans="2:3">
      <c r="B4085" s="30">
        <v>44105</v>
      </c>
      <c r="C4085">
        <v>235.09379999999999</v>
      </c>
    </row>
    <row r="4086" spans="2:3">
      <c r="B4086" s="30">
        <v>44106</v>
      </c>
      <c r="C4086">
        <v>234.52340000000001</v>
      </c>
    </row>
    <row r="4087" spans="2:3">
      <c r="B4087" s="30">
        <v>44109</v>
      </c>
      <c r="C4087">
        <v>234.66210000000001</v>
      </c>
    </row>
    <row r="4088" spans="2:3">
      <c r="B4088" s="30">
        <v>44110</v>
      </c>
      <c r="C4088">
        <v>234.10910000000001</v>
      </c>
    </row>
    <row r="4089" spans="2:3">
      <c r="B4089" s="30">
        <v>44111</v>
      </c>
      <c r="C4089">
        <v>234.7671</v>
      </c>
    </row>
    <row r="4090" spans="2:3">
      <c r="B4090" s="30">
        <v>44112</v>
      </c>
      <c r="C4090">
        <v>235.53890000000001</v>
      </c>
    </row>
    <row r="4091" spans="2:3">
      <c r="B4091" s="30">
        <v>44113</v>
      </c>
      <c r="C4091">
        <v>235.999</v>
      </c>
    </row>
    <row r="4092" spans="2:3">
      <c r="B4092" s="30">
        <v>44117</v>
      </c>
      <c r="C4092">
        <v>236.8766</v>
      </c>
    </row>
    <row r="4093" spans="2:3">
      <c r="B4093" s="30">
        <v>44118</v>
      </c>
      <c r="C4093">
        <v>236.5461</v>
      </c>
    </row>
    <row r="4094" spans="2:3">
      <c r="B4094" s="30">
        <v>44119</v>
      </c>
      <c r="C4094">
        <v>236.3409</v>
      </c>
    </row>
    <row r="4095" spans="2:3">
      <c r="B4095" s="30">
        <v>44120</v>
      </c>
      <c r="C4095">
        <v>236.3152</v>
      </c>
    </row>
    <row r="4096" spans="2:3">
      <c r="B4096" s="30">
        <v>44123</v>
      </c>
      <c r="C4096">
        <v>235.125</v>
      </c>
    </row>
    <row r="4097" spans="2:3">
      <c r="B4097" s="30">
        <v>44124</v>
      </c>
      <c r="C4097">
        <v>235.0421</v>
      </c>
    </row>
    <row r="4098" spans="2:3">
      <c r="B4098" s="30">
        <v>44125</v>
      </c>
      <c r="C4098">
        <v>234.79949999999999</v>
      </c>
    </row>
    <row r="4099" spans="2:3">
      <c r="B4099" s="30">
        <v>44126</v>
      </c>
      <c r="C4099">
        <v>234.6876</v>
      </c>
    </row>
    <row r="4100" spans="2:3">
      <c r="B4100" s="30">
        <v>44127</v>
      </c>
      <c r="C4100">
        <v>234.976</v>
      </c>
    </row>
    <row r="4101" spans="2:3">
      <c r="B4101" s="30">
        <v>44130</v>
      </c>
      <c r="C4101">
        <v>234.41460000000001</v>
      </c>
    </row>
    <row r="4102" spans="2:3">
      <c r="B4102" s="30">
        <v>44131</v>
      </c>
      <c r="C4102">
        <v>234.3879</v>
      </c>
    </row>
    <row r="4103" spans="2:3">
      <c r="B4103" s="30">
        <v>44132</v>
      </c>
      <c r="C4103">
        <v>232.4273</v>
      </c>
    </row>
    <row r="4104" spans="2:3">
      <c r="B4104" s="30">
        <v>44133</v>
      </c>
      <c r="C4104">
        <v>232.53210000000001</v>
      </c>
    </row>
    <row r="4105" spans="2:3">
      <c r="B4105" s="30">
        <v>44134</v>
      </c>
      <c r="C4105">
        <v>231.7099</v>
      </c>
    </row>
    <row r="4106" spans="2:3">
      <c r="B4106" s="30">
        <v>44137</v>
      </c>
      <c r="C4106">
        <v>232.51480000000001</v>
      </c>
    </row>
    <row r="4107" spans="2:3">
      <c r="B4107" s="30">
        <v>44138</v>
      </c>
      <c r="C4107">
        <v>233.3828</v>
      </c>
    </row>
    <row r="4108" spans="2:3">
      <c r="B4108" s="30">
        <v>44139</v>
      </c>
      <c r="C4108">
        <v>235.78550000000001</v>
      </c>
    </row>
    <row r="4109" spans="2:3">
      <c r="B4109" s="30">
        <v>44140</v>
      </c>
      <c r="C4109">
        <v>236.965</v>
      </c>
    </row>
    <row r="4110" spans="2:3">
      <c r="B4110" s="30">
        <v>44141</v>
      </c>
      <c r="C4110">
        <v>236.553</v>
      </c>
    </row>
    <row r="4111" spans="2:3">
      <c r="B4111" s="30">
        <v>44144</v>
      </c>
      <c r="C4111">
        <v>235.71940000000001</v>
      </c>
    </row>
    <row r="4112" spans="2:3">
      <c r="B4112" s="30">
        <v>44145</v>
      </c>
      <c r="C4112">
        <v>235.41560000000001</v>
      </c>
    </row>
    <row r="4113" spans="2:3">
      <c r="B4113" s="30">
        <v>44147</v>
      </c>
      <c r="C4113">
        <v>236.12620000000001</v>
      </c>
    </row>
    <row r="4114" spans="2:3">
      <c r="B4114" s="30">
        <v>44148</v>
      </c>
      <c r="C4114">
        <v>236.6489</v>
      </c>
    </row>
    <row r="4115" spans="2:3">
      <c r="B4115" s="30">
        <v>44151</v>
      </c>
      <c r="C4115">
        <v>236.98990000000001</v>
      </c>
    </row>
    <row r="4116" spans="2:3">
      <c r="B4116" s="30">
        <v>44152</v>
      </c>
      <c r="C4116">
        <v>237.20949999999999</v>
      </c>
    </row>
    <row r="4117" spans="2:3">
      <c r="B4117" s="30">
        <v>44153</v>
      </c>
      <c r="C4117">
        <v>236.84479999999999</v>
      </c>
    </row>
    <row r="4118" spans="2:3">
      <c r="B4118" s="30">
        <v>44154</v>
      </c>
      <c r="C4118">
        <v>237.30850000000001</v>
      </c>
    </row>
    <row r="4119" spans="2:3">
      <c r="B4119" s="30">
        <v>44155</v>
      </c>
      <c r="C4119">
        <v>237.0891</v>
      </c>
    </row>
    <row r="4120" spans="2:3">
      <c r="B4120" s="30">
        <v>44158</v>
      </c>
      <c r="C4120">
        <v>237.233</v>
      </c>
    </row>
    <row r="4121" spans="2:3">
      <c r="B4121" s="30">
        <v>44159</v>
      </c>
      <c r="C4121">
        <v>237.6789</v>
      </c>
    </row>
    <row r="4122" spans="2:3">
      <c r="B4122" s="30">
        <v>44160</v>
      </c>
      <c r="C4122">
        <v>237.46029999999999</v>
      </c>
    </row>
    <row r="4123" spans="2:3">
      <c r="B4123" s="30">
        <v>44162</v>
      </c>
      <c r="C4123">
        <v>238.13339999999999</v>
      </c>
    </row>
    <row r="4124" spans="2:3">
      <c r="B4124" s="30">
        <v>44165</v>
      </c>
      <c r="C4124">
        <v>238.1397</v>
      </c>
    </row>
    <row r="4125" spans="2:3">
      <c r="B4125" s="30">
        <v>44166</v>
      </c>
      <c r="C4125">
        <v>237.6259</v>
      </c>
    </row>
    <row r="4126" spans="2:3">
      <c r="B4126" s="30">
        <v>44167</v>
      </c>
      <c r="C4126">
        <v>237.4699</v>
      </c>
    </row>
    <row r="4127" spans="2:3">
      <c r="B4127" s="30">
        <v>44168</v>
      </c>
      <c r="C4127">
        <v>237.83930000000001</v>
      </c>
    </row>
    <row r="4128" spans="2:3">
      <c r="B4128" s="30">
        <v>44169</v>
      </c>
      <c r="C4128">
        <v>237.70580000000001</v>
      </c>
    </row>
    <row r="4129" spans="2:3">
      <c r="B4129" s="30">
        <v>44172</v>
      </c>
      <c r="C4129">
        <v>237.96379999999999</v>
      </c>
    </row>
    <row r="4130" spans="2:3">
      <c r="B4130" s="30">
        <v>44173</v>
      </c>
      <c r="C4130">
        <v>238.33590000000001</v>
      </c>
    </row>
    <row r="4131" spans="2:3">
      <c r="B4131" s="30">
        <v>44174</v>
      </c>
      <c r="C4131">
        <v>237.59610000000001</v>
      </c>
    </row>
    <row r="4132" spans="2:3">
      <c r="B4132" s="30">
        <v>44175</v>
      </c>
      <c r="C4132">
        <v>237.89009999999999</v>
      </c>
    </row>
    <row r="4133" spans="2:3">
      <c r="B4133" s="30">
        <v>44176</v>
      </c>
      <c r="C4133">
        <v>237.90379999999999</v>
      </c>
    </row>
    <row r="4134" spans="2:3">
      <c r="B4134" s="30">
        <v>44179</v>
      </c>
      <c r="C4134">
        <v>237.73050000000001</v>
      </c>
    </row>
    <row r="4135" spans="2:3">
      <c r="B4135" s="30">
        <v>44180</v>
      </c>
      <c r="C4135">
        <v>238.1156</v>
      </c>
    </row>
    <row r="4136" spans="2:3">
      <c r="B4136" s="30">
        <v>44181</v>
      </c>
      <c r="C4136">
        <v>238.2593</v>
      </c>
    </row>
    <row r="4137" spans="2:3">
      <c r="B4137" s="30">
        <v>44182</v>
      </c>
      <c r="C4137">
        <v>238.43360000000001</v>
      </c>
    </row>
    <row r="4138" spans="2:3">
      <c r="B4138" s="30">
        <v>44183</v>
      </c>
      <c r="C4138">
        <v>238.04759999999999</v>
      </c>
    </row>
    <row r="4139" spans="2:3">
      <c r="B4139" s="30">
        <v>44186</v>
      </c>
      <c r="C4139">
        <v>237.74639999999999</v>
      </c>
    </row>
    <row r="4140" spans="2:3">
      <c r="B4140" s="30">
        <v>44187</v>
      </c>
      <c r="C4140">
        <v>237.83090000000001</v>
      </c>
    </row>
    <row r="4141" spans="2:3">
      <c r="B4141" s="30">
        <v>44188</v>
      </c>
      <c r="C4141">
        <v>237.72559999999999</v>
      </c>
    </row>
    <row r="4142" spans="2:3">
      <c r="B4142" s="30">
        <v>44189</v>
      </c>
      <c r="C4142">
        <v>238.16419999999999</v>
      </c>
    </row>
    <row r="4143" spans="2:3">
      <c r="B4143" s="30">
        <v>44193</v>
      </c>
      <c r="C4143">
        <v>238.87690000000001</v>
      </c>
    </row>
    <row r="4144" spans="2:3">
      <c r="B4144" s="30">
        <v>44194</v>
      </c>
      <c r="C4144">
        <v>238.667</v>
      </c>
    </row>
    <row r="4145" spans="2:3">
      <c r="B4145" s="30">
        <v>44195</v>
      </c>
      <c r="C4145">
        <v>238.9145</v>
      </c>
    </row>
    <row r="4146" spans="2:3">
      <c r="B4146" s="30">
        <v>44196</v>
      </c>
      <c r="C4146">
        <v>239.61869999999999</v>
      </c>
    </row>
    <row r="4147" spans="2:3">
      <c r="B4147" s="30">
        <v>44200</v>
      </c>
      <c r="C4147">
        <v>238.35929999999999</v>
      </c>
    </row>
    <row r="4148" spans="2:3">
      <c r="B4148" s="30">
        <v>44201</v>
      </c>
      <c r="C4148">
        <v>238.548</v>
      </c>
    </row>
    <row r="4149" spans="2:3">
      <c r="B4149" s="30">
        <v>44202</v>
      </c>
      <c r="C4149">
        <v>238.15799999999999</v>
      </c>
    </row>
    <row r="4150" spans="2:3">
      <c r="B4150" s="30">
        <v>44203</v>
      </c>
      <c r="C4150">
        <v>239.34960000000001</v>
      </c>
    </row>
    <row r="4151" spans="2:3">
      <c r="B4151" s="30">
        <v>44204</v>
      </c>
      <c r="C4151">
        <v>239.74279999999999</v>
      </c>
    </row>
    <row r="4152" spans="2:3">
      <c r="B4152" s="30">
        <v>44207</v>
      </c>
      <c r="C4152">
        <v>238.85759999999999</v>
      </c>
    </row>
    <row r="4153" spans="2:3">
      <c r="B4153" s="30">
        <v>44208</v>
      </c>
      <c r="C4153">
        <v>238.8192</v>
      </c>
    </row>
    <row r="4154" spans="2:3">
      <c r="B4154" s="30">
        <v>44209</v>
      </c>
      <c r="C4154">
        <v>239.6123</v>
      </c>
    </row>
    <row r="4155" spans="2:3">
      <c r="B4155" s="30">
        <v>44210</v>
      </c>
      <c r="C4155">
        <v>238.95099999999999</v>
      </c>
    </row>
    <row r="4156" spans="2:3">
      <c r="B4156" s="30">
        <v>44211</v>
      </c>
      <c r="C4156">
        <v>238.2235</v>
      </c>
    </row>
    <row r="4157" spans="2:3">
      <c r="B4157" s="30">
        <v>44215</v>
      </c>
      <c r="C4157">
        <v>239.24299999999999</v>
      </c>
    </row>
    <row r="4158" spans="2:3">
      <c r="B4158" s="30">
        <v>44216</v>
      </c>
      <c r="C4158">
        <v>240.8246</v>
      </c>
    </row>
  </sheetData>
  <sortState xmlns:xlrd2="http://schemas.microsoft.com/office/spreadsheetml/2017/richdata2" ref="B2:C4158">
    <sortCondition ref="B2:B4158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9FF34-9E70-49E3-A828-124758A253B0}">
  <sheetPr codeName="Sheet17"/>
  <dimension ref="B1:P4158"/>
  <sheetViews>
    <sheetView workbookViewId="0">
      <selection activeCell="X48" sqref="X48"/>
    </sheetView>
  </sheetViews>
  <sheetFormatPr defaultColWidth="8.69140625" defaultRowHeight="14.6"/>
  <cols>
    <col min="2" max="2" width="10.69140625" style="33" bestFit="1" customWidth="1"/>
    <col min="5" max="5" width="12" bestFit="1" customWidth="1"/>
    <col min="6" max="6" width="6.69140625" bestFit="1" customWidth="1"/>
    <col min="7" max="7" width="10.69140625" bestFit="1" customWidth="1"/>
    <col min="8" max="8" width="8" customWidth="1"/>
    <col min="9" max="9" width="12.3046875" bestFit="1" customWidth="1"/>
    <col min="10" max="10" width="10.3046875" bestFit="1" customWidth="1"/>
    <col min="11" max="11" width="9.3046875" style="33"/>
    <col min="12" max="12" width="7.69140625" style="33" bestFit="1" customWidth="1"/>
  </cols>
  <sheetData>
    <row r="1" spans="2:16">
      <c r="B1" s="33" t="s">
        <v>103</v>
      </c>
      <c r="C1" t="s">
        <v>1218</v>
      </c>
      <c r="E1" t="s">
        <v>105</v>
      </c>
      <c r="F1" t="s">
        <v>102</v>
      </c>
      <c r="G1" t="s">
        <v>103</v>
      </c>
      <c r="H1" t="s">
        <v>104</v>
      </c>
      <c r="I1" s="33"/>
      <c r="J1" t="s">
        <v>106</v>
      </c>
      <c r="K1" t="s">
        <v>104</v>
      </c>
      <c r="L1" t="s">
        <v>107</v>
      </c>
      <c r="N1" t="s">
        <v>106</v>
      </c>
      <c r="O1" t="s">
        <v>104</v>
      </c>
      <c r="P1" t="s">
        <v>107</v>
      </c>
    </row>
    <row r="2" spans="2:16">
      <c r="B2" s="38">
        <v>38139</v>
      </c>
      <c r="C2">
        <v>100</v>
      </c>
      <c r="E2">
        <v>10</v>
      </c>
      <c r="F2" s="43"/>
      <c r="G2" s="30">
        <f t="shared" ref="G2:G10" si="0">DATE(YEAR(G3)-1,MONTH(G3),DAY(G3))</f>
        <v>40563</v>
      </c>
      <c r="H2">
        <f>VLOOKUP(G2,B:C,2,TRUE)</f>
        <v>152.07310000000001</v>
      </c>
      <c r="I2" s="30"/>
      <c r="J2">
        <v>1</v>
      </c>
      <c r="K2" s="33">
        <f>H2</f>
        <v>152.07310000000001</v>
      </c>
      <c r="L2" s="58">
        <f>(K3-K2)/K2</f>
        <v>4.9631394375468034E-2</v>
      </c>
      <c r="N2">
        <v>1</v>
      </c>
      <c r="O2">
        <f>K2</f>
        <v>152.07310000000001</v>
      </c>
      <c r="P2">
        <f>0</f>
        <v>0</v>
      </c>
    </row>
    <row r="3" spans="2:16">
      <c r="B3" s="38">
        <v>38140</v>
      </c>
      <c r="C3">
        <v>99.938299999999998</v>
      </c>
      <c r="E3">
        <v>9</v>
      </c>
      <c r="F3" s="43"/>
      <c r="G3" s="30">
        <f t="shared" si="0"/>
        <v>40928</v>
      </c>
      <c r="H3">
        <f t="shared" ref="H3:H12" si="1">VLOOKUP(G3,B:C,2,TRUE)</f>
        <v>159.6207</v>
      </c>
      <c r="I3" s="30"/>
      <c r="J3">
        <v>2</v>
      </c>
      <c r="K3" s="33">
        <f t="shared" ref="K3:K12" si="2">H3</f>
        <v>159.6207</v>
      </c>
      <c r="L3" s="58">
        <f t="shared" ref="L3:L66" si="3">(K4-K3)/K3</f>
        <v>6.5960116701655941E-2</v>
      </c>
      <c r="N3">
        <v>2</v>
      </c>
      <c r="O3">
        <f t="shared" ref="O3:O66" si="4">K3</f>
        <v>159.6207</v>
      </c>
      <c r="P3">
        <f>(O4-O2)/O2</f>
        <v>0.11886520364219576</v>
      </c>
    </row>
    <row r="4" spans="2:16">
      <c r="B4" s="38">
        <v>38141</v>
      </c>
      <c r="C4">
        <v>99.900099999999995</v>
      </c>
      <c r="E4">
        <v>8</v>
      </c>
      <c r="F4" s="43"/>
      <c r="G4" s="30">
        <f t="shared" si="0"/>
        <v>41294</v>
      </c>
      <c r="H4">
        <f t="shared" si="1"/>
        <v>170.14930000000001</v>
      </c>
      <c r="I4" s="30"/>
      <c r="J4">
        <v>3</v>
      </c>
      <c r="K4" s="33">
        <f t="shared" si="2"/>
        <v>170.14930000000001</v>
      </c>
      <c r="L4" s="58">
        <f t="shared" si="3"/>
        <v>6.807198148919788E-2</v>
      </c>
      <c r="N4">
        <v>3</v>
      </c>
      <c r="O4">
        <f t="shared" si="4"/>
        <v>170.14930000000001</v>
      </c>
      <c r="P4">
        <f>0</f>
        <v>0</v>
      </c>
    </row>
    <row r="5" spans="2:16">
      <c r="B5" s="38">
        <v>38142</v>
      </c>
      <c r="C5">
        <v>99.811999999999998</v>
      </c>
      <c r="E5">
        <v>7</v>
      </c>
      <c r="F5" s="43"/>
      <c r="G5" s="30">
        <f t="shared" si="0"/>
        <v>41659</v>
      </c>
      <c r="H5">
        <f t="shared" si="1"/>
        <v>181.73169999999999</v>
      </c>
      <c r="I5" s="30"/>
      <c r="J5">
        <v>4</v>
      </c>
      <c r="K5" s="33">
        <f t="shared" si="2"/>
        <v>181.73169999999999</v>
      </c>
      <c r="L5" s="58">
        <f t="shared" si="3"/>
        <v>6.3237178764079124E-2</v>
      </c>
      <c r="N5">
        <v>4</v>
      </c>
      <c r="O5">
        <f t="shared" si="4"/>
        <v>181.73169999999999</v>
      </c>
      <c r="P5">
        <f>(O6-O4)/O4</f>
        <v>0.1356138403155345</v>
      </c>
    </row>
    <row r="6" spans="2:16">
      <c r="B6" s="38">
        <v>38145</v>
      </c>
      <c r="C6">
        <v>100.2809</v>
      </c>
      <c r="E6">
        <v>6</v>
      </c>
      <c r="F6" s="43"/>
      <c r="G6" s="30">
        <f t="shared" si="0"/>
        <v>42024</v>
      </c>
      <c r="H6">
        <f t="shared" si="1"/>
        <v>193.22389999999999</v>
      </c>
      <c r="I6" s="30"/>
      <c r="J6">
        <v>5</v>
      </c>
      <c r="K6" s="33">
        <f t="shared" si="2"/>
        <v>193.22389999999999</v>
      </c>
      <c r="L6" s="58">
        <f t="shared" si="3"/>
        <v>-3.046724551155407E-2</v>
      </c>
      <c r="N6">
        <v>5</v>
      </c>
      <c r="O6">
        <f t="shared" si="4"/>
        <v>193.22389999999999</v>
      </c>
      <c r="P6">
        <f>0</f>
        <v>0</v>
      </c>
    </row>
    <row r="7" spans="2:16">
      <c r="B7" s="38">
        <v>38146</v>
      </c>
      <c r="C7">
        <v>100.3377</v>
      </c>
      <c r="E7">
        <v>5</v>
      </c>
      <c r="F7" s="43"/>
      <c r="G7" s="30">
        <f t="shared" si="0"/>
        <v>42389</v>
      </c>
      <c r="H7">
        <f t="shared" si="1"/>
        <v>187.33690000000001</v>
      </c>
      <c r="J7">
        <v>6</v>
      </c>
      <c r="K7" s="33">
        <f t="shared" si="2"/>
        <v>187.33690000000001</v>
      </c>
      <c r="L7" s="58">
        <f t="shared" si="3"/>
        <v>6.5569036319059262E-2</v>
      </c>
      <c r="N7">
        <v>6</v>
      </c>
      <c r="O7">
        <f t="shared" si="4"/>
        <v>187.33690000000001</v>
      </c>
      <c r="P7">
        <f t="shared" ref="P7" si="5">(O8-O6)/O6</f>
        <v>3.3104082880016414E-2</v>
      </c>
    </row>
    <row r="8" spans="2:16">
      <c r="B8" s="38">
        <v>38147</v>
      </c>
      <c r="C8">
        <v>99.958799999999997</v>
      </c>
      <c r="E8">
        <v>4</v>
      </c>
      <c r="F8" s="43"/>
      <c r="G8" s="30">
        <f t="shared" si="0"/>
        <v>42755</v>
      </c>
      <c r="H8">
        <f t="shared" si="1"/>
        <v>199.62039999999999</v>
      </c>
      <c r="J8">
        <v>7</v>
      </c>
      <c r="K8" s="33">
        <f t="shared" si="2"/>
        <v>199.62039999999999</v>
      </c>
      <c r="L8" s="58">
        <f t="shared" si="3"/>
        <v>0.17408240841116446</v>
      </c>
      <c r="N8">
        <v>7</v>
      </c>
      <c r="O8">
        <f t="shared" si="4"/>
        <v>199.62039999999999</v>
      </c>
      <c r="P8">
        <f>0</f>
        <v>0</v>
      </c>
    </row>
    <row r="9" spans="2:16">
      <c r="B9" s="38">
        <v>38148</v>
      </c>
      <c r="C9">
        <v>100.0889</v>
      </c>
      <c r="E9">
        <v>3</v>
      </c>
      <c r="F9" s="43"/>
      <c r="G9" s="30">
        <f t="shared" si="0"/>
        <v>43120</v>
      </c>
      <c r="H9">
        <f t="shared" si="1"/>
        <v>234.3708</v>
      </c>
      <c r="J9">
        <v>8</v>
      </c>
      <c r="K9" s="33">
        <f t="shared" si="2"/>
        <v>234.3708</v>
      </c>
      <c r="L9" s="58">
        <f t="shared" si="3"/>
        <v>-1.9671819185666482E-2</v>
      </c>
      <c r="N9">
        <v>8</v>
      </c>
      <c r="O9">
        <f t="shared" si="4"/>
        <v>234.3708</v>
      </c>
      <c r="P9">
        <f t="shared" ref="P9" si="6">(O10-O8)/O8</f>
        <v>0.15098607156382821</v>
      </c>
    </row>
    <row r="10" spans="2:16">
      <c r="B10" s="38">
        <v>38152</v>
      </c>
      <c r="C10">
        <v>99.496799999999993</v>
      </c>
      <c r="E10">
        <v>2</v>
      </c>
      <c r="F10" s="43"/>
      <c r="G10" s="30">
        <f t="shared" si="0"/>
        <v>43485</v>
      </c>
      <c r="H10">
        <f t="shared" si="1"/>
        <v>229.7603</v>
      </c>
      <c r="J10">
        <v>9</v>
      </c>
      <c r="K10" s="33">
        <f t="shared" si="2"/>
        <v>229.7603</v>
      </c>
      <c r="L10" s="58">
        <f t="shared" si="3"/>
        <v>0.15506029544703762</v>
      </c>
      <c r="N10">
        <v>9</v>
      </c>
      <c r="O10">
        <f t="shared" si="4"/>
        <v>229.7603</v>
      </c>
      <c r="P10">
        <f>0</f>
        <v>0</v>
      </c>
    </row>
    <row r="11" spans="2:16">
      <c r="B11" s="38">
        <v>38153</v>
      </c>
      <c r="C11">
        <v>100.36</v>
      </c>
      <c r="E11">
        <v>1</v>
      </c>
      <c r="F11" s="43"/>
      <c r="G11" s="30">
        <f>DATE(YEAR(G12)-1,MONTH(G12),DAY(G12))</f>
        <v>43850</v>
      </c>
      <c r="H11">
        <f t="shared" si="1"/>
        <v>265.387</v>
      </c>
      <c r="J11">
        <v>10</v>
      </c>
      <c r="K11" s="33">
        <f t="shared" si="2"/>
        <v>265.387</v>
      </c>
      <c r="L11" s="58">
        <f t="shared" si="3"/>
        <v>4.3805461458172455E-2</v>
      </c>
      <c r="N11">
        <v>10</v>
      </c>
      <c r="O11">
        <f t="shared" si="4"/>
        <v>265.387</v>
      </c>
      <c r="P11">
        <f t="shared" ref="P11" si="7">(O12-O10)/O10</f>
        <v>0.20565824470110813</v>
      </c>
    </row>
    <row r="12" spans="2:16">
      <c r="B12" s="38">
        <v>38154</v>
      </c>
      <c r="C12">
        <v>100.2418</v>
      </c>
      <c r="E12">
        <v>0</v>
      </c>
      <c r="F12" s="43"/>
      <c r="G12" s="30">
        <f>MAX(B:B)</f>
        <v>44216</v>
      </c>
      <c r="H12">
        <f t="shared" si="1"/>
        <v>277.01240000000001</v>
      </c>
      <c r="J12">
        <v>11</v>
      </c>
      <c r="K12" s="33">
        <f t="shared" si="2"/>
        <v>277.01240000000001</v>
      </c>
      <c r="L12" s="58">
        <f t="shared" si="3"/>
        <v>-0.45102421407850335</v>
      </c>
      <c r="N12">
        <v>11</v>
      </c>
      <c r="O12">
        <f t="shared" si="4"/>
        <v>277.01240000000001</v>
      </c>
      <c r="P12">
        <f>0</f>
        <v>0</v>
      </c>
    </row>
    <row r="13" spans="2:16">
      <c r="B13" s="38">
        <v>38155</v>
      </c>
      <c r="C13">
        <v>100.395</v>
      </c>
      <c r="F13" s="43"/>
      <c r="G13" s="30"/>
      <c r="J13">
        <v>12</v>
      </c>
      <c r="K13" s="33">
        <f>K2</f>
        <v>152.07310000000001</v>
      </c>
      <c r="L13" s="58">
        <f t="shared" si="3"/>
        <v>4.9631394375468034E-2</v>
      </c>
      <c r="N13">
        <v>12</v>
      </c>
      <c r="O13">
        <f t="shared" si="4"/>
        <v>152.07310000000001</v>
      </c>
      <c r="P13">
        <f t="shared" ref="P13" si="8">(O14-O12)/O12</f>
        <v>-0.42377778034485103</v>
      </c>
    </row>
    <row r="14" spans="2:16">
      <c r="B14" s="38">
        <v>38156</v>
      </c>
      <c r="C14">
        <v>100.392</v>
      </c>
      <c r="F14" s="43"/>
      <c r="G14" s="30"/>
      <c r="J14">
        <v>13</v>
      </c>
      <c r="K14" s="33">
        <f t="shared" ref="K14:K77" si="9">K3</f>
        <v>159.6207</v>
      </c>
      <c r="L14" s="58">
        <f t="shared" si="3"/>
        <v>6.5960116701655941E-2</v>
      </c>
      <c r="N14">
        <v>13</v>
      </c>
      <c r="O14">
        <f t="shared" si="4"/>
        <v>159.6207</v>
      </c>
      <c r="P14">
        <f>0</f>
        <v>0</v>
      </c>
    </row>
    <row r="15" spans="2:16">
      <c r="B15" s="38">
        <v>38159</v>
      </c>
      <c r="C15">
        <v>100.449</v>
      </c>
      <c r="J15">
        <v>14</v>
      </c>
      <c r="K15" s="33">
        <f t="shared" si="9"/>
        <v>170.14930000000001</v>
      </c>
      <c r="L15" s="58">
        <f t="shared" si="3"/>
        <v>6.807198148919788E-2</v>
      </c>
      <c r="N15">
        <v>14</v>
      </c>
      <c r="O15">
        <f t="shared" si="4"/>
        <v>170.14930000000001</v>
      </c>
      <c r="P15">
        <f t="shared" ref="P15" si="10">(O16-O14)/O14</f>
        <v>0.13852213403399427</v>
      </c>
    </row>
    <row r="16" spans="2:16">
      <c r="B16" s="38">
        <v>38160</v>
      </c>
      <c r="C16">
        <v>100.4395</v>
      </c>
      <c r="J16">
        <v>15</v>
      </c>
      <c r="K16" s="33">
        <f t="shared" si="9"/>
        <v>181.73169999999999</v>
      </c>
      <c r="L16" s="58">
        <f t="shared" si="3"/>
        <v>6.3237178764079124E-2</v>
      </c>
      <c r="N16">
        <v>15</v>
      </c>
      <c r="O16">
        <f t="shared" si="4"/>
        <v>181.73169999999999</v>
      </c>
      <c r="P16">
        <f>0</f>
        <v>0</v>
      </c>
    </row>
    <row r="17" spans="2:16">
      <c r="B17" s="38">
        <v>38161</v>
      </c>
      <c r="C17">
        <v>100.5956</v>
      </c>
      <c r="J17">
        <v>16</v>
      </c>
      <c r="K17" s="33">
        <f t="shared" si="9"/>
        <v>193.22389999999999</v>
      </c>
      <c r="L17" s="58">
        <f t="shared" si="3"/>
        <v>-3.046724551155407E-2</v>
      </c>
      <c r="N17">
        <v>16</v>
      </c>
      <c r="O17">
        <f t="shared" si="4"/>
        <v>193.22389999999999</v>
      </c>
      <c r="P17">
        <f t="shared" ref="P17" si="11">(O18-O16)/O16</f>
        <v>3.084327060166182E-2</v>
      </c>
    </row>
    <row r="18" spans="2:16">
      <c r="B18" s="38">
        <v>38162</v>
      </c>
      <c r="C18">
        <v>100.75749999999999</v>
      </c>
      <c r="J18">
        <v>17</v>
      </c>
      <c r="K18" s="33">
        <f t="shared" si="9"/>
        <v>187.33690000000001</v>
      </c>
      <c r="L18" s="58">
        <f t="shared" si="3"/>
        <v>6.5569036319059262E-2</v>
      </c>
      <c r="N18">
        <v>17</v>
      </c>
      <c r="O18">
        <f t="shared" si="4"/>
        <v>187.33690000000001</v>
      </c>
      <c r="P18">
        <f>0</f>
        <v>0</v>
      </c>
    </row>
    <row r="19" spans="2:16">
      <c r="B19" s="38">
        <v>38163</v>
      </c>
      <c r="C19">
        <v>100.6896</v>
      </c>
      <c r="J19">
        <v>18</v>
      </c>
      <c r="K19" s="33">
        <f t="shared" si="9"/>
        <v>199.62039999999999</v>
      </c>
      <c r="L19" s="58">
        <f t="shared" si="3"/>
        <v>0.17408240841116446</v>
      </c>
      <c r="N19">
        <v>18</v>
      </c>
      <c r="O19">
        <f t="shared" si="4"/>
        <v>199.62039999999999</v>
      </c>
      <c r="P19">
        <f t="shared" ref="P19" si="12">(O20-O18)/O18</f>
        <v>0.25106586048984469</v>
      </c>
    </row>
    <row r="20" spans="2:16">
      <c r="B20" s="38">
        <v>38166</v>
      </c>
      <c r="C20">
        <v>100.30840000000001</v>
      </c>
      <c r="J20">
        <v>19</v>
      </c>
      <c r="K20" s="33">
        <f t="shared" si="9"/>
        <v>234.3708</v>
      </c>
      <c r="L20" s="58">
        <f t="shared" si="3"/>
        <v>-1.9671819185666482E-2</v>
      </c>
      <c r="N20">
        <v>19</v>
      </c>
      <c r="O20">
        <f t="shared" si="4"/>
        <v>234.3708</v>
      </c>
      <c r="P20">
        <f>0</f>
        <v>0</v>
      </c>
    </row>
    <row r="21" spans="2:16">
      <c r="B21" s="38">
        <v>38167</v>
      </c>
      <c r="C21">
        <v>100.5262</v>
      </c>
      <c r="J21">
        <v>20</v>
      </c>
      <c r="K21" s="33">
        <f t="shared" si="9"/>
        <v>229.7603</v>
      </c>
      <c r="L21" s="58">
        <f t="shared" si="3"/>
        <v>0.15506029544703762</v>
      </c>
      <c r="N21">
        <v>20</v>
      </c>
      <c r="O21">
        <f t="shared" si="4"/>
        <v>229.7603</v>
      </c>
      <c r="P21">
        <f t="shared" ref="P21" si="13">(O22-O20)/O20</f>
        <v>0.132338158166461</v>
      </c>
    </row>
    <row r="22" spans="2:16">
      <c r="B22" s="38">
        <v>38168</v>
      </c>
      <c r="C22">
        <v>100.9849</v>
      </c>
      <c r="J22">
        <v>21</v>
      </c>
      <c r="K22" s="33">
        <f t="shared" si="9"/>
        <v>265.387</v>
      </c>
      <c r="L22" s="58">
        <f t="shared" si="3"/>
        <v>4.3805461458172455E-2</v>
      </c>
      <c r="N22">
        <v>21</v>
      </c>
      <c r="O22">
        <f t="shared" si="4"/>
        <v>265.387</v>
      </c>
      <c r="P22">
        <f>0</f>
        <v>0</v>
      </c>
    </row>
    <row r="23" spans="2:16">
      <c r="B23" s="38">
        <v>38169</v>
      </c>
      <c r="C23">
        <v>100.9774</v>
      </c>
      <c r="J23">
        <v>22</v>
      </c>
      <c r="K23" s="33">
        <f t="shared" si="9"/>
        <v>277.01240000000001</v>
      </c>
      <c r="L23" s="58">
        <f t="shared" si="3"/>
        <v>-0.45102421407850335</v>
      </c>
      <c r="N23">
        <v>22</v>
      </c>
      <c r="O23">
        <f t="shared" si="4"/>
        <v>277.01240000000001</v>
      </c>
      <c r="P23">
        <f t="shared" ref="P23" si="14">(O24-O22)/O22</f>
        <v>-0.42697607644684926</v>
      </c>
    </row>
    <row r="24" spans="2:16">
      <c r="B24" s="38">
        <v>38170</v>
      </c>
      <c r="C24">
        <v>101.31950000000001</v>
      </c>
      <c r="J24">
        <v>23</v>
      </c>
      <c r="K24" s="33">
        <f t="shared" si="9"/>
        <v>152.07310000000001</v>
      </c>
      <c r="L24" s="58">
        <f t="shared" si="3"/>
        <v>4.9631394375468034E-2</v>
      </c>
      <c r="N24">
        <v>23</v>
      </c>
      <c r="O24">
        <f t="shared" si="4"/>
        <v>152.07310000000001</v>
      </c>
      <c r="P24">
        <f>0</f>
        <v>0</v>
      </c>
    </row>
    <row r="25" spans="2:16">
      <c r="B25" s="38">
        <v>38174</v>
      </c>
      <c r="C25">
        <v>101.14190000000001</v>
      </c>
      <c r="J25">
        <v>24</v>
      </c>
      <c r="K25" s="33">
        <f t="shared" si="9"/>
        <v>159.6207</v>
      </c>
      <c r="L25" s="58">
        <f t="shared" si="3"/>
        <v>6.5960116701655941E-2</v>
      </c>
      <c r="N25">
        <v>24</v>
      </c>
      <c r="O25">
        <f t="shared" si="4"/>
        <v>159.6207</v>
      </c>
      <c r="P25">
        <f t="shared" ref="P25" si="15">(O26-O24)/O24</f>
        <v>0.11886520364219576</v>
      </c>
    </row>
    <row r="26" spans="2:16">
      <c r="B26" s="38">
        <v>38175</v>
      </c>
      <c r="C26">
        <v>101.1811</v>
      </c>
      <c r="J26">
        <v>25</v>
      </c>
      <c r="K26" s="33">
        <f t="shared" si="9"/>
        <v>170.14930000000001</v>
      </c>
      <c r="L26" s="58">
        <f t="shared" si="3"/>
        <v>6.807198148919788E-2</v>
      </c>
      <c r="N26">
        <v>25</v>
      </c>
      <c r="O26">
        <f t="shared" si="4"/>
        <v>170.14930000000001</v>
      </c>
      <c r="P26">
        <f>0</f>
        <v>0</v>
      </c>
    </row>
    <row r="27" spans="2:16">
      <c r="B27" s="38">
        <v>38176</v>
      </c>
      <c r="C27">
        <v>101.0564</v>
      </c>
      <c r="J27">
        <v>26</v>
      </c>
      <c r="K27" s="33">
        <f t="shared" si="9"/>
        <v>181.73169999999999</v>
      </c>
      <c r="L27" s="58">
        <f t="shared" si="3"/>
        <v>6.3237178764079124E-2</v>
      </c>
      <c r="N27">
        <v>26</v>
      </c>
      <c r="O27">
        <f t="shared" si="4"/>
        <v>181.73169999999999</v>
      </c>
      <c r="P27">
        <f t="shared" ref="P27" si="16">(O28-O26)/O26</f>
        <v>0.1356138403155345</v>
      </c>
    </row>
    <row r="28" spans="2:16">
      <c r="B28" s="38">
        <v>38177</v>
      </c>
      <c r="C28">
        <v>101.16549999999999</v>
      </c>
      <c r="J28">
        <v>27</v>
      </c>
      <c r="K28" s="33">
        <f t="shared" si="9"/>
        <v>193.22389999999999</v>
      </c>
      <c r="L28" s="58">
        <f t="shared" si="3"/>
        <v>-3.046724551155407E-2</v>
      </c>
      <c r="N28">
        <v>27</v>
      </c>
      <c r="O28">
        <f t="shared" si="4"/>
        <v>193.22389999999999</v>
      </c>
      <c r="P28">
        <f>0</f>
        <v>0</v>
      </c>
    </row>
    <row r="29" spans="2:16">
      <c r="B29" s="38">
        <v>38180</v>
      </c>
      <c r="C29">
        <v>101.2812</v>
      </c>
      <c r="J29">
        <v>28</v>
      </c>
      <c r="K29" s="33">
        <f t="shared" si="9"/>
        <v>187.33690000000001</v>
      </c>
      <c r="L29" s="58">
        <f t="shared" si="3"/>
        <v>6.5569036319059262E-2</v>
      </c>
      <c r="N29">
        <v>28</v>
      </c>
      <c r="O29">
        <f t="shared" si="4"/>
        <v>187.33690000000001</v>
      </c>
      <c r="P29">
        <f t="shared" ref="P29" si="17">(O30-O28)/O28</f>
        <v>3.3104082880016414E-2</v>
      </c>
    </row>
    <row r="30" spans="2:16">
      <c r="B30" s="38">
        <v>38181</v>
      </c>
      <c r="C30">
        <v>101.14400000000001</v>
      </c>
      <c r="J30">
        <v>29</v>
      </c>
      <c r="K30" s="33">
        <f t="shared" si="9"/>
        <v>199.62039999999999</v>
      </c>
      <c r="L30" s="58">
        <f t="shared" si="3"/>
        <v>0.17408240841116446</v>
      </c>
      <c r="N30">
        <v>29</v>
      </c>
      <c r="O30">
        <f t="shared" si="4"/>
        <v>199.62039999999999</v>
      </c>
      <c r="P30">
        <f>0</f>
        <v>0</v>
      </c>
    </row>
    <row r="31" spans="2:16">
      <c r="B31" s="38">
        <v>38182</v>
      </c>
      <c r="C31">
        <v>101.0301</v>
      </c>
      <c r="J31">
        <v>30</v>
      </c>
      <c r="K31" s="33">
        <f t="shared" si="9"/>
        <v>234.3708</v>
      </c>
      <c r="L31" s="58">
        <f t="shared" si="3"/>
        <v>-1.9671819185666482E-2</v>
      </c>
      <c r="N31">
        <v>30</v>
      </c>
      <c r="O31">
        <f t="shared" si="4"/>
        <v>234.3708</v>
      </c>
      <c r="P31">
        <f t="shared" ref="P31" si="18">(O32-O30)/O30</f>
        <v>0.15098607156382821</v>
      </c>
    </row>
    <row r="32" spans="2:16">
      <c r="B32" s="38">
        <v>38183</v>
      </c>
      <c r="C32">
        <v>100.8831</v>
      </c>
      <c r="J32">
        <v>31</v>
      </c>
      <c r="K32" s="33">
        <f t="shared" si="9"/>
        <v>229.7603</v>
      </c>
      <c r="L32" s="58">
        <f t="shared" si="3"/>
        <v>0.15506029544703762</v>
      </c>
      <c r="N32">
        <v>31</v>
      </c>
      <c r="O32">
        <f t="shared" si="4"/>
        <v>229.7603</v>
      </c>
      <c r="P32">
        <f>0</f>
        <v>0</v>
      </c>
    </row>
    <row r="33" spans="2:16">
      <c r="B33" s="38">
        <v>38184</v>
      </c>
      <c r="C33">
        <v>101.0973</v>
      </c>
      <c r="J33">
        <v>32</v>
      </c>
      <c r="K33" s="33">
        <f t="shared" si="9"/>
        <v>265.387</v>
      </c>
      <c r="L33" s="58">
        <f t="shared" si="3"/>
        <v>4.3805461458172455E-2</v>
      </c>
      <c r="N33">
        <v>32</v>
      </c>
      <c r="O33">
        <f t="shared" si="4"/>
        <v>265.387</v>
      </c>
      <c r="P33">
        <f t="shared" ref="P33" si="19">(O34-O32)/O32</f>
        <v>0.20565824470110813</v>
      </c>
    </row>
    <row r="34" spans="2:16">
      <c r="B34" s="38">
        <v>38187</v>
      </c>
      <c r="C34">
        <v>101.081</v>
      </c>
      <c r="J34">
        <v>33</v>
      </c>
      <c r="K34" s="33">
        <f t="shared" si="9"/>
        <v>277.01240000000001</v>
      </c>
      <c r="L34" s="58">
        <f t="shared" si="3"/>
        <v>-0.45102421407850335</v>
      </c>
      <c r="N34">
        <v>33</v>
      </c>
      <c r="O34">
        <f t="shared" si="4"/>
        <v>277.01240000000001</v>
      </c>
      <c r="P34">
        <f>0</f>
        <v>0</v>
      </c>
    </row>
    <row r="35" spans="2:16">
      <c r="B35" s="38">
        <v>38188</v>
      </c>
      <c r="C35">
        <v>101.1183</v>
      </c>
      <c r="J35">
        <v>34</v>
      </c>
      <c r="K35" s="33">
        <f t="shared" si="9"/>
        <v>152.07310000000001</v>
      </c>
      <c r="L35" s="58">
        <f t="shared" si="3"/>
        <v>4.9631394375468034E-2</v>
      </c>
      <c r="N35">
        <v>34</v>
      </c>
      <c r="O35">
        <f t="shared" si="4"/>
        <v>152.07310000000001</v>
      </c>
      <c r="P35">
        <f t="shared" ref="P35" si="20">(O36-O34)/O34</f>
        <v>-0.42377778034485103</v>
      </c>
    </row>
    <row r="36" spans="2:16">
      <c r="B36" s="38">
        <v>38189</v>
      </c>
      <c r="C36">
        <v>100.4913</v>
      </c>
      <c r="J36">
        <v>35</v>
      </c>
      <c r="K36" s="33">
        <f t="shared" si="9"/>
        <v>159.6207</v>
      </c>
      <c r="L36" s="58">
        <f t="shared" si="3"/>
        <v>6.5960116701655941E-2</v>
      </c>
      <c r="N36">
        <v>35</v>
      </c>
      <c r="O36">
        <f t="shared" si="4"/>
        <v>159.6207</v>
      </c>
      <c r="P36">
        <f>0</f>
        <v>0</v>
      </c>
    </row>
    <row r="37" spans="2:16">
      <c r="B37" s="38">
        <v>38190</v>
      </c>
      <c r="C37">
        <v>100.67230000000001</v>
      </c>
      <c r="J37">
        <v>36</v>
      </c>
      <c r="K37" s="33">
        <f t="shared" si="9"/>
        <v>170.14930000000001</v>
      </c>
      <c r="L37" s="58">
        <f t="shared" si="3"/>
        <v>6.807198148919788E-2</v>
      </c>
      <c r="N37">
        <v>36</v>
      </c>
      <c r="O37">
        <f t="shared" si="4"/>
        <v>170.14930000000001</v>
      </c>
      <c r="P37">
        <f t="shared" ref="P37" si="21">(O38-O36)/O36</f>
        <v>0.13852213403399427</v>
      </c>
    </row>
    <row r="38" spans="2:16">
      <c r="B38" s="38">
        <v>38191</v>
      </c>
      <c r="C38">
        <v>100.3532</v>
      </c>
      <c r="J38">
        <v>37</v>
      </c>
      <c r="K38" s="33">
        <f t="shared" si="9"/>
        <v>181.73169999999999</v>
      </c>
      <c r="L38" s="58">
        <f t="shared" si="3"/>
        <v>6.3237178764079124E-2</v>
      </c>
      <c r="N38">
        <v>37</v>
      </c>
      <c r="O38">
        <f t="shared" si="4"/>
        <v>181.73169999999999</v>
      </c>
      <c r="P38">
        <f>0</f>
        <v>0</v>
      </c>
    </row>
    <row r="39" spans="2:16">
      <c r="B39" s="38">
        <v>38194</v>
      </c>
      <c r="C39">
        <v>100.1939</v>
      </c>
      <c r="J39">
        <v>38</v>
      </c>
      <c r="K39" s="33">
        <f t="shared" si="9"/>
        <v>193.22389999999999</v>
      </c>
      <c r="L39" s="58">
        <f t="shared" si="3"/>
        <v>-3.046724551155407E-2</v>
      </c>
      <c r="N39">
        <v>38</v>
      </c>
      <c r="O39">
        <f t="shared" si="4"/>
        <v>193.22389999999999</v>
      </c>
      <c r="P39">
        <f t="shared" ref="P39" si="22">(O40-O38)/O38</f>
        <v>3.084327060166182E-2</v>
      </c>
    </row>
    <row r="40" spans="2:16">
      <c r="B40" s="38">
        <v>38195</v>
      </c>
      <c r="C40">
        <v>100.2658</v>
      </c>
      <c r="J40">
        <v>39</v>
      </c>
      <c r="K40" s="33">
        <f t="shared" si="9"/>
        <v>187.33690000000001</v>
      </c>
      <c r="L40" s="58">
        <f t="shared" si="3"/>
        <v>6.5569036319059262E-2</v>
      </c>
      <c r="N40">
        <v>39</v>
      </c>
      <c r="O40">
        <f t="shared" si="4"/>
        <v>187.33690000000001</v>
      </c>
      <c r="P40">
        <f>0</f>
        <v>0</v>
      </c>
    </row>
    <row r="41" spans="2:16">
      <c r="B41" s="38">
        <v>38196</v>
      </c>
      <c r="C41">
        <v>100.3528</v>
      </c>
      <c r="J41">
        <v>40</v>
      </c>
      <c r="K41" s="33">
        <f t="shared" si="9"/>
        <v>199.62039999999999</v>
      </c>
      <c r="L41" s="58">
        <f t="shared" si="3"/>
        <v>0.17408240841116446</v>
      </c>
      <c r="N41">
        <v>40</v>
      </c>
      <c r="O41">
        <f t="shared" si="4"/>
        <v>199.62039999999999</v>
      </c>
      <c r="P41">
        <f t="shared" ref="P41" si="23">(O42-O40)/O40</f>
        <v>0.25106586048984469</v>
      </c>
    </row>
    <row r="42" spans="2:16">
      <c r="B42" s="38">
        <v>38197</v>
      </c>
      <c r="C42">
        <v>100.6238</v>
      </c>
      <c r="J42">
        <v>41</v>
      </c>
      <c r="K42" s="33">
        <f t="shared" si="9"/>
        <v>234.3708</v>
      </c>
      <c r="L42" s="58">
        <f t="shared" si="3"/>
        <v>-1.9671819185666482E-2</v>
      </c>
      <c r="N42">
        <v>41</v>
      </c>
      <c r="O42">
        <f t="shared" si="4"/>
        <v>234.3708</v>
      </c>
      <c r="P42">
        <f>0</f>
        <v>0</v>
      </c>
    </row>
    <row r="43" spans="2:16">
      <c r="B43" s="38">
        <v>38198</v>
      </c>
      <c r="C43">
        <v>100.9282</v>
      </c>
      <c r="J43">
        <v>42</v>
      </c>
      <c r="K43" s="33">
        <f t="shared" si="9"/>
        <v>229.7603</v>
      </c>
      <c r="L43" s="58">
        <f t="shared" si="3"/>
        <v>0.15506029544703762</v>
      </c>
      <c r="N43">
        <v>42</v>
      </c>
      <c r="O43">
        <f t="shared" si="4"/>
        <v>229.7603</v>
      </c>
      <c r="P43">
        <f t="shared" ref="P43" si="24">(O44-O42)/O42</f>
        <v>0.132338158166461</v>
      </c>
    </row>
    <row r="44" spans="2:16">
      <c r="B44" s="38">
        <v>38201</v>
      </c>
      <c r="C44">
        <v>101.1767</v>
      </c>
      <c r="J44">
        <v>43</v>
      </c>
      <c r="K44" s="33">
        <f t="shared" si="9"/>
        <v>265.387</v>
      </c>
      <c r="L44" s="58">
        <f t="shared" si="3"/>
        <v>4.3805461458172455E-2</v>
      </c>
      <c r="N44">
        <v>43</v>
      </c>
      <c r="O44">
        <f t="shared" si="4"/>
        <v>265.387</v>
      </c>
      <c r="P44">
        <f>0</f>
        <v>0</v>
      </c>
    </row>
    <row r="45" spans="2:16">
      <c r="B45" s="38">
        <v>38202</v>
      </c>
      <c r="C45">
        <v>100.9849</v>
      </c>
      <c r="J45">
        <v>44</v>
      </c>
      <c r="K45" s="33">
        <f t="shared" si="9"/>
        <v>277.01240000000001</v>
      </c>
      <c r="L45" s="58">
        <f t="shared" si="3"/>
        <v>-0.45102421407850335</v>
      </c>
      <c r="N45">
        <v>44</v>
      </c>
      <c r="O45">
        <f t="shared" si="4"/>
        <v>277.01240000000001</v>
      </c>
      <c r="P45">
        <f t="shared" ref="P45" si="25">(O46-O44)/O44</f>
        <v>-0.42697607644684926</v>
      </c>
    </row>
    <row r="46" spans="2:16">
      <c r="B46" s="38">
        <v>38203</v>
      </c>
      <c r="C46">
        <v>100.93819999999999</v>
      </c>
      <c r="J46">
        <v>45</v>
      </c>
      <c r="K46" s="33">
        <f t="shared" si="9"/>
        <v>152.07310000000001</v>
      </c>
      <c r="L46" s="58">
        <f t="shared" si="3"/>
        <v>4.9631394375468034E-2</v>
      </c>
      <c r="N46">
        <v>45</v>
      </c>
      <c r="O46">
        <f t="shared" si="4"/>
        <v>152.07310000000001</v>
      </c>
      <c r="P46">
        <f>0</f>
        <v>0</v>
      </c>
    </row>
    <row r="47" spans="2:16">
      <c r="B47" s="38">
        <v>38204</v>
      </c>
      <c r="C47">
        <v>100.3223</v>
      </c>
      <c r="J47">
        <v>46</v>
      </c>
      <c r="K47" s="33">
        <f t="shared" si="9"/>
        <v>159.6207</v>
      </c>
      <c r="L47" s="58">
        <f t="shared" si="3"/>
        <v>6.5960116701655941E-2</v>
      </c>
      <c r="N47">
        <v>46</v>
      </c>
      <c r="O47">
        <f t="shared" si="4"/>
        <v>159.6207</v>
      </c>
      <c r="P47">
        <f t="shared" ref="P47" si="26">(O48-O46)/O46</f>
        <v>0.11886520364219576</v>
      </c>
    </row>
    <row r="48" spans="2:16">
      <c r="B48" s="38">
        <v>38205</v>
      </c>
      <c r="C48">
        <v>100.10339999999999</v>
      </c>
      <c r="J48">
        <v>47</v>
      </c>
      <c r="K48" s="33">
        <f t="shared" si="9"/>
        <v>170.14930000000001</v>
      </c>
      <c r="L48" s="58">
        <f t="shared" si="3"/>
        <v>6.807198148919788E-2</v>
      </c>
      <c r="N48">
        <v>47</v>
      </c>
      <c r="O48">
        <f t="shared" si="4"/>
        <v>170.14930000000001</v>
      </c>
      <c r="P48">
        <f>0</f>
        <v>0</v>
      </c>
    </row>
    <row r="49" spans="2:16">
      <c r="B49" s="38">
        <v>38208</v>
      </c>
      <c r="C49">
        <v>100.10339999999999</v>
      </c>
      <c r="J49">
        <v>48</v>
      </c>
      <c r="K49" s="33">
        <f t="shared" si="9"/>
        <v>181.73169999999999</v>
      </c>
      <c r="L49" s="58">
        <f t="shared" si="3"/>
        <v>6.3237178764079124E-2</v>
      </c>
      <c r="N49">
        <v>48</v>
      </c>
      <c r="O49">
        <f t="shared" si="4"/>
        <v>181.73169999999999</v>
      </c>
      <c r="P49">
        <f t="shared" ref="P49" si="27">(O50-O48)/O48</f>
        <v>0.1356138403155345</v>
      </c>
    </row>
    <row r="50" spans="2:16">
      <c r="B50" s="38">
        <v>38209</v>
      </c>
      <c r="C50">
        <v>100.49290000000001</v>
      </c>
      <c r="J50">
        <v>49</v>
      </c>
      <c r="K50" s="33">
        <f t="shared" si="9"/>
        <v>193.22389999999999</v>
      </c>
      <c r="L50" s="58">
        <f t="shared" si="3"/>
        <v>-3.046724551155407E-2</v>
      </c>
      <c r="N50">
        <v>49</v>
      </c>
      <c r="O50">
        <f t="shared" si="4"/>
        <v>193.22389999999999</v>
      </c>
      <c r="P50">
        <f>0</f>
        <v>0</v>
      </c>
    </row>
    <row r="51" spans="2:16">
      <c r="B51" s="38">
        <v>38210</v>
      </c>
      <c r="C51">
        <v>100.4254</v>
      </c>
      <c r="J51">
        <v>50</v>
      </c>
      <c r="K51" s="33">
        <f t="shared" si="9"/>
        <v>187.33690000000001</v>
      </c>
      <c r="L51" s="58">
        <f t="shared" si="3"/>
        <v>6.5569036319059262E-2</v>
      </c>
      <c r="N51">
        <v>50</v>
      </c>
      <c r="O51">
        <f t="shared" si="4"/>
        <v>187.33690000000001</v>
      </c>
      <c r="P51">
        <f t="shared" ref="P51" si="28">(O52-O50)/O50</f>
        <v>3.3104082880016414E-2</v>
      </c>
    </row>
    <row r="52" spans="2:16">
      <c r="B52" s="38">
        <v>38211</v>
      </c>
      <c r="C52">
        <v>100.0214</v>
      </c>
      <c r="J52">
        <v>51</v>
      </c>
      <c r="K52" s="33">
        <f t="shared" si="9"/>
        <v>199.62039999999999</v>
      </c>
      <c r="L52" s="58">
        <f t="shared" si="3"/>
        <v>0.17408240841116446</v>
      </c>
      <c r="N52">
        <v>51</v>
      </c>
      <c r="O52">
        <f t="shared" si="4"/>
        <v>199.62039999999999</v>
      </c>
      <c r="P52">
        <f>0</f>
        <v>0</v>
      </c>
    </row>
    <row r="53" spans="2:16">
      <c r="B53" s="38">
        <v>38212</v>
      </c>
      <c r="C53">
        <v>100.2039</v>
      </c>
      <c r="J53">
        <v>52</v>
      </c>
      <c r="K53" s="33">
        <f t="shared" si="9"/>
        <v>234.3708</v>
      </c>
      <c r="L53" s="58">
        <f t="shared" si="3"/>
        <v>-1.9671819185666482E-2</v>
      </c>
      <c r="N53">
        <v>52</v>
      </c>
      <c r="O53">
        <f t="shared" si="4"/>
        <v>234.3708</v>
      </c>
      <c r="P53">
        <f t="shared" ref="P53" si="29">(O54-O52)/O52</f>
        <v>0.15098607156382821</v>
      </c>
    </row>
    <row r="54" spans="2:16">
      <c r="B54" s="38">
        <v>38215</v>
      </c>
      <c r="C54">
        <v>100.70440000000001</v>
      </c>
      <c r="J54">
        <v>53</v>
      </c>
      <c r="K54" s="33">
        <f t="shared" si="9"/>
        <v>229.7603</v>
      </c>
      <c r="L54" s="58">
        <f t="shared" si="3"/>
        <v>0.15506029544703762</v>
      </c>
      <c r="N54">
        <v>53</v>
      </c>
      <c r="O54">
        <f t="shared" si="4"/>
        <v>229.7603</v>
      </c>
      <c r="P54">
        <f>0</f>
        <v>0</v>
      </c>
    </row>
    <row r="55" spans="2:16">
      <c r="B55" s="38">
        <v>38216</v>
      </c>
      <c r="C55">
        <v>100.9451</v>
      </c>
      <c r="J55">
        <v>54</v>
      </c>
      <c r="K55" s="33">
        <f t="shared" si="9"/>
        <v>265.387</v>
      </c>
      <c r="L55" s="58">
        <f t="shared" si="3"/>
        <v>4.3805461458172455E-2</v>
      </c>
      <c r="N55">
        <v>54</v>
      </c>
      <c r="O55">
        <f t="shared" si="4"/>
        <v>265.387</v>
      </c>
      <c r="P55">
        <f t="shared" ref="P55" si="30">(O56-O54)/O54</f>
        <v>0.20565824470110813</v>
      </c>
    </row>
    <row r="56" spans="2:16">
      <c r="B56" s="38">
        <v>38217</v>
      </c>
      <c r="C56">
        <v>101.4315</v>
      </c>
      <c r="J56">
        <v>55</v>
      </c>
      <c r="K56" s="33">
        <f t="shared" si="9"/>
        <v>277.01240000000001</v>
      </c>
      <c r="L56" s="58">
        <f t="shared" si="3"/>
        <v>-0.45102421407850335</v>
      </c>
      <c r="N56">
        <v>55</v>
      </c>
      <c r="O56">
        <f t="shared" si="4"/>
        <v>277.01240000000001</v>
      </c>
      <c r="P56">
        <f>0</f>
        <v>0</v>
      </c>
    </row>
    <row r="57" spans="2:16">
      <c r="B57" s="38">
        <v>38218</v>
      </c>
      <c r="C57">
        <v>101.3403</v>
      </c>
      <c r="J57">
        <v>56</v>
      </c>
      <c r="K57" s="33">
        <f t="shared" si="9"/>
        <v>152.07310000000001</v>
      </c>
      <c r="L57" s="58">
        <f t="shared" si="3"/>
        <v>4.9631394375468034E-2</v>
      </c>
      <c r="N57">
        <v>56</v>
      </c>
      <c r="O57">
        <f t="shared" si="4"/>
        <v>152.07310000000001</v>
      </c>
      <c r="P57">
        <f t="shared" ref="P57" si="31">(O58-O56)/O56</f>
        <v>-0.42377778034485103</v>
      </c>
    </row>
    <row r="58" spans="2:16">
      <c r="B58" s="38">
        <v>38219</v>
      </c>
      <c r="C58">
        <v>101.56019999999999</v>
      </c>
      <c r="J58">
        <v>57</v>
      </c>
      <c r="K58" s="33">
        <f t="shared" si="9"/>
        <v>159.6207</v>
      </c>
      <c r="L58" s="58">
        <f t="shared" si="3"/>
        <v>6.5960116701655941E-2</v>
      </c>
      <c r="N58">
        <v>57</v>
      </c>
      <c r="O58">
        <f t="shared" si="4"/>
        <v>159.6207</v>
      </c>
      <c r="P58">
        <f>0</f>
        <v>0</v>
      </c>
    </row>
    <row r="59" spans="2:16">
      <c r="B59" s="38">
        <v>38222</v>
      </c>
      <c r="C59">
        <v>101.36750000000001</v>
      </c>
      <c r="J59">
        <v>58</v>
      </c>
      <c r="K59" s="33">
        <f t="shared" si="9"/>
        <v>170.14930000000001</v>
      </c>
      <c r="L59" s="58">
        <f t="shared" si="3"/>
        <v>6.807198148919788E-2</v>
      </c>
      <c r="N59">
        <v>58</v>
      </c>
      <c r="O59">
        <f t="shared" si="4"/>
        <v>170.14930000000001</v>
      </c>
      <c r="P59">
        <f t="shared" ref="P59" si="32">(O60-O58)/O58</f>
        <v>0.13852213403399427</v>
      </c>
    </row>
    <row r="60" spans="2:16">
      <c r="B60" s="38">
        <v>38223</v>
      </c>
      <c r="C60">
        <v>101.3963</v>
      </c>
      <c r="J60">
        <v>59</v>
      </c>
      <c r="K60" s="33">
        <f t="shared" si="9"/>
        <v>181.73169999999999</v>
      </c>
      <c r="L60" s="58">
        <f t="shared" si="3"/>
        <v>6.3237178764079124E-2</v>
      </c>
      <c r="N60">
        <v>59</v>
      </c>
      <c r="O60">
        <f t="shared" si="4"/>
        <v>181.73169999999999</v>
      </c>
      <c r="P60">
        <f>0</f>
        <v>0</v>
      </c>
    </row>
    <row r="61" spans="2:16">
      <c r="B61" s="38">
        <v>38224</v>
      </c>
      <c r="C61">
        <v>101.77849999999999</v>
      </c>
      <c r="J61">
        <v>60</v>
      </c>
      <c r="K61" s="33">
        <f t="shared" si="9"/>
        <v>193.22389999999999</v>
      </c>
      <c r="L61" s="58">
        <f t="shared" si="3"/>
        <v>-3.046724551155407E-2</v>
      </c>
      <c r="N61">
        <v>60</v>
      </c>
      <c r="O61">
        <f t="shared" si="4"/>
        <v>193.22389999999999</v>
      </c>
      <c r="P61">
        <f t="shared" ref="P61" si="33">(O62-O60)/O60</f>
        <v>3.084327060166182E-2</v>
      </c>
    </row>
    <row r="62" spans="2:16">
      <c r="B62" s="38">
        <v>38225</v>
      </c>
      <c r="C62">
        <v>101.8583</v>
      </c>
      <c r="J62">
        <v>61</v>
      </c>
      <c r="K62" s="33">
        <f t="shared" si="9"/>
        <v>187.33690000000001</v>
      </c>
      <c r="L62" s="58">
        <f t="shared" si="3"/>
        <v>6.5569036319059262E-2</v>
      </c>
      <c r="N62">
        <v>61</v>
      </c>
      <c r="O62">
        <f t="shared" si="4"/>
        <v>187.33690000000001</v>
      </c>
      <c r="P62">
        <f>0</f>
        <v>0</v>
      </c>
    </row>
    <row r="63" spans="2:16">
      <c r="B63" s="38">
        <v>38226</v>
      </c>
      <c r="C63">
        <v>101.9622</v>
      </c>
      <c r="J63">
        <v>62</v>
      </c>
      <c r="K63" s="33">
        <f t="shared" si="9"/>
        <v>199.62039999999999</v>
      </c>
      <c r="L63" s="58">
        <f t="shared" si="3"/>
        <v>0.17408240841116446</v>
      </c>
      <c r="N63">
        <v>62</v>
      </c>
      <c r="O63">
        <f t="shared" si="4"/>
        <v>199.62039999999999</v>
      </c>
      <c r="P63">
        <f t="shared" ref="P63" si="34">(O64-O62)/O62</f>
        <v>0.25106586048984469</v>
      </c>
    </row>
    <row r="64" spans="2:16">
      <c r="B64" s="38">
        <v>38229</v>
      </c>
      <c r="C64">
        <v>101.7316</v>
      </c>
      <c r="J64">
        <v>63</v>
      </c>
      <c r="K64" s="33">
        <f t="shared" si="9"/>
        <v>234.3708</v>
      </c>
      <c r="L64" s="58">
        <f t="shared" si="3"/>
        <v>-1.9671819185666482E-2</v>
      </c>
      <c r="N64">
        <v>63</v>
      </c>
      <c r="O64">
        <f t="shared" si="4"/>
        <v>234.3708</v>
      </c>
      <c r="P64">
        <f>0</f>
        <v>0</v>
      </c>
    </row>
    <row r="65" spans="2:16">
      <c r="B65" s="38">
        <v>38230</v>
      </c>
      <c r="C65">
        <v>102.0899</v>
      </c>
      <c r="J65">
        <v>64</v>
      </c>
      <c r="K65" s="33">
        <f t="shared" si="9"/>
        <v>229.7603</v>
      </c>
      <c r="L65" s="58">
        <f t="shared" si="3"/>
        <v>0.15506029544703762</v>
      </c>
      <c r="N65">
        <v>64</v>
      </c>
      <c r="O65">
        <f t="shared" si="4"/>
        <v>229.7603</v>
      </c>
      <c r="P65">
        <f t="shared" ref="P65" si="35">(O66-O64)/O64</f>
        <v>0.132338158166461</v>
      </c>
    </row>
    <row r="66" spans="2:16">
      <c r="B66" s="38">
        <v>38231</v>
      </c>
      <c r="C66">
        <v>102.176</v>
      </c>
      <c r="J66">
        <v>65</v>
      </c>
      <c r="K66" s="33">
        <f t="shared" si="9"/>
        <v>265.387</v>
      </c>
      <c r="L66" s="58">
        <f t="shared" si="3"/>
        <v>4.3805461458172455E-2</v>
      </c>
      <c r="N66">
        <v>65</v>
      </c>
      <c r="O66">
        <f t="shared" si="4"/>
        <v>265.387</v>
      </c>
      <c r="P66">
        <f>0</f>
        <v>0</v>
      </c>
    </row>
    <row r="67" spans="2:16">
      <c r="B67" s="38">
        <v>38232</v>
      </c>
      <c r="C67">
        <v>102.4905</v>
      </c>
      <c r="J67">
        <v>66</v>
      </c>
      <c r="K67" s="33">
        <f t="shared" si="9"/>
        <v>277.01240000000001</v>
      </c>
      <c r="L67" s="58">
        <f t="shared" ref="L67:L104" si="36">(K68-K67)/K67</f>
        <v>-0.45102421407850335</v>
      </c>
      <c r="N67">
        <v>66</v>
      </c>
      <c r="O67">
        <f t="shared" ref="O67:O104" si="37">K67</f>
        <v>277.01240000000001</v>
      </c>
      <c r="P67">
        <f t="shared" ref="P67" si="38">(O68-O66)/O66</f>
        <v>-0.42697607644684926</v>
      </c>
    </row>
    <row r="68" spans="2:16">
      <c r="B68" s="38">
        <v>38233</v>
      </c>
      <c r="C68">
        <v>102.04510000000001</v>
      </c>
      <c r="J68">
        <v>67</v>
      </c>
      <c r="K68" s="33">
        <f t="shared" si="9"/>
        <v>152.07310000000001</v>
      </c>
      <c r="L68" s="58">
        <f t="shared" si="36"/>
        <v>4.9631394375468034E-2</v>
      </c>
      <c r="N68">
        <v>67</v>
      </c>
      <c r="O68">
        <f t="shared" si="37"/>
        <v>152.07310000000001</v>
      </c>
      <c r="P68">
        <f>0</f>
        <v>0</v>
      </c>
    </row>
    <row r="69" spans="2:16">
      <c r="B69" s="38">
        <v>38237</v>
      </c>
      <c r="C69">
        <v>102.512</v>
      </c>
      <c r="J69">
        <v>68</v>
      </c>
      <c r="K69" s="33">
        <f t="shared" si="9"/>
        <v>159.6207</v>
      </c>
      <c r="L69" s="58">
        <f t="shared" si="36"/>
        <v>6.5960116701655941E-2</v>
      </c>
      <c r="N69">
        <v>68</v>
      </c>
      <c r="O69">
        <f t="shared" si="37"/>
        <v>159.6207</v>
      </c>
      <c r="P69">
        <f t="shared" ref="P69" si="39">(O70-O68)/O68</f>
        <v>0.11886520364219576</v>
      </c>
    </row>
    <row r="70" spans="2:16">
      <c r="B70" s="38">
        <v>38238</v>
      </c>
      <c r="C70">
        <v>102.5091</v>
      </c>
      <c r="J70">
        <v>69</v>
      </c>
      <c r="K70" s="33">
        <f t="shared" si="9"/>
        <v>170.14930000000001</v>
      </c>
      <c r="L70" s="58">
        <f t="shared" si="36"/>
        <v>6.807198148919788E-2</v>
      </c>
      <c r="N70">
        <v>69</v>
      </c>
      <c r="O70">
        <f t="shared" si="37"/>
        <v>170.14930000000001</v>
      </c>
      <c r="P70">
        <f>0</f>
        <v>0</v>
      </c>
    </row>
    <row r="71" spans="2:16">
      <c r="B71" s="38">
        <v>38239</v>
      </c>
      <c r="C71">
        <v>102.5467</v>
      </c>
      <c r="J71">
        <v>70</v>
      </c>
      <c r="K71" s="33">
        <f t="shared" si="9"/>
        <v>181.73169999999999</v>
      </c>
      <c r="L71" s="58">
        <f t="shared" si="36"/>
        <v>6.3237178764079124E-2</v>
      </c>
      <c r="N71">
        <v>70</v>
      </c>
      <c r="O71">
        <f t="shared" si="37"/>
        <v>181.73169999999999</v>
      </c>
      <c r="P71">
        <f t="shared" ref="P71" si="40">(O72-O70)/O70</f>
        <v>0.1356138403155345</v>
      </c>
    </row>
    <row r="72" spans="2:16">
      <c r="B72" s="38">
        <v>38240</v>
      </c>
      <c r="C72">
        <v>102.8355</v>
      </c>
      <c r="J72">
        <v>71</v>
      </c>
      <c r="K72" s="33">
        <f t="shared" si="9"/>
        <v>193.22389999999999</v>
      </c>
      <c r="L72" s="58">
        <f t="shared" si="36"/>
        <v>-3.046724551155407E-2</v>
      </c>
      <c r="N72">
        <v>71</v>
      </c>
      <c r="O72">
        <f t="shared" si="37"/>
        <v>193.22389999999999</v>
      </c>
      <c r="P72">
        <f>0</f>
        <v>0</v>
      </c>
    </row>
    <row r="73" spans="2:16">
      <c r="B73" s="38">
        <v>38243</v>
      </c>
      <c r="C73">
        <v>102.9936</v>
      </c>
      <c r="J73">
        <v>72</v>
      </c>
      <c r="K73" s="33">
        <f t="shared" si="9"/>
        <v>187.33690000000001</v>
      </c>
      <c r="L73" s="58">
        <f t="shared" si="36"/>
        <v>6.5569036319059262E-2</v>
      </c>
      <c r="N73">
        <v>72</v>
      </c>
      <c r="O73">
        <f t="shared" si="37"/>
        <v>187.33690000000001</v>
      </c>
      <c r="P73">
        <f t="shared" ref="P73" si="41">(O74-O72)/O72</f>
        <v>3.3104082880016414E-2</v>
      </c>
    </row>
    <row r="74" spans="2:16">
      <c r="B74" s="38">
        <v>38244</v>
      </c>
      <c r="C74">
        <v>103.1837</v>
      </c>
      <c r="J74">
        <v>73</v>
      </c>
      <c r="K74" s="33">
        <f t="shared" si="9"/>
        <v>199.62039999999999</v>
      </c>
      <c r="L74" s="58">
        <f t="shared" si="36"/>
        <v>0.17408240841116446</v>
      </c>
      <c r="N74">
        <v>73</v>
      </c>
      <c r="O74">
        <f t="shared" si="37"/>
        <v>199.62039999999999</v>
      </c>
      <c r="P74">
        <f>0</f>
        <v>0</v>
      </c>
    </row>
    <row r="75" spans="2:16">
      <c r="B75" s="38">
        <v>38245</v>
      </c>
      <c r="C75">
        <v>102.76300000000001</v>
      </c>
      <c r="J75">
        <v>74</v>
      </c>
      <c r="K75" s="33">
        <f t="shared" si="9"/>
        <v>234.3708</v>
      </c>
      <c r="L75" s="58">
        <f t="shared" si="36"/>
        <v>-1.9671819185666482E-2</v>
      </c>
      <c r="N75">
        <v>74</v>
      </c>
      <c r="O75">
        <f t="shared" si="37"/>
        <v>234.3708</v>
      </c>
      <c r="P75">
        <f t="shared" ref="P75" si="42">(O76-O74)/O74</f>
        <v>0.15098607156382821</v>
      </c>
    </row>
    <row r="76" spans="2:16">
      <c r="B76" s="38">
        <v>38246</v>
      </c>
      <c r="C76">
        <v>103.1236</v>
      </c>
      <c r="J76">
        <v>75</v>
      </c>
      <c r="K76" s="33">
        <f t="shared" si="9"/>
        <v>229.7603</v>
      </c>
      <c r="L76" s="58">
        <f t="shared" si="36"/>
        <v>0.15506029544703762</v>
      </c>
      <c r="N76">
        <v>75</v>
      </c>
      <c r="O76">
        <f t="shared" si="37"/>
        <v>229.7603</v>
      </c>
      <c r="P76">
        <f>0</f>
        <v>0</v>
      </c>
    </row>
    <row r="77" spans="2:16">
      <c r="B77" s="38">
        <v>38247</v>
      </c>
      <c r="C77">
        <v>103.1816</v>
      </c>
      <c r="J77">
        <v>76</v>
      </c>
      <c r="K77" s="33">
        <f t="shared" si="9"/>
        <v>265.387</v>
      </c>
      <c r="L77" s="58">
        <f t="shared" si="36"/>
        <v>4.3805461458172455E-2</v>
      </c>
      <c r="N77">
        <v>76</v>
      </c>
      <c r="O77">
        <f t="shared" si="37"/>
        <v>265.387</v>
      </c>
      <c r="P77">
        <f t="shared" ref="P77" si="43">(O78-O76)/O76</f>
        <v>0.20565824470110813</v>
      </c>
    </row>
    <row r="78" spans="2:16">
      <c r="B78" s="38">
        <v>38250</v>
      </c>
      <c r="C78">
        <v>103.10039999999999</v>
      </c>
      <c r="J78">
        <v>77</v>
      </c>
      <c r="K78" s="33">
        <f t="shared" ref="K78:K104" si="44">K67</f>
        <v>277.01240000000001</v>
      </c>
      <c r="L78" s="58">
        <f t="shared" si="36"/>
        <v>-0.45102421407850335</v>
      </c>
      <c r="N78">
        <v>77</v>
      </c>
      <c r="O78">
        <f t="shared" si="37"/>
        <v>277.01240000000001</v>
      </c>
      <c r="P78">
        <f>0</f>
        <v>0</v>
      </c>
    </row>
    <row r="79" spans="2:16">
      <c r="B79" s="38">
        <v>38251</v>
      </c>
      <c r="C79">
        <v>103.43819999999999</v>
      </c>
      <c r="J79">
        <v>78</v>
      </c>
      <c r="K79" s="33">
        <f t="shared" si="44"/>
        <v>152.07310000000001</v>
      </c>
      <c r="L79" s="58">
        <f t="shared" si="36"/>
        <v>4.9631394375468034E-2</v>
      </c>
      <c r="N79">
        <v>78</v>
      </c>
      <c r="O79">
        <f t="shared" si="37"/>
        <v>152.07310000000001</v>
      </c>
      <c r="P79">
        <f t="shared" ref="P79" si="45">(O80-O78)/O78</f>
        <v>-0.42377778034485103</v>
      </c>
    </row>
    <row r="80" spans="2:16">
      <c r="B80" s="38">
        <v>38252</v>
      </c>
      <c r="C80">
        <v>102.8169</v>
      </c>
      <c r="J80">
        <v>79</v>
      </c>
      <c r="K80" s="33">
        <f t="shared" si="44"/>
        <v>159.6207</v>
      </c>
      <c r="L80" s="58">
        <f t="shared" si="36"/>
        <v>6.5960116701655941E-2</v>
      </c>
      <c r="N80">
        <v>79</v>
      </c>
      <c r="O80">
        <f t="shared" si="37"/>
        <v>159.6207</v>
      </c>
      <c r="P80">
        <f>0</f>
        <v>0</v>
      </c>
    </row>
    <row r="81" spans="2:16">
      <c r="B81" s="38">
        <v>38253</v>
      </c>
      <c r="C81">
        <v>102.489</v>
      </c>
      <c r="J81">
        <v>80</v>
      </c>
      <c r="K81" s="33">
        <f t="shared" si="44"/>
        <v>170.14930000000001</v>
      </c>
      <c r="L81" s="58">
        <f t="shared" si="36"/>
        <v>6.807198148919788E-2</v>
      </c>
      <c r="N81">
        <v>80</v>
      </c>
      <c r="O81">
        <f t="shared" si="37"/>
        <v>170.14930000000001</v>
      </c>
      <c r="P81">
        <f t="shared" ref="P81" si="46">(O82-O80)/O80</f>
        <v>0.13852213403399427</v>
      </c>
    </row>
    <row r="82" spans="2:16">
      <c r="B82" s="38">
        <v>38254</v>
      </c>
      <c r="C82">
        <v>102.53440000000001</v>
      </c>
      <c r="J82">
        <v>81</v>
      </c>
      <c r="K82" s="33">
        <f t="shared" si="44"/>
        <v>181.73169999999999</v>
      </c>
      <c r="L82" s="58">
        <f t="shared" si="36"/>
        <v>6.3237178764079124E-2</v>
      </c>
      <c r="N82">
        <v>81</v>
      </c>
      <c r="O82">
        <f t="shared" si="37"/>
        <v>181.73169999999999</v>
      </c>
      <c r="P82">
        <f>0</f>
        <v>0</v>
      </c>
    </row>
    <row r="83" spans="2:16">
      <c r="B83" s="38">
        <v>38257</v>
      </c>
      <c r="C83">
        <v>102.3323</v>
      </c>
      <c r="J83">
        <v>82</v>
      </c>
      <c r="K83" s="33">
        <f t="shared" si="44"/>
        <v>193.22389999999999</v>
      </c>
      <c r="L83" s="58">
        <f t="shared" si="36"/>
        <v>-3.046724551155407E-2</v>
      </c>
      <c r="N83">
        <v>82</v>
      </c>
      <c r="O83">
        <f t="shared" si="37"/>
        <v>193.22389999999999</v>
      </c>
      <c r="P83">
        <f t="shared" ref="P83" si="47">(O84-O82)/O82</f>
        <v>3.084327060166182E-2</v>
      </c>
    </row>
    <row r="84" spans="2:16">
      <c r="B84" s="38">
        <v>38258</v>
      </c>
      <c r="C84">
        <v>102.5949</v>
      </c>
      <c r="J84">
        <v>83</v>
      </c>
      <c r="K84" s="33">
        <f t="shared" si="44"/>
        <v>187.33690000000001</v>
      </c>
      <c r="L84" s="58">
        <f t="shared" si="36"/>
        <v>6.5569036319059262E-2</v>
      </c>
      <c r="N84">
        <v>83</v>
      </c>
      <c r="O84">
        <f t="shared" si="37"/>
        <v>187.33690000000001</v>
      </c>
      <c r="P84">
        <f>0</f>
        <v>0</v>
      </c>
    </row>
    <row r="85" spans="2:16">
      <c r="B85" s="38">
        <v>38259</v>
      </c>
      <c r="C85">
        <v>102.6323</v>
      </c>
      <c r="J85">
        <v>84</v>
      </c>
      <c r="K85" s="33">
        <f t="shared" si="44"/>
        <v>199.62039999999999</v>
      </c>
      <c r="L85" s="58">
        <f t="shared" si="36"/>
        <v>0.17408240841116446</v>
      </c>
      <c r="N85">
        <v>84</v>
      </c>
      <c r="O85">
        <f t="shared" si="37"/>
        <v>199.62039999999999</v>
      </c>
      <c r="P85">
        <f t="shared" ref="P85" si="48">(O86-O84)/O84</f>
        <v>0.25106586048984469</v>
      </c>
    </row>
    <row r="86" spans="2:16">
      <c r="B86" s="38">
        <v>38260</v>
      </c>
      <c r="C86">
        <v>102.57680000000001</v>
      </c>
      <c r="J86">
        <v>85</v>
      </c>
      <c r="K86" s="33">
        <f t="shared" si="44"/>
        <v>234.3708</v>
      </c>
      <c r="L86" s="58">
        <f t="shared" si="36"/>
        <v>-1.9671819185666482E-2</v>
      </c>
      <c r="N86">
        <v>85</v>
      </c>
      <c r="O86">
        <f t="shared" si="37"/>
        <v>234.3708</v>
      </c>
      <c r="P86">
        <f>0</f>
        <v>0</v>
      </c>
    </row>
    <row r="87" spans="2:16">
      <c r="B87" s="38">
        <v>38261</v>
      </c>
      <c r="C87">
        <v>103.1682</v>
      </c>
      <c r="J87">
        <v>86</v>
      </c>
      <c r="K87" s="33">
        <f t="shared" si="44"/>
        <v>229.7603</v>
      </c>
      <c r="L87" s="58">
        <f t="shared" si="36"/>
        <v>0.15506029544703762</v>
      </c>
      <c r="N87">
        <v>86</v>
      </c>
      <c r="O87">
        <f t="shared" si="37"/>
        <v>229.7603</v>
      </c>
      <c r="P87">
        <f t="shared" ref="P87" si="49">(O88-O86)/O86</f>
        <v>0.132338158166461</v>
      </c>
    </row>
    <row r="88" spans="2:16">
      <c r="B88" s="38">
        <v>38264</v>
      </c>
      <c r="C88">
        <v>103.3746</v>
      </c>
      <c r="J88">
        <v>87</v>
      </c>
      <c r="K88" s="33">
        <f t="shared" si="44"/>
        <v>265.387</v>
      </c>
      <c r="L88" s="58">
        <f t="shared" si="36"/>
        <v>4.3805461458172455E-2</v>
      </c>
      <c r="N88">
        <v>87</v>
      </c>
      <c r="O88">
        <f t="shared" si="37"/>
        <v>265.387</v>
      </c>
      <c r="P88">
        <f>0</f>
        <v>0</v>
      </c>
    </row>
    <row r="89" spans="2:16">
      <c r="B89" s="38">
        <v>38265</v>
      </c>
      <c r="C89">
        <v>103.35469999999999</v>
      </c>
      <c r="J89">
        <v>88</v>
      </c>
      <c r="K89" s="33">
        <f t="shared" si="44"/>
        <v>277.01240000000001</v>
      </c>
      <c r="L89" s="58">
        <f t="shared" si="36"/>
        <v>-0.45102421407850335</v>
      </c>
      <c r="N89">
        <v>88</v>
      </c>
      <c r="O89">
        <f t="shared" si="37"/>
        <v>277.01240000000001</v>
      </c>
      <c r="P89">
        <f t="shared" ref="P89" si="50">(O90-O88)/O88</f>
        <v>-0.42697607644684926</v>
      </c>
    </row>
    <row r="90" spans="2:16">
      <c r="B90" s="38">
        <v>38266</v>
      </c>
      <c r="C90">
        <v>103.5917</v>
      </c>
      <c r="J90">
        <v>89</v>
      </c>
      <c r="K90" s="33">
        <f t="shared" si="44"/>
        <v>152.07310000000001</v>
      </c>
      <c r="L90" s="58">
        <f t="shared" si="36"/>
        <v>4.9631394375468034E-2</v>
      </c>
      <c r="N90">
        <v>89</v>
      </c>
      <c r="O90">
        <f t="shared" si="37"/>
        <v>152.07310000000001</v>
      </c>
      <c r="P90">
        <f>0</f>
        <v>0</v>
      </c>
    </row>
    <row r="91" spans="2:16">
      <c r="B91" s="38">
        <v>38267</v>
      </c>
      <c r="C91">
        <v>103.0433</v>
      </c>
      <c r="J91">
        <v>90</v>
      </c>
      <c r="K91" s="33">
        <f t="shared" si="44"/>
        <v>159.6207</v>
      </c>
      <c r="L91" s="58">
        <f t="shared" si="36"/>
        <v>6.5960116701655941E-2</v>
      </c>
      <c r="N91">
        <v>90</v>
      </c>
      <c r="O91">
        <f t="shared" si="37"/>
        <v>159.6207</v>
      </c>
      <c r="P91">
        <f t="shared" ref="P91" si="51">(O92-O90)/O90</f>
        <v>0.11886520364219576</v>
      </c>
    </row>
    <row r="92" spans="2:16">
      <c r="B92" s="38">
        <v>38268</v>
      </c>
      <c r="C92">
        <v>102.9336</v>
      </c>
      <c r="J92">
        <v>91</v>
      </c>
      <c r="K92" s="33">
        <f t="shared" si="44"/>
        <v>170.14930000000001</v>
      </c>
      <c r="L92" s="58">
        <f t="shared" si="36"/>
        <v>6.807198148919788E-2</v>
      </c>
      <c r="N92">
        <v>91</v>
      </c>
      <c r="O92">
        <f t="shared" si="37"/>
        <v>170.14930000000001</v>
      </c>
      <c r="P92">
        <f>0</f>
        <v>0</v>
      </c>
    </row>
    <row r="93" spans="2:16">
      <c r="B93" s="38">
        <v>38272</v>
      </c>
      <c r="C93">
        <v>103.00749999999999</v>
      </c>
      <c r="J93">
        <v>92</v>
      </c>
      <c r="K93" s="33">
        <f t="shared" si="44"/>
        <v>181.73169999999999</v>
      </c>
      <c r="L93" s="58">
        <f t="shared" si="36"/>
        <v>6.3237178764079124E-2</v>
      </c>
      <c r="N93">
        <v>92</v>
      </c>
      <c r="O93">
        <f t="shared" si="37"/>
        <v>181.73169999999999</v>
      </c>
      <c r="P93">
        <f t="shared" ref="P93" si="52">(O94-O92)/O92</f>
        <v>0.1356138403155345</v>
      </c>
    </row>
    <row r="94" spans="2:16">
      <c r="B94" s="38">
        <v>38273</v>
      </c>
      <c r="C94">
        <v>102.7259</v>
      </c>
      <c r="J94">
        <v>93</v>
      </c>
      <c r="K94" s="33">
        <f t="shared" si="44"/>
        <v>193.22389999999999</v>
      </c>
      <c r="L94" s="58">
        <f t="shared" si="36"/>
        <v>-3.046724551155407E-2</v>
      </c>
      <c r="N94">
        <v>93</v>
      </c>
      <c r="O94">
        <f t="shared" si="37"/>
        <v>193.22389999999999</v>
      </c>
      <c r="P94">
        <f>0</f>
        <v>0</v>
      </c>
    </row>
    <row r="95" spans="2:16">
      <c r="B95" s="38">
        <v>38274</v>
      </c>
      <c r="C95">
        <v>102.4076</v>
      </c>
      <c r="J95">
        <v>94</v>
      </c>
      <c r="K95" s="33">
        <f t="shared" si="44"/>
        <v>187.33690000000001</v>
      </c>
      <c r="L95" s="58">
        <f t="shared" si="36"/>
        <v>6.5569036319059262E-2</v>
      </c>
      <c r="N95">
        <v>94</v>
      </c>
      <c r="O95">
        <f t="shared" si="37"/>
        <v>187.33690000000001</v>
      </c>
      <c r="P95">
        <f t="shared" ref="P95" si="53">(O96-O94)/O94</f>
        <v>3.3104082880016414E-2</v>
      </c>
    </row>
    <row r="96" spans="2:16">
      <c r="B96" s="38">
        <v>38275</v>
      </c>
      <c r="C96">
        <v>102.53</v>
      </c>
      <c r="J96">
        <v>95</v>
      </c>
      <c r="K96" s="33">
        <f t="shared" si="44"/>
        <v>199.62039999999999</v>
      </c>
      <c r="L96" s="58">
        <f t="shared" si="36"/>
        <v>0.17408240841116446</v>
      </c>
      <c r="N96">
        <v>95</v>
      </c>
      <c r="O96">
        <f t="shared" si="37"/>
        <v>199.62039999999999</v>
      </c>
      <c r="P96">
        <f>0</f>
        <v>0</v>
      </c>
    </row>
    <row r="97" spans="2:16">
      <c r="B97" s="38">
        <v>38278</v>
      </c>
      <c r="C97">
        <v>102.7993</v>
      </c>
      <c r="J97">
        <v>96</v>
      </c>
      <c r="K97" s="33">
        <f t="shared" si="44"/>
        <v>234.3708</v>
      </c>
      <c r="L97" s="58">
        <f t="shared" si="36"/>
        <v>-1.9671819185666482E-2</v>
      </c>
      <c r="N97">
        <v>96</v>
      </c>
      <c r="O97">
        <f t="shared" si="37"/>
        <v>234.3708</v>
      </c>
      <c r="P97">
        <f t="shared" ref="P97" si="54">(O98-O96)/O96</f>
        <v>0.15098607156382821</v>
      </c>
    </row>
    <row r="98" spans="2:16">
      <c r="B98" s="38">
        <v>38279</v>
      </c>
      <c r="C98">
        <v>102.3426</v>
      </c>
      <c r="J98">
        <v>97</v>
      </c>
      <c r="K98" s="33">
        <f t="shared" si="44"/>
        <v>229.7603</v>
      </c>
      <c r="L98" s="58">
        <f t="shared" si="36"/>
        <v>0.15506029544703762</v>
      </c>
      <c r="N98">
        <v>97</v>
      </c>
      <c r="O98">
        <f t="shared" si="37"/>
        <v>229.7603</v>
      </c>
      <c r="P98">
        <f>0</f>
        <v>0</v>
      </c>
    </row>
    <row r="99" spans="2:16">
      <c r="B99" s="38">
        <v>38280</v>
      </c>
      <c r="C99">
        <v>102.4679</v>
      </c>
      <c r="J99">
        <v>98</v>
      </c>
      <c r="K99" s="33">
        <f t="shared" si="44"/>
        <v>265.387</v>
      </c>
      <c r="L99" s="58">
        <f t="shared" si="36"/>
        <v>4.3805461458172455E-2</v>
      </c>
      <c r="N99">
        <v>98</v>
      </c>
      <c r="O99">
        <f t="shared" si="37"/>
        <v>265.387</v>
      </c>
      <c r="P99">
        <f t="shared" ref="P99" si="55">(O100-O98)/O98</f>
        <v>0.20565824470110813</v>
      </c>
    </row>
    <row r="100" spans="2:16">
      <c r="B100" s="38">
        <v>38281</v>
      </c>
      <c r="C100">
        <v>102.57080000000001</v>
      </c>
      <c r="J100">
        <v>99</v>
      </c>
      <c r="K100" s="33">
        <f t="shared" si="44"/>
        <v>277.01240000000001</v>
      </c>
      <c r="L100" s="58">
        <f t="shared" si="36"/>
        <v>-0.45102421407850335</v>
      </c>
      <c r="N100">
        <v>99</v>
      </c>
      <c r="O100">
        <f t="shared" si="37"/>
        <v>277.01240000000001</v>
      </c>
      <c r="P100">
        <f>0</f>
        <v>0</v>
      </c>
    </row>
    <row r="101" spans="2:16">
      <c r="B101" s="38">
        <v>38282</v>
      </c>
      <c r="C101">
        <v>102.1289</v>
      </c>
      <c r="J101">
        <v>100</v>
      </c>
      <c r="K101" s="33">
        <f t="shared" si="44"/>
        <v>152.07310000000001</v>
      </c>
      <c r="L101" s="58">
        <f t="shared" si="36"/>
        <v>4.9631394375468034E-2</v>
      </c>
      <c r="N101">
        <v>100</v>
      </c>
      <c r="O101">
        <f t="shared" si="37"/>
        <v>152.07310000000001</v>
      </c>
      <c r="P101">
        <f t="shared" ref="P101" si="56">(O102-O100)/O100</f>
        <v>-0.42377778034485103</v>
      </c>
    </row>
    <row r="102" spans="2:16">
      <c r="B102" s="38">
        <v>38285</v>
      </c>
      <c r="C102">
        <v>102.11879999999999</v>
      </c>
      <c r="J102">
        <v>101</v>
      </c>
      <c r="K102" s="33">
        <f t="shared" si="44"/>
        <v>159.6207</v>
      </c>
      <c r="L102" s="58">
        <f t="shared" si="36"/>
        <v>6.5960116701655941E-2</v>
      </c>
      <c r="N102">
        <v>101</v>
      </c>
      <c r="O102">
        <f t="shared" si="37"/>
        <v>159.6207</v>
      </c>
      <c r="P102">
        <f>0</f>
        <v>0</v>
      </c>
    </row>
    <row r="103" spans="2:16">
      <c r="B103" s="38">
        <v>38286</v>
      </c>
      <c r="C103">
        <v>102.85760000000001</v>
      </c>
      <c r="J103">
        <v>102</v>
      </c>
      <c r="K103" s="33">
        <f t="shared" si="44"/>
        <v>170.14930000000001</v>
      </c>
      <c r="L103" s="58">
        <f t="shared" si="36"/>
        <v>6.807198148919788E-2</v>
      </c>
      <c r="N103">
        <v>102</v>
      </c>
      <c r="O103">
        <f t="shared" si="37"/>
        <v>170.14930000000001</v>
      </c>
      <c r="P103">
        <f t="shared" ref="P103" si="57">(O104-O102)/O102</f>
        <v>0.13852213403399427</v>
      </c>
    </row>
    <row r="104" spans="2:16">
      <c r="B104" s="38">
        <v>38287</v>
      </c>
      <c r="C104">
        <v>103.33750000000001</v>
      </c>
      <c r="J104">
        <v>103</v>
      </c>
      <c r="K104" s="33">
        <f t="shared" si="44"/>
        <v>181.73169999999999</v>
      </c>
      <c r="L104" s="58">
        <f t="shared" si="36"/>
        <v>-1</v>
      </c>
      <c r="N104">
        <v>103</v>
      </c>
      <c r="O104">
        <f t="shared" si="37"/>
        <v>181.73169999999999</v>
      </c>
      <c r="P104">
        <f>0</f>
        <v>0</v>
      </c>
    </row>
    <row r="105" spans="2:16">
      <c r="B105" s="38">
        <v>38288</v>
      </c>
      <c r="C105">
        <v>103.4581</v>
      </c>
    </row>
    <row r="106" spans="2:16">
      <c r="B106" s="38">
        <v>38289</v>
      </c>
      <c r="C106">
        <v>103.7067</v>
      </c>
    </row>
    <row r="107" spans="2:16">
      <c r="B107" s="38">
        <v>38292</v>
      </c>
      <c r="C107">
        <v>103.5744</v>
      </c>
    </row>
    <row r="108" spans="2:16">
      <c r="B108" s="38">
        <v>38293</v>
      </c>
      <c r="C108">
        <v>103.61799999999999</v>
      </c>
    </row>
    <row r="109" spans="2:16">
      <c r="B109" s="38">
        <v>38294</v>
      </c>
      <c r="C109">
        <v>104.21120000000001</v>
      </c>
    </row>
    <row r="110" spans="2:16">
      <c r="B110" s="38">
        <v>38295</v>
      </c>
      <c r="C110">
        <v>105.0322</v>
      </c>
    </row>
    <row r="111" spans="2:16">
      <c r="B111" s="38">
        <v>38296</v>
      </c>
      <c r="C111">
        <v>104.9389</v>
      </c>
    </row>
    <row r="112" spans="2:16">
      <c r="B112" s="38">
        <v>38299</v>
      </c>
      <c r="C112">
        <v>104.8518</v>
      </c>
    </row>
    <row r="113" spans="2:3">
      <c r="B113" s="38">
        <v>38300</v>
      </c>
      <c r="C113">
        <v>104.82510000000001</v>
      </c>
    </row>
    <row r="114" spans="2:3">
      <c r="B114" s="38">
        <v>38301</v>
      </c>
      <c r="C114">
        <v>104.6943</v>
      </c>
    </row>
    <row r="115" spans="2:3">
      <c r="B115" s="38">
        <v>38303</v>
      </c>
      <c r="C115">
        <v>105.6707</v>
      </c>
    </row>
    <row r="116" spans="2:3">
      <c r="B116" s="38">
        <v>38306</v>
      </c>
      <c r="C116">
        <v>105.6764</v>
      </c>
    </row>
    <row r="117" spans="2:3">
      <c r="B117" s="38">
        <v>38307</v>
      </c>
      <c r="C117">
        <v>105.3202</v>
      </c>
    </row>
    <row r="118" spans="2:3">
      <c r="B118" s="38">
        <v>38308</v>
      </c>
      <c r="C118">
        <v>105.75369999999999</v>
      </c>
    </row>
    <row r="119" spans="2:3">
      <c r="B119" s="38">
        <v>38309</v>
      </c>
      <c r="C119">
        <v>105.8878</v>
      </c>
    </row>
    <row r="120" spans="2:3">
      <c r="B120" s="38">
        <v>38310</v>
      </c>
      <c r="C120">
        <v>105.2034</v>
      </c>
    </row>
    <row r="121" spans="2:3">
      <c r="B121" s="38">
        <v>38313</v>
      </c>
      <c r="C121">
        <v>105.5733</v>
      </c>
    </row>
    <row r="122" spans="2:3">
      <c r="B122" s="38">
        <v>38314</v>
      </c>
      <c r="C122">
        <v>105.5411</v>
      </c>
    </row>
    <row r="123" spans="2:3">
      <c r="B123" s="38">
        <v>38315</v>
      </c>
      <c r="C123">
        <v>105.6824</v>
      </c>
    </row>
    <row r="124" spans="2:3">
      <c r="B124" s="38">
        <v>38317</v>
      </c>
      <c r="C124">
        <v>105.6217</v>
      </c>
    </row>
    <row r="125" spans="2:3">
      <c r="B125" s="38">
        <v>38320</v>
      </c>
      <c r="C125">
        <v>105.294</v>
      </c>
    </row>
    <row r="126" spans="2:3">
      <c r="B126" s="38">
        <v>38321</v>
      </c>
      <c r="C126">
        <v>105.0804</v>
      </c>
    </row>
    <row r="127" spans="2:3">
      <c r="B127" s="38">
        <v>38322</v>
      </c>
      <c r="C127">
        <v>105.77670000000001</v>
      </c>
    </row>
    <row r="128" spans="2:3">
      <c r="B128" s="38">
        <v>38323</v>
      </c>
      <c r="C128">
        <v>105.66800000000001</v>
      </c>
    </row>
    <row r="129" spans="2:3">
      <c r="B129" s="38">
        <v>38324</v>
      </c>
      <c r="C129">
        <v>106.06189999999999</v>
      </c>
    </row>
    <row r="130" spans="2:3">
      <c r="B130" s="38">
        <v>38327</v>
      </c>
      <c r="C130">
        <v>106.1443</v>
      </c>
    </row>
    <row r="131" spans="2:3">
      <c r="B131" s="38">
        <v>38328</v>
      </c>
      <c r="C131">
        <v>105.6832</v>
      </c>
    </row>
    <row r="132" spans="2:3">
      <c r="B132" s="38">
        <v>38329</v>
      </c>
      <c r="C132">
        <v>106.1142</v>
      </c>
    </row>
    <row r="133" spans="2:3">
      <c r="B133" s="38">
        <v>38330</v>
      </c>
      <c r="C133">
        <v>106.2743</v>
      </c>
    </row>
    <row r="134" spans="2:3">
      <c r="B134" s="38">
        <v>38331</v>
      </c>
      <c r="C134">
        <v>106.24160000000001</v>
      </c>
    </row>
    <row r="135" spans="2:3">
      <c r="B135" s="38">
        <v>38334</v>
      </c>
      <c r="C135">
        <v>106.64530000000001</v>
      </c>
    </row>
    <row r="136" spans="2:3">
      <c r="B136" s="38">
        <v>38335</v>
      </c>
      <c r="C136">
        <v>106.8608</v>
      </c>
    </row>
    <row r="137" spans="2:3">
      <c r="B137" s="38">
        <v>38336</v>
      </c>
      <c r="C137">
        <v>107.0877</v>
      </c>
    </row>
    <row r="138" spans="2:3">
      <c r="B138" s="38">
        <v>38337</v>
      </c>
      <c r="C138">
        <v>106.72969999999999</v>
      </c>
    </row>
    <row r="139" spans="2:3">
      <c r="B139" s="38">
        <v>38338</v>
      </c>
      <c r="C139">
        <v>106.3426</v>
      </c>
    </row>
    <row r="140" spans="2:3">
      <c r="B140" s="38">
        <v>38341</v>
      </c>
      <c r="C140">
        <v>106.3927</v>
      </c>
    </row>
    <row r="141" spans="2:3">
      <c r="B141" s="38">
        <v>38342</v>
      </c>
      <c r="C141">
        <v>106.8511</v>
      </c>
    </row>
    <row r="142" spans="2:3">
      <c r="B142" s="38">
        <v>38343</v>
      </c>
      <c r="C142">
        <v>106.94329999999999</v>
      </c>
    </row>
    <row r="143" spans="2:3">
      <c r="B143" s="38">
        <v>38344</v>
      </c>
      <c r="C143">
        <v>106.9295</v>
      </c>
    </row>
    <row r="144" spans="2:3">
      <c r="B144" s="38">
        <v>38348</v>
      </c>
      <c r="C144">
        <v>106.5851</v>
      </c>
    </row>
    <row r="145" spans="2:3">
      <c r="B145" s="38">
        <v>38349</v>
      </c>
      <c r="C145">
        <v>106.9255</v>
      </c>
    </row>
    <row r="146" spans="2:3">
      <c r="B146" s="38">
        <v>38350</v>
      </c>
      <c r="C146">
        <v>106.86</v>
      </c>
    </row>
    <row r="147" spans="2:3">
      <c r="B147" s="38">
        <v>38351</v>
      </c>
      <c r="C147">
        <v>107.0119</v>
      </c>
    </row>
    <row r="148" spans="2:3">
      <c r="B148" s="38">
        <v>38352</v>
      </c>
      <c r="C148">
        <v>107.0836</v>
      </c>
    </row>
    <row r="149" spans="2:3">
      <c r="B149" s="38">
        <v>38355</v>
      </c>
      <c r="C149">
        <v>106.7257</v>
      </c>
    </row>
    <row r="150" spans="2:3">
      <c r="B150" s="38">
        <v>38356</v>
      </c>
      <c r="C150">
        <v>106.0162</v>
      </c>
    </row>
    <row r="151" spans="2:3">
      <c r="B151" s="38">
        <v>38357</v>
      </c>
      <c r="C151">
        <v>105.837</v>
      </c>
    </row>
    <row r="152" spans="2:3">
      <c r="B152" s="38">
        <v>38358</v>
      </c>
      <c r="C152">
        <v>106.0361</v>
      </c>
    </row>
    <row r="153" spans="2:3">
      <c r="B153" s="38">
        <v>38359</v>
      </c>
      <c r="C153">
        <v>105.9503</v>
      </c>
    </row>
    <row r="154" spans="2:3">
      <c r="B154" s="38">
        <v>38362</v>
      </c>
      <c r="C154">
        <v>106.13630000000001</v>
      </c>
    </row>
    <row r="155" spans="2:3">
      <c r="B155" s="38">
        <v>38363</v>
      </c>
      <c r="C155">
        <v>105.9387</v>
      </c>
    </row>
    <row r="156" spans="2:3">
      <c r="B156" s="38">
        <v>38364</v>
      </c>
      <c r="C156">
        <v>106.1769</v>
      </c>
    </row>
    <row r="157" spans="2:3">
      <c r="B157" s="38">
        <v>38365</v>
      </c>
      <c r="C157">
        <v>105.8588</v>
      </c>
    </row>
    <row r="158" spans="2:3">
      <c r="B158" s="38">
        <v>38366</v>
      </c>
      <c r="C158">
        <v>106.09</v>
      </c>
    </row>
    <row r="159" spans="2:3">
      <c r="B159" s="38">
        <v>38370</v>
      </c>
      <c r="C159">
        <v>106.63120000000001</v>
      </c>
    </row>
    <row r="160" spans="2:3">
      <c r="B160" s="38">
        <v>38371</v>
      </c>
      <c r="C160">
        <v>106.1758</v>
      </c>
    </row>
    <row r="161" spans="2:3">
      <c r="B161" s="38">
        <v>38372</v>
      </c>
      <c r="C161">
        <v>105.8716</v>
      </c>
    </row>
    <row r="162" spans="2:3">
      <c r="B162" s="38">
        <v>38373</v>
      </c>
      <c r="C162">
        <v>105.6116</v>
      </c>
    </row>
    <row r="163" spans="2:3">
      <c r="B163" s="38">
        <v>38376</v>
      </c>
      <c r="C163">
        <v>105.4585</v>
      </c>
    </row>
    <row r="164" spans="2:3">
      <c r="B164" s="38">
        <v>38377</v>
      </c>
      <c r="C164">
        <v>105.5523</v>
      </c>
    </row>
    <row r="165" spans="2:3">
      <c r="B165" s="38">
        <v>38378</v>
      </c>
      <c r="C165">
        <v>105.7792</v>
      </c>
    </row>
    <row r="166" spans="2:3">
      <c r="B166" s="38">
        <v>38379</v>
      </c>
      <c r="C166">
        <v>105.7872</v>
      </c>
    </row>
    <row r="167" spans="2:3">
      <c r="B167" s="38">
        <v>38380</v>
      </c>
      <c r="C167">
        <v>105.7683</v>
      </c>
    </row>
    <row r="168" spans="2:3">
      <c r="B168" s="38">
        <v>38383</v>
      </c>
      <c r="C168">
        <v>106.2379</v>
      </c>
    </row>
    <row r="169" spans="2:3">
      <c r="B169" s="38">
        <v>38384</v>
      </c>
      <c r="C169">
        <v>106.5915</v>
      </c>
    </row>
    <row r="170" spans="2:3">
      <c r="B170" s="38">
        <v>38385</v>
      </c>
      <c r="C170">
        <v>106.7642</v>
      </c>
    </row>
    <row r="171" spans="2:3">
      <c r="B171" s="38">
        <v>38386</v>
      </c>
      <c r="C171">
        <v>106.5831</v>
      </c>
    </row>
    <row r="172" spans="2:3">
      <c r="B172" s="38">
        <v>38387</v>
      </c>
      <c r="C172">
        <v>107.3775</v>
      </c>
    </row>
    <row r="173" spans="2:3">
      <c r="B173" s="38">
        <v>38390</v>
      </c>
      <c r="C173">
        <v>107.3685</v>
      </c>
    </row>
    <row r="174" spans="2:3">
      <c r="B174" s="38">
        <v>38391</v>
      </c>
      <c r="C174">
        <v>107.4158</v>
      </c>
    </row>
    <row r="175" spans="2:3">
      <c r="B175" s="38">
        <v>38392</v>
      </c>
      <c r="C175">
        <v>107.1187</v>
      </c>
    </row>
    <row r="176" spans="2:3">
      <c r="B176" s="38">
        <v>38393</v>
      </c>
      <c r="C176">
        <v>107.1553</v>
      </c>
    </row>
    <row r="177" spans="2:3">
      <c r="B177" s="38">
        <v>38394</v>
      </c>
      <c r="C177">
        <v>107.44240000000001</v>
      </c>
    </row>
    <row r="178" spans="2:3">
      <c r="B178" s="38">
        <v>38397</v>
      </c>
      <c r="C178">
        <v>107.5244</v>
      </c>
    </row>
    <row r="179" spans="2:3">
      <c r="B179" s="38">
        <v>38398</v>
      </c>
      <c r="C179">
        <v>107.6474</v>
      </c>
    </row>
    <row r="180" spans="2:3">
      <c r="B180" s="38">
        <v>38399</v>
      </c>
      <c r="C180">
        <v>107.5551</v>
      </c>
    </row>
    <row r="181" spans="2:3">
      <c r="B181" s="38">
        <v>38400</v>
      </c>
      <c r="C181">
        <v>107.0722</v>
      </c>
    </row>
    <row r="182" spans="2:3">
      <c r="B182" s="38">
        <v>38401</v>
      </c>
      <c r="C182">
        <v>106.9657</v>
      </c>
    </row>
    <row r="183" spans="2:3">
      <c r="B183" s="38">
        <v>38405</v>
      </c>
      <c r="C183">
        <v>106.0831</v>
      </c>
    </row>
    <row r="184" spans="2:3">
      <c r="B184" s="38">
        <v>38406</v>
      </c>
      <c r="C184">
        <v>106.44759999999999</v>
      </c>
    </row>
    <row r="185" spans="2:3">
      <c r="B185" s="38">
        <v>38407</v>
      </c>
      <c r="C185">
        <v>106.846</v>
      </c>
    </row>
    <row r="186" spans="2:3">
      <c r="B186" s="38">
        <v>38408</v>
      </c>
      <c r="C186">
        <v>107.3428</v>
      </c>
    </row>
    <row r="187" spans="2:3">
      <c r="B187" s="38">
        <v>38411</v>
      </c>
      <c r="C187">
        <v>106.8184</v>
      </c>
    </row>
    <row r="188" spans="2:3">
      <c r="B188" s="38">
        <v>38412</v>
      </c>
      <c r="C188">
        <v>107.05710000000001</v>
      </c>
    </row>
    <row r="189" spans="2:3">
      <c r="B189" s="38">
        <v>38413</v>
      </c>
      <c r="C189">
        <v>107.0539</v>
      </c>
    </row>
    <row r="190" spans="2:3">
      <c r="B190" s="38">
        <v>38414</v>
      </c>
      <c r="C190">
        <v>107.0681</v>
      </c>
    </row>
    <row r="191" spans="2:3">
      <c r="B191" s="38">
        <v>38415</v>
      </c>
      <c r="C191">
        <v>107.7556</v>
      </c>
    </row>
    <row r="192" spans="2:3">
      <c r="B192" s="38">
        <v>38418</v>
      </c>
      <c r="C192">
        <v>107.93640000000001</v>
      </c>
    </row>
    <row r="193" spans="2:3">
      <c r="B193" s="38">
        <v>38419</v>
      </c>
      <c r="C193">
        <v>107.53019999999999</v>
      </c>
    </row>
    <row r="194" spans="2:3">
      <c r="B194" s="38">
        <v>38420</v>
      </c>
      <c r="C194">
        <v>106.67749999999999</v>
      </c>
    </row>
    <row r="195" spans="2:3">
      <c r="B195" s="38">
        <v>38421</v>
      </c>
      <c r="C195">
        <v>106.8879</v>
      </c>
    </row>
    <row r="196" spans="2:3">
      <c r="B196" s="38">
        <v>38422</v>
      </c>
      <c r="C196">
        <v>106.3373</v>
      </c>
    </row>
    <row r="197" spans="2:3">
      <c r="B197" s="38">
        <v>38425</v>
      </c>
      <c r="C197">
        <v>106.628</v>
      </c>
    </row>
    <row r="198" spans="2:3">
      <c r="B198" s="38">
        <v>38426</v>
      </c>
      <c r="C198">
        <v>106.2612</v>
      </c>
    </row>
    <row r="199" spans="2:3">
      <c r="B199" s="38">
        <v>38427</v>
      </c>
      <c r="C199">
        <v>105.9726</v>
      </c>
    </row>
    <row r="200" spans="2:3">
      <c r="B200" s="38">
        <v>38428</v>
      </c>
      <c r="C200">
        <v>106.1931</v>
      </c>
    </row>
    <row r="201" spans="2:3">
      <c r="B201" s="38">
        <v>38429</v>
      </c>
      <c r="C201">
        <v>106.0916</v>
      </c>
    </row>
    <row r="202" spans="2:3">
      <c r="B202" s="38">
        <v>38432</v>
      </c>
      <c r="C202">
        <v>105.8702</v>
      </c>
    </row>
    <row r="203" spans="2:3">
      <c r="B203" s="38">
        <v>38433</v>
      </c>
      <c r="C203">
        <v>105.20359999999999</v>
      </c>
    </row>
    <row r="204" spans="2:3">
      <c r="B204" s="38">
        <v>38434</v>
      </c>
      <c r="C204">
        <v>105.1982</v>
      </c>
    </row>
    <row r="205" spans="2:3">
      <c r="B205" s="38">
        <v>38435</v>
      </c>
      <c r="C205">
        <v>105.236</v>
      </c>
    </row>
    <row r="206" spans="2:3">
      <c r="B206" s="38">
        <v>38439</v>
      </c>
      <c r="C206">
        <v>105.2452</v>
      </c>
    </row>
    <row r="207" spans="2:3">
      <c r="B207" s="38">
        <v>38440</v>
      </c>
      <c r="C207">
        <v>105.0317</v>
      </c>
    </row>
    <row r="208" spans="2:3">
      <c r="B208" s="38">
        <v>38441</v>
      </c>
      <c r="C208">
        <v>105.70189999999999</v>
      </c>
    </row>
    <row r="209" spans="2:3">
      <c r="B209" s="38">
        <v>38442</v>
      </c>
      <c r="C209">
        <v>105.86799999999999</v>
      </c>
    </row>
    <row r="210" spans="2:3">
      <c r="B210" s="38">
        <v>38443</v>
      </c>
      <c r="C210">
        <v>105.7347</v>
      </c>
    </row>
    <row r="211" spans="2:3">
      <c r="B211" s="38">
        <v>38446</v>
      </c>
      <c r="C211">
        <v>105.8446</v>
      </c>
    </row>
    <row r="212" spans="2:3">
      <c r="B212" s="38">
        <v>38447</v>
      </c>
      <c r="C212">
        <v>105.9739</v>
      </c>
    </row>
    <row r="213" spans="2:3">
      <c r="B213" s="38">
        <v>38448</v>
      </c>
      <c r="C213">
        <v>106.163</v>
      </c>
    </row>
    <row r="214" spans="2:3">
      <c r="B214" s="38">
        <v>38449</v>
      </c>
      <c r="C214">
        <v>106.31740000000001</v>
      </c>
    </row>
    <row r="215" spans="2:3">
      <c r="B215" s="38">
        <v>38450</v>
      </c>
      <c r="C215">
        <v>105.86960000000001</v>
      </c>
    </row>
    <row r="216" spans="2:3">
      <c r="B216" s="38">
        <v>38453</v>
      </c>
      <c r="C216">
        <v>105.99339999999999</v>
      </c>
    </row>
    <row r="217" spans="2:3">
      <c r="B217" s="38">
        <v>38454</v>
      </c>
      <c r="C217">
        <v>106.46810000000001</v>
      </c>
    </row>
    <row r="218" spans="2:3">
      <c r="B218" s="38">
        <v>38455</v>
      </c>
      <c r="C218">
        <v>106.0035</v>
      </c>
    </row>
    <row r="219" spans="2:3">
      <c r="B219" s="38">
        <v>38456</v>
      </c>
      <c r="C219">
        <v>105.6356</v>
      </c>
    </row>
    <row r="220" spans="2:3">
      <c r="B220" s="38">
        <v>38457</v>
      </c>
      <c r="C220">
        <v>105.25060000000001</v>
      </c>
    </row>
    <row r="221" spans="2:3">
      <c r="B221" s="38">
        <v>38460</v>
      </c>
      <c r="C221">
        <v>105.4537</v>
      </c>
    </row>
    <row r="222" spans="2:3">
      <c r="B222" s="38">
        <v>38461</v>
      </c>
      <c r="C222">
        <v>105.8887</v>
      </c>
    </row>
    <row r="223" spans="2:3">
      <c r="B223" s="38">
        <v>38462</v>
      </c>
      <c r="C223">
        <v>105.3828</v>
      </c>
    </row>
    <row r="224" spans="2:3">
      <c r="B224" s="38">
        <v>38463</v>
      </c>
      <c r="C224">
        <v>105.7957</v>
      </c>
    </row>
    <row r="225" spans="2:3">
      <c r="B225" s="38">
        <v>38464</v>
      </c>
      <c r="C225">
        <v>105.67919999999999</v>
      </c>
    </row>
    <row r="226" spans="2:3">
      <c r="B226" s="38">
        <v>38467</v>
      </c>
      <c r="C226">
        <v>105.9691</v>
      </c>
    </row>
    <row r="227" spans="2:3">
      <c r="B227" s="38">
        <v>38468</v>
      </c>
      <c r="C227">
        <v>105.6729</v>
      </c>
    </row>
    <row r="228" spans="2:3">
      <c r="B228" s="38">
        <v>38469</v>
      </c>
      <c r="C228">
        <v>105.8528</v>
      </c>
    </row>
    <row r="229" spans="2:3">
      <c r="B229" s="38">
        <v>38470</v>
      </c>
      <c r="C229">
        <v>105.7029</v>
      </c>
    </row>
    <row r="230" spans="2:3">
      <c r="B230" s="38">
        <v>38471</v>
      </c>
      <c r="C230">
        <v>105.96420000000001</v>
      </c>
    </row>
    <row r="231" spans="2:3">
      <c r="B231" s="38">
        <v>38474</v>
      </c>
      <c r="C231">
        <v>106.1447</v>
      </c>
    </row>
    <row r="232" spans="2:3">
      <c r="B232" s="38">
        <v>38475</v>
      </c>
      <c r="C232">
        <v>106.0903</v>
      </c>
    </row>
    <row r="233" spans="2:3">
      <c r="B233" s="38">
        <v>38476</v>
      </c>
      <c r="C233">
        <v>106.5835</v>
      </c>
    </row>
    <row r="234" spans="2:3">
      <c r="B234" s="38">
        <v>38477</v>
      </c>
      <c r="C234">
        <v>106.56910000000001</v>
      </c>
    </row>
    <row r="235" spans="2:3">
      <c r="B235" s="38">
        <v>38478</v>
      </c>
      <c r="C235">
        <v>106.1841</v>
      </c>
    </row>
    <row r="236" spans="2:3">
      <c r="B236" s="38">
        <v>38481</v>
      </c>
      <c r="C236">
        <v>106.3426</v>
      </c>
    </row>
    <row r="237" spans="2:3">
      <c r="B237" s="38">
        <v>38482</v>
      </c>
      <c r="C237">
        <v>106.1006</v>
      </c>
    </row>
    <row r="238" spans="2:3">
      <c r="B238" s="38">
        <v>38483</v>
      </c>
      <c r="C238">
        <v>106.2704</v>
      </c>
    </row>
    <row r="239" spans="2:3">
      <c r="B239" s="38">
        <v>38484</v>
      </c>
      <c r="C239">
        <v>106.02379999999999</v>
      </c>
    </row>
    <row r="240" spans="2:3">
      <c r="B240" s="38">
        <v>38485</v>
      </c>
      <c r="C240">
        <v>106.00660000000001</v>
      </c>
    </row>
    <row r="241" spans="2:3">
      <c r="B241" s="38">
        <v>38488</v>
      </c>
      <c r="C241">
        <v>106.3548</v>
      </c>
    </row>
    <row r="242" spans="2:3">
      <c r="B242" s="38">
        <v>38489</v>
      </c>
      <c r="C242">
        <v>106.5977</v>
      </c>
    </row>
    <row r="243" spans="2:3">
      <c r="B243" s="38">
        <v>38490</v>
      </c>
      <c r="C243">
        <v>107.1648</v>
      </c>
    </row>
    <row r="244" spans="2:3">
      <c r="B244" s="38">
        <v>38491</v>
      </c>
      <c r="C244">
        <v>107.3064</v>
      </c>
    </row>
    <row r="245" spans="2:3">
      <c r="B245" s="38">
        <v>38492</v>
      </c>
      <c r="C245">
        <v>107.182</v>
      </c>
    </row>
    <row r="246" spans="2:3">
      <c r="B246" s="38">
        <v>38495</v>
      </c>
      <c r="C246">
        <v>107.5436</v>
      </c>
    </row>
    <row r="247" spans="2:3">
      <c r="B247" s="38">
        <v>38496</v>
      </c>
      <c r="C247">
        <v>107.65349999999999</v>
      </c>
    </row>
    <row r="248" spans="2:3">
      <c r="B248" s="38">
        <v>38497</v>
      </c>
      <c r="C248">
        <v>107.4919</v>
      </c>
    </row>
    <row r="249" spans="2:3">
      <c r="B249" s="38">
        <v>38498</v>
      </c>
      <c r="C249">
        <v>107.7693</v>
      </c>
    </row>
    <row r="250" spans="2:3">
      <c r="B250" s="38">
        <v>38499</v>
      </c>
      <c r="C250">
        <v>107.8252</v>
      </c>
    </row>
    <row r="251" spans="2:3">
      <c r="B251" s="38">
        <v>38503</v>
      </c>
      <c r="C251">
        <v>107.7792</v>
      </c>
    </row>
    <row r="252" spans="2:3">
      <c r="B252" s="38">
        <v>38504</v>
      </c>
      <c r="C252">
        <v>108.45489999999999</v>
      </c>
    </row>
    <row r="253" spans="2:3">
      <c r="B253" s="38">
        <v>38505</v>
      </c>
      <c r="C253">
        <v>108.5693</v>
      </c>
    </row>
    <row r="254" spans="2:3">
      <c r="B254" s="38">
        <v>38506</v>
      </c>
      <c r="C254">
        <v>108.0583</v>
      </c>
    </row>
    <row r="255" spans="2:3">
      <c r="B255" s="38">
        <v>38509</v>
      </c>
      <c r="C255">
        <v>108.1652</v>
      </c>
    </row>
    <row r="256" spans="2:3">
      <c r="B256" s="38">
        <v>38510</v>
      </c>
      <c r="C256">
        <v>108.31229999999999</v>
      </c>
    </row>
    <row r="257" spans="2:3">
      <c r="B257" s="38">
        <v>38511</v>
      </c>
      <c r="C257">
        <v>108.13290000000001</v>
      </c>
    </row>
    <row r="258" spans="2:3">
      <c r="B258" s="38">
        <v>38512</v>
      </c>
      <c r="C258">
        <v>108.27370000000001</v>
      </c>
    </row>
    <row r="259" spans="2:3">
      <c r="B259" s="38">
        <v>38513</v>
      </c>
      <c r="C259">
        <v>107.94840000000001</v>
      </c>
    </row>
    <row r="260" spans="2:3">
      <c r="B260" s="38">
        <v>38516</v>
      </c>
      <c r="C260">
        <v>107.97199999999999</v>
      </c>
    </row>
    <row r="261" spans="2:3">
      <c r="B261" s="38">
        <v>38517</v>
      </c>
      <c r="C261">
        <v>108.0072</v>
      </c>
    </row>
    <row r="262" spans="2:3">
      <c r="B262" s="38">
        <v>38518</v>
      </c>
      <c r="C262">
        <v>108.1185</v>
      </c>
    </row>
    <row r="263" spans="2:3">
      <c r="B263" s="38">
        <v>38519</v>
      </c>
      <c r="C263">
        <v>108.3847</v>
      </c>
    </row>
    <row r="264" spans="2:3">
      <c r="B264" s="38">
        <v>38520</v>
      </c>
      <c r="C264">
        <v>108.6069</v>
      </c>
    </row>
    <row r="265" spans="2:3">
      <c r="B265" s="38">
        <v>38523</v>
      </c>
      <c r="C265">
        <v>108.55549999999999</v>
      </c>
    </row>
    <row r="266" spans="2:3">
      <c r="B266" s="38">
        <v>38524</v>
      </c>
      <c r="C266">
        <v>108.59439999999999</v>
      </c>
    </row>
    <row r="267" spans="2:3">
      <c r="B267" s="38">
        <v>38525</v>
      </c>
      <c r="C267">
        <v>108.83929999999999</v>
      </c>
    </row>
    <row r="268" spans="2:3">
      <c r="B268" s="38">
        <v>38526</v>
      </c>
      <c r="C268">
        <v>108.2171</v>
      </c>
    </row>
    <row r="269" spans="2:3">
      <c r="B269" s="38">
        <v>38527</v>
      </c>
      <c r="C269">
        <v>107.9029</v>
      </c>
    </row>
    <row r="270" spans="2:3">
      <c r="B270" s="38">
        <v>38530</v>
      </c>
      <c r="C270">
        <v>107.8963</v>
      </c>
    </row>
    <row r="271" spans="2:3">
      <c r="B271" s="38">
        <v>38531</v>
      </c>
      <c r="C271">
        <v>108.26479999999999</v>
      </c>
    </row>
    <row r="272" spans="2:3">
      <c r="B272" s="38">
        <v>38532</v>
      </c>
      <c r="C272">
        <v>108.126</v>
      </c>
    </row>
    <row r="273" spans="2:3">
      <c r="B273" s="38">
        <v>38533</v>
      </c>
      <c r="C273">
        <v>107.8305</v>
      </c>
    </row>
    <row r="274" spans="2:3">
      <c r="B274" s="38">
        <v>38534</v>
      </c>
      <c r="C274">
        <v>107.7544</v>
      </c>
    </row>
    <row r="275" spans="2:3">
      <c r="B275" s="38">
        <v>38538</v>
      </c>
      <c r="C275">
        <v>108.12869999999999</v>
      </c>
    </row>
    <row r="276" spans="2:3">
      <c r="B276" s="38">
        <v>38539</v>
      </c>
      <c r="C276">
        <v>107.7247</v>
      </c>
    </row>
    <row r="277" spans="2:3">
      <c r="B277" s="38">
        <v>38540</v>
      </c>
      <c r="C277">
        <v>107.9247</v>
      </c>
    </row>
    <row r="278" spans="2:3">
      <c r="B278" s="38">
        <v>38541</v>
      </c>
      <c r="C278">
        <v>108.4752</v>
      </c>
    </row>
    <row r="279" spans="2:3">
      <c r="B279" s="38">
        <v>38544</v>
      </c>
      <c r="C279">
        <v>108.88249999999999</v>
      </c>
    </row>
    <row r="280" spans="2:3">
      <c r="B280" s="38">
        <v>38545</v>
      </c>
      <c r="C280">
        <v>108.93259999999999</v>
      </c>
    </row>
    <row r="281" spans="2:3">
      <c r="B281" s="38">
        <v>38546</v>
      </c>
      <c r="C281">
        <v>108.9661</v>
      </c>
    </row>
    <row r="282" spans="2:3">
      <c r="B282" s="38">
        <v>38547</v>
      </c>
      <c r="C282">
        <v>109.0937</v>
      </c>
    </row>
    <row r="283" spans="2:3">
      <c r="B283" s="38">
        <v>38548</v>
      </c>
      <c r="C283">
        <v>109.1776</v>
      </c>
    </row>
    <row r="284" spans="2:3">
      <c r="B284" s="38">
        <v>38551</v>
      </c>
      <c r="C284">
        <v>108.7884</v>
      </c>
    </row>
    <row r="285" spans="2:3">
      <c r="B285" s="38">
        <v>38552</v>
      </c>
      <c r="C285">
        <v>109.23650000000001</v>
      </c>
    </row>
    <row r="286" spans="2:3">
      <c r="B286" s="38">
        <v>38553</v>
      </c>
      <c r="C286">
        <v>109.5637</v>
      </c>
    </row>
    <row r="287" spans="2:3">
      <c r="B287" s="38">
        <v>38554</v>
      </c>
      <c r="C287">
        <v>108.9477</v>
      </c>
    </row>
    <row r="288" spans="2:3">
      <c r="B288" s="38">
        <v>38555</v>
      </c>
      <c r="C288">
        <v>109.3819</v>
      </c>
    </row>
    <row r="289" spans="2:3">
      <c r="B289" s="38">
        <v>38558</v>
      </c>
      <c r="C289">
        <v>109.14279999999999</v>
      </c>
    </row>
    <row r="290" spans="2:3">
      <c r="B290" s="38">
        <v>38559</v>
      </c>
      <c r="C290">
        <v>109.2663</v>
      </c>
    </row>
    <row r="291" spans="2:3">
      <c r="B291" s="38">
        <v>38560</v>
      </c>
      <c r="C291">
        <v>109.4782</v>
      </c>
    </row>
    <row r="292" spans="2:3">
      <c r="B292" s="38">
        <v>38561</v>
      </c>
      <c r="C292">
        <v>109.9481</v>
      </c>
    </row>
    <row r="293" spans="2:3">
      <c r="B293" s="38">
        <v>38562</v>
      </c>
      <c r="C293">
        <v>109.3297</v>
      </c>
    </row>
    <row r="294" spans="2:3">
      <c r="B294" s="38">
        <v>38565</v>
      </c>
      <c r="C294">
        <v>109.3069</v>
      </c>
    </row>
    <row r="295" spans="2:3">
      <c r="B295" s="38">
        <v>38566</v>
      </c>
      <c r="C295">
        <v>109.6606</v>
      </c>
    </row>
    <row r="296" spans="2:3">
      <c r="B296" s="38">
        <v>38567</v>
      </c>
      <c r="C296">
        <v>109.7937</v>
      </c>
    </row>
    <row r="297" spans="2:3">
      <c r="B297" s="38">
        <v>38568</v>
      </c>
      <c r="C297">
        <v>109.2957</v>
      </c>
    </row>
    <row r="298" spans="2:3">
      <c r="B298" s="38">
        <v>38569</v>
      </c>
      <c r="C298">
        <v>108.6717</v>
      </c>
    </row>
    <row r="299" spans="2:3">
      <c r="B299" s="38">
        <v>38572</v>
      </c>
      <c r="C299">
        <v>108.4671</v>
      </c>
    </row>
    <row r="300" spans="2:3">
      <c r="B300" s="38">
        <v>38573</v>
      </c>
      <c r="C300">
        <v>108.9252</v>
      </c>
    </row>
    <row r="301" spans="2:3">
      <c r="B301" s="38">
        <v>38574</v>
      </c>
      <c r="C301">
        <v>108.8503</v>
      </c>
    </row>
    <row r="302" spans="2:3">
      <c r="B302" s="38">
        <v>38575</v>
      </c>
      <c r="C302">
        <v>109.4024</v>
      </c>
    </row>
    <row r="303" spans="2:3">
      <c r="B303" s="38">
        <v>38576</v>
      </c>
      <c r="C303">
        <v>109.24639999999999</v>
      </c>
    </row>
    <row r="304" spans="2:3">
      <c r="B304" s="38">
        <v>38579</v>
      </c>
      <c r="C304">
        <v>109.32680000000001</v>
      </c>
    </row>
    <row r="305" spans="2:3">
      <c r="B305" s="38">
        <v>38580</v>
      </c>
      <c r="C305">
        <v>108.7848</v>
      </c>
    </row>
    <row r="306" spans="2:3">
      <c r="B306" s="38">
        <v>38581</v>
      </c>
      <c r="C306">
        <v>108.72620000000001</v>
      </c>
    </row>
    <row r="307" spans="2:3">
      <c r="B307" s="38">
        <v>38582</v>
      </c>
      <c r="C307">
        <v>108.8241</v>
      </c>
    </row>
    <row r="308" spans="2:3">
      <c r="B308" s="38">
        <v>38583</v>
      </c>
      <c r="C308">
        <v>108.8665</v>
      </c>
    </row>
    <row r="309" spans="2:3">
      <c r="B309" s="38">
        <v>38586</v>
      </c>
      <c r="C309">
        <v>108.97320000000001</v>
      </c>
    </row>
    <row r="310" spans="2:3">
      <c r="B310" s="38">
        <v>38587</v>
      </c>
      <c r="C310">
        <v>108.8359</v>
      </c>
    </row>
    <row r="311" spans="2:3">
      <c r="B311" s="38">
        <v>38588</v>
      </c>
      <c r="C311">
        <v>108.4873</v>
      </c>
    </row>
    <row r="312" spans="2:3">
      <c r="B312" s="38">
        <v>38589</v>
      </c>
      <c r="C312">
        <v>108.6737</v>
      </c>
    </row>
    <row r="313" spans="2:3">
      <c r="B313" s="38">
        <v>38590</v>
      </c>
      <c r="C313">
        <v>108.2458</v>
      </c>
    </row>
    <row r="314" spans="2:3">
      <c r="B314" s="38">
        <v>38593</v>
      </c>
      <c r="C314">
        <v>108.6305</v>
      </c>
    </row>
    <row r="315" spans="2:3">
      <c r="B315" s="38">
        <v>38594</v>
      </c>
      <c r="C315">
        <v>108.637</v>
      </c>
    </row>
    <row r="316" spans="2:3">
      <c r="B316" s="38">
        <v>38595</v>
      </c>
      <c r="C316">
        <v>109.3728</v>
      </c>
    </row>
    <row r="317" spans="2:3">
      <c r="B317" s="38">
        <v>38596</v>
      </c>
      <c r="C317">
        <v>109.48309999999999</v>
      </c>
    </row>
    <row r="318" spans="2:3">
      <c r="B318" s="38">
        <v>38597</v>
      </c>
      <c r="C318">
        <v>109.2732</v>
      </c>
    </row>
    <row r="319" spans="2:3">
      <c r="B319" s="38">
        <v>38601</v>
      </c>
      <c r="C319">
        <v>109.8818</v>
      </c>
    </row>
    <row r="320" spans="2:3">
      <c r="B320" s="38">
        <v>38602</v>
      </c>
      <c r="C320">
        <v>109.883</v>
      </c>
    </row>
    <row r="321" spans="2:3">
      <c r="B321" s="38">
        <v>38603</v>
      </c>
      <c r="C321">
        <v>109.697</v>
      </c>
    </row>
    <row r="322" spans="2:3">
      <c r="B322" s="38">
        <v>38604</v>
      </c>
      <c r="C322">
        <v>110.1558</v>
      </c>
    </row>
    <row r="323" spans="2:3">
      <c r="B323" s="38">
        <v>38607</v>
      </c>
      <c r="C323">
        <v>110.0472</v>
      </c>
    </row>
    <row r="324" spans="2:3">
      <c r="B324" s="38">
        <v>38608</v>
      </c>
      <c r="C324">
        <v>109.75149999999999</v>
      </c>
    </row>
    <row r="325" spans="2:3">
      <c r="B325" s="38">
        <v>38609</v>
      </c>
      <c r="C325">
        <v>109.5249</v>
      </c>
    </row>
    <row r="326" spans="2:3">
      <c r="B326" s="38">
        <v>38610</v>
      </c>
      <c r="C326">
        <v>109.4504</v>
      </c>
    </row>
    <row r="327" spans="2:3">
      <c r="B327" s="38">
        <v>38611</v>
      </c>
      <c r="C327">
        <v>109.7687</v>
      </c>
    </row>
    <row r="328" spans="2:3">
      <c r="B328" s="38">
        <v>38614</v>
      </c>
      <c r="C328">
        <v>109.5223</v>
      </c>
    </row>
    <row r="329" spans="2:3">
      <c r="B329" s="38">
        <v>38615</v>
      </c>
      <c r="C329">
        <v>109.0489</v>
      </c>
    </row>
    <row r="330" spans="2:3">
      <c r="B330" s="38">
        <v>38616</v>
      </c>
      <c r="C330">
        <v>108.648</v>
      </c>
    </row>
    <row r="331" spans="2:3">
      <c r="B331" s="38">
        <v>38617</v>
      </c>
      <c r="C331">
        <v>108.881</v>
      </c>
    </row>
    <row r="332" spans="2:3">
      <c r="B332" s="38">
        <v>38618</v>
      </c>
      <c r="C332">
        <v>108.7253</v>
      </c>
    </row>
    <row r="333" spans="2:3">
      <c r="B333" s="38">
        <v>38621</v>
      </c>
      <c r="C333">
        <v>108.6567</v>
      </c>
    </row>
    <row r="334" spans="2:3">
      <c r="B334" s="38">
        <v>38622</v>
      </c>
      <c r="C334">
        <v>108.6212</v>
      </c>
    </row>
    <row r="335" spans="2:3">
      <c r="B335" s="38">
        <v>38623</v>
      </c>
      <c r="C335">
        <v>108.75790000000001</v>
      </c>
    </row>
    <row r="336" spans="2:3">
      <c r="B336" s="38">
        <v>38624</v>
      </c>
      <c r="C336">
        <v>109.20529999999999</v>
      </c>
    </row>
    <row r="337" spans="2:3">
      <c r="B337" s="38">
        <v>38625</v>
      </c>
      <c r="C337">
        <v>109.1592</v>
      </c>
    </row>
    <row r="338" spans="2:3">
      <c r="B338" s="38">
        <v>38628</v>
      </c>
      <c r="C338">
        <v>108.9387</v>
      </c>
    </row>
    <row r="339" spans="2:3">
      <c r="B339" s="38">
        <v>38629</v>
      </c>
      <c r="C339">
        <v>108.3676</v>
      </c>
    </row>
    <row r="340" spans="2:3">
      <c r="B340" s="38">
        <v>38630</v>
      </c>
      <c r="C340">
        <v>107.5116</v>
      </c>
    </row>
    <row r="341" spans="2:3">
      <c r="B341" s="38">
        <v>38631</v>
      </c>
      <c r="C341">
        <v>107.2569</v>
      </c>
    </row>
    <row r="342" spans="2:3">
      <c r="B342" s="38">
        <v>38632</v>
      </c>
      <c r="C342">
        <v>107.49120000000001</v>
      </c>
    </row>
    <row r="343" spans="2:3">
      <c r="B343" s="38">
        <v>38636</v>
      </c>
      <c r="C343">
        <v>106.9512</v>
      </c>
    </row>
    <row r="344" spans="2:3">
      <c r="B344" s="38">
        <v>38637</v>
      </c>
      <c r="C344">
        <v>106.4858</v>
      </c>
    </row>
    <row r="345" spans="2:3">
      <c r="B345" s="38">
        <v>38638</v>
      </c>
      <c r="C345">
        <v>106.36879999999999</v>
      </c>
    </row>
    <row r="346" spans="2:3">
      <c r="B346" s="38">
        <v>38639</v>
      </c>
      <c r="C346">
        <v>106.78619999999999</v>
      </c>
    </row>
    <row r="347" spans="2:3">
      <c r="B347" s="38">
        <v>38642</v>
      </c>
      <c r="C347">
        <v>106.97580000000001</v>
      </c>
    </row>
    <row r="348" spans="2:3">
      <c r="B348" s="38">
        <v>38643</v>
      </c>
      <c r="C348">
        <v>106.4751</v>
      </c>
    </row>
    <row r="349" spans="2:3">
      <c r="B349" s="38">
        <v>38644</v>
      </c>
      <c r="C349">
        <v>107.3305</v>
      </c>
    </row>
    <row r="350" spans="2:3">
      <c r="B350" s="38">
        <v>38645</v>
      </c>
      <c r="C350">
        <v>106.52209999999999</v>
      </c>
    </row>
    <row r="351" spans="2:3">
      <c r="B351" s="38">
        <v>38646</v>
      </c>
      <c r="C351">
        <v>106.7697</v>
      </c>
    </row>
    <row r="352" spans="2:3">
      <c r="B352" s="38">
        <v>38649</v>
      </c>
      <c r="C352">
        <v>107.42740000000001</v>
      </c>
    </row>
    <row r="353" spans="2:3">
      <c r="B353" s="38">
        <v>38650</v>
      </c>
      <c r="C353">
        <v>107.15600000000001</v>
      </c>
    </row>
    <row r="354" spans="2:3">
      <c r="B354" s="38">
        <v>38651</v>
      </c>
      <c r="C354">
        <v>106.7213</v>
      </c>
    </row>
    <row r="355" spans="2:3">
      <c r="B355" s="38">
        <v>38652</v>
      </c>
      <c r="C355">
        <v>106.39960000000001</v>
      </c>
    </row>
    <row r="356" spans="2:3">
      <c r="B356" s="38">
        <v>38653</v>
      </c>
      <c r="C356">
        <v>106.9948</v>
      </c>
    </row>
    <row r="357" spans="2:3">
      <c r="B357" s="38">
        <v>38656</v>
      </c>
      <c r="C357">
        <v>107.2967</v>
      </c>
    </row>
    <row r="358" spans="2:3">
      <c r="B358" s="38">
        <v>38657</v>
      </c>
      <c r="C358">
        <v>107.0924</v>
      </c>
    </row>
    <row r="359" spans="2:3">
      <c r="B359" s="38">
        <v>38658</v>
      </c>
      <c r="C359">
        <v>107.3229</v>
      </c>
    </row>
    <row r="360" spans="2:3">
      <c r="B360" s="38">
        <v>38659</v>
      </c>
      <c r="C360">
        <v>107.3021</v>
      </c>
    </row>
    <row r="361" spans="2:3">
      <c r="B361" s="38">
        <v>38660</v>
      </c>
      <c r="C361">
        <v>107.2764</v>
      </c>
    </row>
    <row r="362" spans="2:3">
      <c r="B362" s="38">
        <v>38663</v>
      </c>
      <c r="C362">
        <v>107.44329999999999</v>
      </c>
    </row>
    <row r="363" spans="2:3">
      <c r="B363" s="38">
        <v>38664</v>
      </c>
      <c r="C363">
        <v>107.5716</v>
      </c>
    </row>
    <row r="364" spans="2:3">
      <c r="B364" s="38">
        <v>38665</v>
      </c>
      <c r="C364">
        <v>107.42400000000001</v>
      </c>
    </row>
    <row r="365" spans="2:3">
      <c r="B365" s="38">
        <v>38666</v>
      </c>
      <c r="C365">
        <v>107.99630000000001</v>
      </c>
    </row>
    <row r="366" spans="2:3">
      <c r="B366" s="38">
        <v>38670</v>
      </c>
      <c r="C366">
        <v>107.9342</v>
      </c>
    </row>
    <row r="367" spans="2:3">
      <c r="B367" s="38">
        <v>38671</v>
      </c>
      <c r="C367">
        <v>107.9331</v>
      </c>
    </row>
    <row r="368" spans="2:3">
      <c r="B368" s="38">
        <v>38672</v>
      </c>
      <c r="C368">
        <v>108.2396</v>
      </c>
    </row>
    <row r="369" spans="2:3">
      <c r="B369" s="38">
        <v>38673</v>
      </c>
      <c r="C369">
        <v>108.7242</v>
      </c>
    </row>
    <row r="370" spans="2:3">
      <c r="B370" s="38">
        <v>38674</v>
      </c>
      <c r="C370">
        <v>108.7719</v>
      </c>
    </row>
    <row r="371" spans="2:3">
      <c r="B371" s="38">
        <v>38677</v>
      </c>
      <c r="C371">
        <v>109.164</v>
      </c>
    </row>
    <row r="372" spans="2:3">
      <c r="B372" s="38">
        <v>38678</v>
      </c>
      <c r="C372">
        <v>109.5311</v>
      </c>
    </row>
    <row r="373" spans="2:3">
      <c r="B373" s="38">
        <v>38679</v>
      </c>
      <c r="C373">
        <v>109.544</v>
      </c>
    </row>
    <row r="374" spans="2:3">
      <c r="B374" s="38">
        <v>38681</v>
      </c>
      <c r="C374">
        <v>109.7675</v>
      </c>
    </row>
    <row r="375" spans="2:3">
      <c r="B375" s="38">
        <v>38684</v>
      </c>
      <c r="C375">
        <v>109.499</v>
      </c>
    </row>
    <row r="376" spans="2:3">
      <c r="B376" s="38">
        <v>38685</v>
      </c>
      <c r="C376">
        <v>109.2722</v>
      </c>
    </row>
    <row r="377" spans="2:3">
      <c r="B377" s="38">
        <v>38686</v>
      </c>
      <c r="C377">
        <v>108.92400000000001</v>
      </c>
    </row>
    <row r="378" spans="2:3">
      <c r="B378" s="38">
        <v>38687</v>
      </c>
      <c r="C378">
        <v>109.3317</v>
      </c>
    </row>
    <row r="379" spans="2:3">
      <c r="B379" s="38">
        <v>38688</v>
      </c>
      <c r="C379">
        <v>109.3682</v>
      </c>
    </row>
    <row r="380" spans="2:3">
      <c r="B380" s="38">
        <v>38691</v>
      </c>
      <c r="C380">
        <v>109.1733</v>
      </c>
    </row>
    <row r="381" spans="2:3">
      <c r="B381" s="38">
        <v>38692</v>
      </c>
      <c r="C381">
        <v>109.46729999999999</v>
      </c>
    </row>
    <row r="382" spans="2:3">
      <c r="B382" s="38">
        <v>38693</v>
      </c>
      <c r="C382">
        <v>109.20399999999999</v>
      </c>
    </row>
    <row r="383" spans="2:3">
      <c r="B383" s="38">
        <v>38694</v>
      </c>
      <c r="C383">
        <v>109.3536</v>
      </c>
    </row>
    <row r="384" spans="2:3">
      <c r="B384" s="38">
        <v>38695</v>
      </c>
      <c r="C384">
        <v>109.2582</v>
      </c>
    </row>
    <row r="385" spans="2:3">
      <c r="B385" s="38">
        <v>38698</v>
      </c>
      <c r="C385">
        <v>109.28830000000001</v>
      </c>
    </row>
    <row r="386" spans="2:3">
      <c r="B386" s="38">
        <v>38699</v>
      </c>
      <c r="C386">
        <v>109.62439999999999</v>
      </c>
    </row>
    <row r="387" spans="2:3">
      <c r="B387" s="38">
        <v>38700</v>
      </c>
      <c r="C387">
        <v>110.07340000000001</v>
      </c>
    </row>
    <row r="388" spans="2:3">
      <c r="B388" s="38">
        <v>38701</v>
      </c>
      <c r="C388">
        <v>109.97580000000001</v>
      </c>
    </row>
    <row r="389" spans="2:3">
      <c r="B389" s="38">
        <v>38702</v>
      </c>
      <c r="C389">
        <v>109.9239</v>
      </c>
    </row>
    <row r="390" spans="2:3">
      <c r="B390" s="38">
        <v>38705</v>
      </c>
      <c r="C390">
        <v>109.6713</v>
      </c>
    </row>
    <row r="391" spans="2:3">
      <c r="B391" s="38">
        <v>38706</v>
      </c>
      <c r="C391">
        <v>109.60339999999999</v>
      </c>
    </row>
    <row r="392" spans="2:3">
      <c r="B392" s="38">
        <v>38707</v>
      </c>
      <c r="C392">
        <v>109.6876</v>
      </c>
    </row>
    <row r="393" spans="2:3">
      <c r="B393" s="38">
        <v>38708</v>
      </c>
      <c r="C393">
        <v>110.0501</v>
      </c>
    </row>
    <row r="394" spans="2:3">
      <c r="B394" s="38">
        <v>38709</v>
      </c>
      <c r="C394">
        <v>110.2111</v>
      </c>
    </row>
    <row r="395" spans="2:3">
      <c r="B395" s="38">
        <v>38713</v>
      </c>
      <c r="C395">
        <v>109.7899</v>
      </c>
    </row>
    <row r="396" spans="2:3">
      <c r="B396" s="38">
        <v>38714</v>
      </c>
      <c r="C396">
        <v>109.80110000000001</v>
      </c>
    </row>
    <row r="397" spans="2:3">
      <c r="B397" s="38">
        <v>38715</v>
      </c>
      <c r="C397">
        <v>109.6151</v>
      </c>
    </row>
    <row r="398" spans="2:3">
      <c r="B398" s="38">
        <v>38716</v>
      </c>
      <c r="C398">
        <v>109.2632</v>
      </c>
    </row>
    <row r="399" spans="2:3">
      <c r="B399" s="38">
        <v>38720</v>
      </c>
      <c r="C399">
        <v>110.46210000000001</v>
      </c>
    </row>
    <row r="400" spans="2:3">
      <c r="B400" s="38">
        <v>38721</v>
      </c>
      <c r="C400">
        <v>110.7803</v>
      </c>
    </row>
    <row r="401" spans="2:3">
      <c r="B401" s="38">
        <v>38722</v>
      </c>
      <c r="C401">
        <v>110.8002</v>
      </c>
    </row>
    <row r="402" spans="2:3">
      <c r="B402" s="38">
        <v>38723</v>
      </c>
      <c r="C402">
        <v>111.4025</v>
      </c>
    </row>
    <row r="403" spans="2:3">
      <c r="B403" s="38">
        <v>38726</v>
      </c>
      <c r="C403">
        <v>111.6742</v>
      </c>
    </row>
    <row r="404" spans="2:3">
      <c r="B404" s="38">
        <v>38727</v>
      </c>
      <c r="C404">
        <v>111.52379999999999</v>
      </c>
    </row>
    <row r="405" spans="2:3">
      <c r="B405" s="38">
        <v>38728</v>
      </c>
      <c r="C405">
        <v>111.6597</v>
      </c>
    </row>
    <row r="406" spans="2:3">
      <c r="B406" s="38">
        <v>38729</v>
      </c>
      <c r="C406">
        <v>111.4315</v>
      </c>
    </row>
    <row r="407" spans="2:3">
      <c r="B407" s="38">
        <v>38730</v>
      </c>
      <c r="C407">
        <v>111.6557</v>
      </c>
    </row>
    <row r="408" spans="2:3">
      <c r="B408" s="38">
        <v>38734</v>
      </c>
      <c r="C408">
        <v>111.4954</v>
      </c>
    </row>
    <row r="409" spans="2:3">
      <c r="B409" s="38">
        <v>38735</v>
      </c>
      <c r="C409">
        <v>111.2568</v>
      </c>
    </row>
    <row r="410" spans="2:3">
      <c r="B410" s="38">
        <v>38736</v>
      </c>
      <c r="C410">
        <v>111.50749999999999</v>
      </c>
    </row>
    <row r="411" spans="2:3">
      <c r="B411" s="38">
        <v>38737</v>
      </c>
      <c r="C411">
        <v>110.48390000000001</v>
      </c>
    </row>
    <row r="412" spans="2:3">
      <c r="B412" s="38">
        <v>38740</v>
      </c>
      <c r="C412">
        <v>110.6219</v>
      </c>
    </row>
    <row r="413" spans="2:3">
      <c r="B413" s="38">
        <v>38741</v>
      </c>
      <c r="C413">
        <v>110.6876</v>
      </c>
    </row>
    <row r="414" spans="2:3">
      <c r="B414" s="38">
        <v>38742</v>
      </c>
      <c r="C414">
        <v>110.36620000000001</v>
      </c>
    </row>
    <row r="415" spans="2:3">
      <c r="B415" s="38">
        <v>38743</v>
      </c>
      <c r="C415">
        <v>110.6019</v>
      </c>
    </row>
    <row r="416" spans="2:3">
      <c r="B416" s="38">
        <v>38744</v>
      </c>
      <c r="C416">
        <v>111.04179999999999</v>
      </c>
    </row>
    <row r="417" spans="2:3">
      <c r="B417" s="38">
        <v>38747</v>
      </c>
      <c r="C417">
        <v>111.0608</v>
      </c>
    </row>
    <row r="418" spans="2:3">
      <c r="B418" s="38">
        <v>38748</v>
      </c>
      <c r="C418">
        <v>110.89239999999999</v>
      </c>
    </row>
    <row r="419" spans="2:3">
      <c r="B419" s="38">
        <v>38749</v>
      </c>
      <c r="C419">
        <v>110.86150000000001</v>
      </c>
    </row>
    <row r="420" spans="2:3">
      <c r="B420" s="38">
        <v>38750</v>
      </c>
      <c r="C420">
        <v>110.44370000000001</v>
      </c>
    </row>
    <row r="421" spans="2:3">
      <c r="B421" s="38">
        <v>38751</v>
      </c>
      <c r="C421">
        <v>110.2445</v>
      </c>
    </row>
    <row r="422" spans="2:3">
      <c r="B422" s="38">
        <v>38754</v>
      </c>
      <c r="C422">
        <v>110.29089999999999</v>
      </c>
    </row>
    <row r="423" spans="2:3">
      <c r="B423" s="38">
        <v>38755</v>
      </c>
      <c r="C423">
        <v>109.82429999999999</v>
      </c>
    </row>
    <row r="424" spans="2:3">
      <c r="B424" s="38">
        <v>38756</v>
      </c>
      <c r="C424">
        <v>110.2606</v>
      </c>
    </row>
    <row r="425" spans="2:3">
      <c r="B425" s="38">
        <v>38757</v>
      </c>
      <c r="C425">
        <v>110.235</v>
      </c>
    </row>
    <row r="426" spans="2:3">
      <c r="B426" s="38">
        <v>38758</v>
      </c>
      <c r="C426">
        <v>110.2808</v>
      </c>
    </row>
    <row r="427" spans="2:3">
      <c r="B427" s="38">
        <v>38761</v>
      </c>
      <c r="C427">
        <v>110.1326</v>
      </c>
    </row>
    <row r="428" spans="2:3">
      <c r="B428" s="38">
        <v>38762</v>
      </c>
      <c r="C428">
        <v>110.60939999999999</v>
      </c>
    </row>
    <row r="429" spans="2:3">
      <c r="B429" s="38">
        <v>38763</v>
      </c>
      <c r="C429">
        <v>110.8396</v>
      </c>
    </row>
    <row r="430" spans="2:3">
      <c r="B430" s="38">
        <v>38764</v>
      </c>
      <c r="C430">
        <v>111.2713</v>
      </c>
    </row>
    <row r="431" spans="2:3">
      <c r="B431" s="38">
        <v>38765</v>
      </c>
      <c r="C431">
        <v>111.34780000000001</v>
      </c>
    </row>
    <row r="432" spans="2:3">
      <c r="B432" s="38">
        <v>38769</v>
      </c>
      <c r="C432">
        <v>111.1418</v>
      </c>
    </row>
    <row r="433" spans="2:3">
      <c r="B433" s="38">
        <v>38770</v>
      </c>
      <c r="C433">
        <v>111.65170000000001</v>
      </c>
    </row>
    <row r="434" spans="2:3">
      <c r="B434" s="38">
        <v>38771</v>
      </c>
      <c r="C434">
        <v>111.377</v>
      </c>
    </row>
    <row r="435" spans="2:3">
      <c r="B435" s="38">
        <v>38772</v>
      </c>
      <c r="C435">
        <v>111.4759</v>
      </c>
    </row>
    <row r="436" spans="2:3">
      <c r="B436" s="38">
        <v>38775</v>
      </c>
      <c r="C436">
        <v>111.6455</v>
      </c>
    </row>
    <row r="437" spans="2:3">
      <c r="B437" s="38">
        <v>38776</v>
      </c>
      <c r="C437">
        <v>111.1798</v>
      </c>
    </row>
    <row r="438" spans="2:3">
      <c r="B438" s="38">
        <v>38777</v>
      </c>
      <c r="C438">
        <v>111.5211</v>
      </c>
    </row>
    <row r="439" spans="2:3">
      <c r="B439" s="38">
        <v>38778</v>
      </c>
      <c r="C439">
        <v>111.2915</v>
      </c>
    </row>
    <row r="440" spans="2:3">
      <c r="B440" s="38">
        <v>38779</v>
      </c>
      <c r="C440">
        <v>111.1099</v>
      </c>
    </row>
    <row r="441" spans="2:3">
      <c r="B441" s="38">
        <v>38782</v>
      </c>
      <c r="C441">
        <v>110.5844</v>
      </c>
    </row>
    <row r="442" spans="2:3">
      <c r="B442" s="38">
        <v>38783</v>
      </c>
      <c r="C442">
        <v>110.47839999999999</v>
      </c>
    </row>
    <row r="443" spans="2:3">
      <c r="B443" s="38">
        <v>38784</v>
      </c>
      <c r="C443">
        <v>110.6164</v>
      </c>
    </row>
    <row r="444" spans="2:3">
      <c r="B444" s="38">
        <v>38785</v>
      </c>
      <c r="C444">
        <v>110.3523</v>
      </c>
    </row>
    <row r="445" spans="2:3">
      <c r="B445" s="38">
        <v>38786</v>
      </c>
      <c r="C445">
        <v>110.7548</v>
      </c>
    </row>
    <row r="446" spans="2:3">
      <c r="B446" s="38">
        <v>38789</v>
      </c>
      <c r="C446">
        <v>110.84269999999999</v>
      </c>
    </row>
    <row r="447" spans="2:3">
      <c r="B447" s="38">
        <v>38790</v>
      </c>
      <c r="C447">
        <v>111.691</v>
      </c>
    </row>
    <row r="448" spans="2:3">
      <c r="B448" s="38">
        <v>38791</v>
      </c>
      <c r="C448">
        <v>111.88249999999999</v>
      </c>
    </row>
    <row r="449" spans="2:3">
      <c r="B449" s="38">
        <v>38792</v>
      </c>
      <c r="C449">
        <v>112.2109</v>
      </c>
    </row>
    <row r="450" spans="2:3">
      <c r="B450" s="38">
        <v>38793</v>
      </c>
      <c r="C450">
        <v>112.2324</v>
      </c>
    </row>
    <row r="451" spans="2:3">
      <c r="B451" s="38">
        <v>38796</v>
      </c>
      <c r="C451">
        <v>112.221</v>
      </c>
    </row>
    <row r="452" spans="2:3">
      <c r="B452" s="38">
        <v>38797</v>
      </c>
      <c r="C452">
        <v>111.7127</v>
      </c>
    </row>
    <row r="453" spans="2:3">
      <c r="B453" s="38">
        <v>38798</v>
      </c>
      <c r="C453">
        <v>112.1049</v>
      </c>
    </row>
    <row r="454" spans="2:3">
      <c r="B454" s="38">
        <v>38799</v>
      </c>
      <c r="C454">
        <v>111.8687</v>
      </c>
    </row>
    <row r="455" spans="2:3">
      <c r="B455" s="38">
        <v>38800</v>
      </c>
      <c r="C455">
        <v>112.0823</v>
      </c>
    </row>
    <row r="456" spans="2:3">
      <c r="B456" s="38">
        <v>38803</v>
      </c>
      <c r="C456">
        <v>111.9883</v>
      </c>
    </row>
    <row r="457" spans="2:3">
      <c r="B457" s="38">
        <v>38804</v>
      </c>
      <c r="C457">
        <v>111.41549999999999</v>
      </c>
    </row>
    <row r="458" spans="2:3">
      <c r="B458" s="38">
        <v>38805</v>
      </c>
      <c r="C458">
        <v>111.8283</v>
      </c>
    </row>
    <row r="459" spans="2:3">
      <c r="B459" s="38">
        <v>38806</v>
      </c>
      <c r="C459">
        <v>111.5986</v>
      </c>
    </row>
    <row r="460" spans="2:3">
      <c r="B460" s="38">
        <v>38807</v>
      </c>
      <c r="C460">
        <v>111.36320000000001</v>
      </c>
    </row>
    <row r="461" spans="2:3">
      <c r="B461" s="38">
        <v>38810</v>
      </c>
      <c r="C461">
        <v>111.46720000000001</v>
      </c>
    </row>
    <row r="462" spans="2:3">
      <c r="B462" s="38">
        <v>38811</v>
      </c>
      <c r="C462">
        <v>111.88639999999999</v>
      </c>
    </row>
    <row r="463" spans="2:3">
      <c r="B463" s="38">
        <v>38812</v>
      </c>
      <c r="C463">
        <v>112.2535</v>
      </c>
    </row>
    <row r="464" spans="2:3">
      <c r="B464" s="38">
        <v>38813</v>
      </c>
      <c r="C464">
        <v>112.0348</v>
      </c>
    </row>
    <row r="465" spans="2:3">
      <c r="B465" s="38">
        <v>38814</v>
      </c>
      <c r="C465">
        <v>111.2231</v>
      </c>
    </row>
    <row r="466" spans="2:3">
      <c r="B466" s="38">
        <v>38817</v>
      </c>
      <c r="C466">
        <v>111.2912</v>
      </c>
    </row>
    <row r="467" spans="2:3">
      <c r="B467" s="38">
        <v>38818</v>
      </c>
      <c r="C467">
        <v>110.911599999999</v>
      </c>
    </row>
    <row r="468" spans="2:3">
      <c r="B468" s="38">
        <v>38819</v>
      </c>
      <c r="C468">
        <v>110.8866</v>
      </c>
    </row>
    <row r="469" spans="2:3">
      <c r="B469" s="38">
        <v>38820</v>
      </c>
      <c r="C469">
        <v>110.79640000000001</v>
      </c>
    </row>
    <row r="470" spans="2:3">
      <c r="B470" s="38">
        <v>38824</v>
      </c>
      <c r="C470">
        <v>110.72629999999999</v>
      </c>
    </row>
    <row r="471" spans="2:3">
      <c r="B471" s="38">
        <v>38825</v>
      </c>
      <c r="C471">
        <v>111.91240000000001</v>
      </c>
    </row>
    <row r="472" spans="2:3">
      <c r="B472" s="38">
        <v>38826</v>
      </c>
      <c r="C472">
        <v>111.938</v>
      </c>
    </row>
    <row r="473" spans="2:3">
      <c r="B473" s="38">
        <v>38827</v>
      </c>
      <c r="C473">
        <v>111.9881</v>
      </c>
    </row>
    <row r="474" spans="2:3">
      <c r="B474" s="38">
        <v>38828</v>
      </c>
      <c r="C474">
        <v>112.0539</v>
      </c>
    </row>
    <row r="475" spans="2:3">
      <c r="B475" s="38">
        <v>38831</v>
      </c>
      <c r="C475">
        <v>112.0291</v>
      </c>
    </row>
    <row r="476" spans="2:3">
      <c r="B476" s="38">
        <v>38832</v>
      </c>
      <c r="C476">
        <v>111.56570000000001</v>
      </c>
    </row>
    <row r="477" spans="2:3">
      <c r="B477" s="38">
        <v>38833</v>
      </c>
      <c r="C477">
        <v>111.6276</v>
      </c>
    </row>
    <row r="478" spans="2:3">
      <c r="B478" s="38">
        <v>38834</v>
      </c>
      <c r="C478">
        <v>111.9145</v>
      </c>
    </row>
    <row r="479" spans="2:3">
      <c r="B479" s="38">
        <v>38835</v>
      </c>
      <c r="C479">
        <v>112.0521</v>
      </c>
    </row>
    <row r="480" spans="2:3">
      <c r="B480" s="38">
        <v>38838</v>
      </c>
      <c r="C480">
        <v>111.661</v>
      </c>
    </row>
    <row r="481" spans="2:3">
      <c r="B481" s="38">
        <v>38839</v>
      </c>
      <c r="C481">
        <v>112.0386</v>
      </c>
    </row>
    <row r="482" spans="2:3">
      <c r="B482" s="38">
        <v>38840</v>
      </c>
      <c r="C482">
        <v>111.7178</v>
      </c>
    </row>
    <row r="483" spans="2:3">
      <c r="B483" s="38">
        <v>38841</v>
      </c>
      <c r="C483">
        <v>111.861</v>
      </c>
    </row>
    <row r="484" spans="2:3">
      <c r="B484" s="38">
        <v>38842</v>
      </c>
      <c r="C484">
        <v>112.5154</v>
      </c>
    </row>
    <row r="485" spans="2:3">
      <c r="B485" s="38">
        <v>38845</v>
      </c>
      <c r="C485">
        <v>112.4657</v>
      </c>
    </row>
    <row r="486" spans="2:3">
      <c r="B486" s="38">
        <v>38846</v>
      </c>
      <c r="C486">
        <v>112.4845</v>
      </c>
    </row>
    <row r="487" spans="2:3">
      <c r="B487" s="38">
        <v>38847</v>
      </c>
      <c r="C487">
        <v>112.3947</v>
      </c>
    </row>
    <row r="488" spans="2:3">
      <c r="B488" s="38">
        <v>38848</v>
      </c>
      <c r="C488">
        <v>111.6752</v>
      </c>
    </row>
    <row r="489" spans="2:3">
      <c r="B489" s="38">
        <v>38849</v>
      </c>
      <c r="C489">
        <v>110.94329999999999</v>
      </c>
    </row>
    <row r="490" spans="2:3">
      <c r="B490" s="38">
        <v>38852</v>
      </c>
      <c r="C490">
        <v>111.1883</v>
      </c>
    </row>
    <row r="491" spans="2:3">
      <c r="B491" s="38">
        <v>38853</v>
      </c>
      <c r="C491">
        <v>111.25579999999999</v>
      </c>
    </row>
    <row r="492" spans="2:3">
      <c r="B492" s="38">
        <v>38854</v>
      </c>
      <c r="C492">
        <v>110.367</v>
      </c>
    </row>
    <row r="493" spans="2:3">
      <c r="B493" s="38">
        <v>38855</v>
      </c>
      <c r="C493">
        <v>110.2803</v>
      </c>
    </row>
    <row r="494" spans="2:3">
      <c r="B494" s="38">
        <v>38856</v>
      </c>
      <c r="C494">
        <v>110.4742</v>
      </c>
    </row>
    <row r="495" spans="2:3">
      <c r="B495" s="38">
        <v>38859</v>
      </c>
      <c r="C495">
        <v>110.3711</v>
      </c>
    </row>
    <row r="496" spans="2:3">
      <c r="B496" s="38">
        <v>38860</v>
      </c>
      <c r="C496">
        <v>110.13030000000001</v>
      </c>
    </row>
    <row r="497" spans="2:3">
      <c r="B497" s="38">
        <v>38861</v>
      </c>
      <c r="C497">
        <v>110.2739</v>
      </c>
    </row>
    <row r="498" spans="2:3">
      <c r="B498" s="38">
        <v>38862</v>
      </c>
      <c r="C498">
        <v>110.6605</v>
      </c>
    </row>
    <row r="499" spans="2:3">
      <c r="B499" s="38">
        <v>38863</v>
      </c>
      <c r="C499">
        <v>111.0044</v>
      </c>
    </row>
    <row r="500" spans="2:3">
      <c r="B500" s="38">
        <v>38867</v>
      </c>
      <c r="C500">
        <v>110.2689</v>
      </c>
    </row>
    <row r="501" spans="2:3">
      <c r="B501" s="38">
        <v>38868</v>
      </c>
      <c r="C501">
        <v>110.4764</v>
      </c>
    </row>
    <row r="502" spans="2:3">
      <c r="B502" s="38">
        <v>38869</v>
      </c>
      <c r="C502">
        <v>110.9616</v>
      </c>
    </row>
    <row r="503" spans="2:3">
      <c r="B503" s="38">
        <v>38870</v>
      </c>
      <c r="C503">
        <v>111.4726</v>
      </c>
    </row>
    <row r="504" spans="2:3">
      <c r="B504" s="38">
        <v>38873</v>
      </c>
      <c r="C504">
        <v>110.76439999999999</v>
      </c>
    </row>
    <row r="505" spans="2:3">
      <c r="B505" s="38">
        <v>38874</v>
      </c>
      <c r="C505">
        <v>110.7783</v>
      </c>
    </row>
    <row r="506" spans="2:3">
      <c r="B506" s="38">
        <v>38875</v>
      </c>
      <c r="C506">
        <v>110.51349999999999</v>
      </c>
    </row>
    <row r="507" spans="2:3">
      <c r="B507" s="38">
        <v>38876</v>
      </c>
      <c r="C507">
        <v>110.6725</v>
      </c>
    </row>
    <row r="508" spans="2:3">
      <c r="B508" s="38">
        <v>38877</v>
      </c>
      <c r="C508">
        <v>110.599</v>
      </c>
    </row>
    <row r="509" spans="2:3">
      <c r="B509" s="38">
        <v>38880</v>
      </c>
      <c r="C509">
        <v>110.23309999999999</v>
      </c>
    </row>
    <row r="510" spans="2:3">
      <c r="B510" s="38">
        <v>38881</v>
      </c>
      <c r="C510">
        <v>110.0307</v>
      </c>
    </row>
    <row r="511" spans="2:3">
      <c r="B511" s="38">
        <v>38882</v>
      </c>
      <c r="C511">
        <v>109.8353</v>
      </c>
    </row>
    <row r="512" spans="2:3">
      <c r="B512" s="38">
        <v>38883</v>
      </c>
      <c r="C512">
        <v>110.27370000000001</v>
      </c>
    </row>
    <row r="513" spans="2:3">
      <c r="B513" s="38">
        <v>38884</v>
      </c>
      <c r="C513">
        <v>110.0536</v>
      </c>
    </row>
    <row r="514" spans="2:3">
      <c r="B514" s="38">
        <v>38887</v>
      </c>
      <c r="C514">
        <v>109.7535</v>
      </c>
    </row>
    <row r="515" spans="2:3">
      <c r="B515" s="38">
        <v>38888</v>
      </c>
      <c r="C515">
        <v>109.7092</v>
      </c>
    </row>
    <row r="516" spans="2:3">
      <c r="B516" s="38">
        <v>38889</v>
      </c>
      <c r="C516">
        <v>109.99890000000001</v>
      </c>
    </row>
    <row r="517" spans="2:3">
      <c r="B517" s="38">
        <v>38890</v>
      </c>
      <c r="C517">
        <v>109.6743</v>
      </c>
    </row>
    <row r="518" spans="2:3">
      <c r="B518" s="38">
        <v>38891</v>
      </c>
      <c r="C518">
        <v>109.51860000000001</v>
      </c>
    </row>
    <row r="519" spans="2:3">
      <c r="B519" s="38">
        <v>38894</v>
      </c>
      <c r="C519">
        <v>109.655</v>
      </c>
    </row>
    <row r="520" spans="2:3">
      <c r="B520" s="38">
        <v>38895</v>
      </c>
      <c r="C520">
        <v>109.52670000000001</v>
      </c>
    </row>
    <row r="521" spans="2:3">
      <c r="B521" s="38">
        <v>38896</v>
      </c>
      <c r="C521">
        <v>109.5637</v>
      </c>
    </row>
    <row r="522" spans="2:3">
      <c r="B522" s="38">
        <v>38897</v>
      </c>
      <c r="C522">
        <v>110.4971</v>
      </c>
    </row>
    <row r="523" spans="2:3">
      <c r="B523" s="38">
        <v>38898</v>
      </c>
      <c r="C523">
        <v>110.67270000000001</v>
      </c>
    </row>
    <row r="524" spans="2:3">
      <c r="B524" s="38">
        <v>38901</v>
      </c>
      <c r="C524">
        <v>110.8807</v>
      </c>
    </row>
    <row r="525" spans="2:3">
      <c r="B525" s="38">
        <v>38903</v>
      </c>
      <c r="C525">
        <v>110.3728</v>
      </c>
    </row>
    <row r="526" spans="2:3">
      <c r="B526" s="38">
        <v>38904</v>
      </c>
      <c r="C526">
        <v>110.6084</v>
      </c>
    </row>
    <row r="527" spans="2:3">
      <c r="B527" s="38">
        <v>38905</v>
      </c>
      <c r="C527">
        <v>110.62690000000001</v>
      </c>
    </row>
    <row r="528" spans="2:3">
      <c r="B528" s="38">
        <v>38908</v>
      </c>
      <c r="C528">
        <v>110.7167</v>
      </c>
    </row>
    <row r="529" spans="2:3">
      <c r="B529" s="38">
        <v>38909</v>
      </c>
      <c r="C529">
        <v>110.959</v>
      </c>
    </row>
    <row r="530" spans="2:3">
      <c r="B530" s="38">
        <v>38910</v>
      </c>
      <c r="C530">
        <v>110.6143</v>
      </c>
    </row>
    <row r="531" spans="2:3">
      <c r="B531" s="38">
        <v>38911</v>
      </c>
      <c r="C531">
        <v>110.2859</v>
      </c>
    </row>
    <row r="532" spans="2:3">
      <c r="B532" s="38">
        <v>38912</v>
      </c>
      <c r="C532">
        <v>110.1784</v>
      </c>
    </row>
    <row r="533" spans="2:3">
      <c r="B533" s="38">
        <v>38915</v>
      </c>
      <c r="C533">
        <v>110.1373</v>
      </c>
    </row>
    <row r="534" spans="2:3">
      <c r="B534" s="38">
        <v>38916</v>
      </c>
      <c r="C534">
        <v>109.9986</v>
      </c>
    </row>
    <row r="535" spans="2:3">
      <c r="B535" s="38">
        <v>38917</v>
      </c>
      <c r="C535">
        <v>110.959</v>
      </c>
    </row>
    <row r="536" spans="2:3">
      <c r="B536" s="38">
        <v>38918</v>
      </c>
      <c r="C536">
        <v>110.81529999999999</v>
      </c>
    </row>
    <row r="537" spans="2:3">
      <c r="B537" s="38">
        <v>38919</v>
      </c>
      <c r="C537">
        <v>110.542</v>
      </c>
    </row>
    <row r="538" spans="2:3">
      <c r="B538" s="38">
        <v>38922</v>
      </c>
      <c r="C538">
        <v>111.09399999999999</v>
      </c>
    </row>
    <row r="539" spans="2:3">
      <c r="B539" s="38">
        <v>38923</v>
      </c>
      <c r="C539">
        <v>111.22369999999999</v>
      </c>
    </row>
    <row r="540" spans="2:3">
      <c r="B540" s="38">
        <v>38924</v>
      </c>
      <c r="C540">
        <v>111.3685</v>
      </c>
    </row>
    <row r="541" spans="2:3">
      <c r="B541" s="38">
        <v>38925</v>
      </c>
      <c r="C541">
        <v>111.27330000000001</v>
      </c>
    </row>
    <row r="542" spans="2:3">
      <c r="B542" s="38">
        <v>38926</v>
      </c>
      <c r="C542">
        <v>111.9068</v>
      </c>
    </row>
    <row r="543" spans="2:3">
      <c r="B543" s="38">
        <v>38929</v>
      </c>
      <c r="C543">
        <v>111.92789999999999</v>
      </c>
    </row>
    <row r="544" spans="2:3">
      <c r="B544" s="38">
        <v>38930</v>
      </c>
      <c r="C544">
        <v>111.8194</v>
      </c>
    </row>
    <row r="545" spans="2:3">
      <c r="B545" s="38">
        <v>38931</v>
      </c>
      <c r="C545">
        <v>112.1027</v>
      </c>
    </row>
    <row r="546" spans="2:3">
      <c r="B546" s="38">
        <v>38932</v>
      </c>
      <c r="C546">
        <v>112.15949999999999</v>
      </c>
    </row>
    <row r="547" spans="2:3">
      <c r="B547" s="38">
        <v>38933</v>
      </c>
      <c r="C547">
        <v>112.37139999999999</v>
      </c>
    </row>
    <row r="548" spans="2:3">
      <c r="B548" s="38">
        <v>38936</v>
      </c>
      <c r="C548">
        <v>112.2162</v>
      </c>
    </row>
    <row r="549" spans="2:3">
      <c r="B549" s="38">
        <v>38937</v>
      </c>
      <c r="C549">
        <v>112.1527</v>
      </c>
    </row>
    <row r="550" spans="2:3">
      <c r="B550" s="38">
        <v>38938</v>
      </c>
      <c r="C550">
        <v>111.99639999999999</v>
      </c>
    </row>
    <row r="551" spans="2:3">
      <c r="B551" s="38">
        <v>38939</v>
      </c>
      <c r="C551">
        <v>112.1382</v>
      </c>
    </row>
    <row r="552" spans="2:3">
      <c r="B552" s="38">
        <v>38940</v>
      </c>
      <c r="C552">
        <v>111.86579999999999</v>
      </c>
    </row>
    <row r="553" spans="2:3">
      <c r="B553" s="38">
        <v>38943</v>
      </c>
      <c r="C553">
        <v>111.79600000000001</v>
      </c>
    </row>
    <row r="554" spans="2:3">
      <c r="B554" s="38">
        <v>38944</v>
      </c>
      <c r="C554">
        <v>112.59610000000001</v>
      </c>
    </row>
    <row r="555" spans="2:3">
      <c r="B555" s="38">
        <v>38945</v>
      </c>
      <c r="C555">
        <v>113.1502</v>
      </c>
    </row>
    <row r="556" spans="2:3">
      <c r="B556" s="38">
        <v>38946</v>
      </c>
      <c r="C556">
        <v>113.2166</v>
      </c>
    </row>
    <row r="557" spans="2:3">
      <c r="B557" s="38">
        <v>38947</v>
      </c>
      <c r="C557">
        <v>113.47150000000001</v>
      </c>
    </row>
    <row r="558" spans="2:3">
      <c r="B558" s="38">
        <v>38950</v>
      </c>
      <c r="C558">
        <v>113.4141</v>
      </c>
    </row>
    <row r="559" spans="2:3">
      <c r="B559" s="38">
        <v>38951</v>
      </c>
      <c r="C559">
        <v>113.4644</v>
      </c>
    </row>
    <row r="560" spans="2:3">
      <c r="B560" s="38">
        <v>38952</v>
      </c>
      <c r="C560">
        <v>113.2919</v>
      </c>
    </row>
    <row r="561" spans="2:3">
      <c r="B561" s="38">
        <v>38953</v>
      </c>
      <c r="C561">
        <v>113.39490000000001</v>
      </c>
    </row>
    <row r="562" spans="2:3">
      <c r="B562" s="38">
        <v>38954</v>
      </c>
      <c r="C562">
        <v>113.432</v>
      </c>
    </row>
    <row r="563" spans="2:3">
      <c r="B563" s="38">
        <v>38957</v>
      </c>
      <c r="C563">
        <v>113.6096</v>
      </c>
    </row>
    <row r="564" spans="2:3">
      <c r="B564" s="38">
        <v>38958</v>
      </c>
      <c r="C564">
        <v>113.726</v>
      </c>
    </row>
    <row r="565" spans="2:3">
      <c r="B565" s="38">
        <v>38959</v>
      </c>
      <c r="C565">
        <v>113.81270000000001</v>
      </c>
    </row>
    <row r="566" spans="2:3">
      <c r="B566" s="38">
        <v>38960</v>
      </c>
      <c r="C566">
        <v>113.928</v>
      </c>
    </row>
    <row r="567" spans="2:3">
      <c r="B567" s="38">
        <v>38961</v>
      </c>
      <c r="C567">
        <v>114.223</v>
      </c>
    </row>
    <row r="568" spans="2:3">
      <c r="B568" s="38">
        <v>38965</v>
      </c>
      <c r="C568">
        <v>114.2243</v>
      </c>
    </row>
    <row r="569" spans="2:3">
      <c r="B569" s="38">
        <v>38966</v>
      </c>
      <c r="C569">
        <v>113.73820000000001</v>
      </c>
    </row>
    <row r="570" spans="2:3">
      <c r="B570" s="38">
        <v>38967</v>
      </c>
      <c r="C570">
        <v>113.5616</v>
      </c>
    </row>
    <row r="571" spans="2:3">
      <c r="B571" s="38">
        <v>38968</v>
      </c>
      <c r="C571">
        <v>113.8188</v>
      </c>
    </row>
    <row r="572" spans="2:3">
      <c r="B572" s="38">
        <v>38971</v>
      </c>
      <c r="C572">
        <v>113.7664</v>
      </c>
    </row>
    <row r="573" spans="2:3">
      <c r="B573" s="38">
        <v>38972</v>
      </c>
      <c r="C573">
        <v>114.3451</v>
      </c>
    </row>
    <row r="574" spans="2:3">
      <c r="B574" s="38">
        <v>38973</v>
      </c>
      <c r="C574">
        <v>114.5448</v>
      </c>
    </row>
    <row r="575" spans="2:3">
      <c r="B575" s="38">
        <v>38974</v>
      </c>
      <c r="C575">
        <v>114.39870000000001</v>
      </c>
    </row>
    <row r="576" spans="2:3">
      <c r="B576" s="38">
        <v>38975</v>
      </c>
      <c r="C576">
        <v>114.4755</v>
      </c>
    </row>
    <row r="577" spans="2:3">
      <c r="B577" s="38">
        <v>38978</v>
      </c>
      <c r="C577">
        <v>114.49339999999999</v>
      </c>
    </row>
    <row r="578" spans="2:3">
      <c r="B578" s="38">
        <v>38979</v>
      </c>
      <c r="C578">
        <v>114.6007</v>
      </c>
    </row>
    <row r="579" spans="2:3">
      <c r="B579" s="38">
        <v>38980</v>
      </c>
      <c r="C579">
        <v>114.9224</v>
      </c>
    </row>
    <row r="580" spans="2:3">
      <c r="B580" s="38">
        <v>38981</v>
      </c>
      <c r="C580">
        <v>114.8365</v>
      </c>
    </row>
    <row r="581" spans="2:3">
      <c r="B581" s="38">
        <v>38982</v>
      </c>
      <c r="C581">
        <v>114.79689999999999</v>
      </c>
    </row>
    <row r="582" spans="2:3">
      <c r="B582" s="38">
        <v>38985</v>
      </c>
      <c r="C582">
        <v>115.4817</v>
      </c>
    </row>
    <row r="583" spans="2:3">
      <c r="B583" s="38">
        <v>38986</v>
      </c>
      <c r="C583">
        <v>115.9122</v>
      </c>
    </row>
    <row r="584" spans="2:3">
      <c r="B584" s="38">
        <v>38987</v>
      </c>
      <c r="C584">
        <v>115.9115</v>
      </c>
    </row>
    <row r="585" spans="2:3">
      <c r="B585" s="38">
        <v>38988</v>
      </c>
      <c r="C585">
        <v>115.9764</v>
      </c>
    </row>
    <row r="586" spans="2:3">
      <c r="B586" s="38">
        <v>38989</v>
      </c>
      <c r="C586">
        <v>115.7987</v>
      </c>
    </row>
    <row r="587" spans="2:3">
      <c r="B587" s="38">
        <v>38992</v>
      </c>
      <c r="C587">
        <v>115.621</v>
      </c>
    </row>
    <row r="588" spans="2:3">
      <c r="B588" s="38">
        <v>38993</v>
      </c>
      <c r="C588">
        <v>115.78570000000001</v>
      </c>
    </row>
    <row r="589" spans="2:3">
      <c r="B589" s="38">
        <v>38994</v>
      </c>
      <c r="C589">
        <v>116.7295</v>
      </c>
    </row>
    <row r="590" spans="2:3">
      <c r="B590" s="38">
        <v>38995</v>
      </c>
      <c r="C590">
        <v>116.7912</v>
      </c>
    </row>
    <row r="591" spans="2:3">
      <c r="B591" s="38">
        <v>38996</v>
      </c>
      <c r="C591">
        <v>116.3976</v>
      </c>
    </row>
    <row r="592" spans="2:3">
      <c r="B592" s="38">
        <v>39000</v>
      </c>
      <c r="C592">
        <v>116.45820000000001</v>
      </c>
    </row>
    <row r="593" spans="2:3">
      <c r="B593" s="38">
        <v>39001</v>
      </c>
      <c r="C593">
        <v>116.2076</v>
      </c>
    </row>
    <row r="594" spans="2:3">
      <c r="B594" s="38">
        <v>39002</v>
      </c>
      <c r="C594">
        <v>116.8614</v>
      </c>
    </row>
    <row r="595" spans="2:3">
      <c r="B595" s="38">
        <v>39003</v>
      </c>
      <c r="C595">
        <v>116.9602</v>
      </c>
    </row>
    <row r="596" spans="2:3">
      <c r="B596" s="38">
        <v>39006</v>
      </c>
      <c r="C596">
        <v>117.21120000000001</v>
      </c>
    </row>
    <row r="597" spans="2:3">
      <c r="B597" s="38">
        <v>39007</v>
      </c>
      <c r="C597">
        <v>117.00539999999999</v>
      </c>
    </row>
    <row r="598" spans="2:3">
      <c r="B598" s="38">
        <v>39008</v>
      </c>
      <c r="C598">
        <v>117.1461</v>
      </c>
    </row>
    <row r="599" spans="2:3">
      <c r="B599" s="38">
        <v>39009</v>
      </c>
      <c r="C599">
        <v>117.1537</v>
      </c>
    </row>
    <row r="600" spans="2:3">
      <c r="B600" s="38">
        <v>39010</v>
      </c>
      <c r="C600">
        <v>117.247</v>
      </c>
    </row>
    <row r="601" spans="2:3">
      <c r="B601" s="38">
        <v>39013</v>
      </c>
      <c r="C601">
        <v>117.6242</v>
      </c>
    </row>
    <row r="602" spans="2:3">
      <c r="B602" s="38">
        <v>39014</v>
      </c>
      <c r="C602">
        <v>117.6536</v>
      </c>
    </row>
    <row r="603" spans="2:3">
      <c r="B603" s="38">
        <v>39015</v>
      </c>
      <c r="C603">
        <v>118.02249999999999</v>
      </c>
    </row>
    <row r="604" spans="2:3">
      <c r="B604" s="38">
        <v>39016</v>
      </c>
      <c r="C604">
        <v>118.52419999999999</v>
      </c>
    </row>
    <row r="605" spans="2:3">
      <c r="B605" s="38">
        <v>39017</v>
      </c>
      <c r="C605">
        <v>117.97580000000001</v>
      </c>
    </row>
    <row r="606" spans="2:3">
      <c r="B606" s="38">
        <v>39020</v>
      </c>
      <c r="C606">
        <v>118.0241</v>
      </c>
    </row>
    <row r="607" spans="2:3">
      <c r="B607" s="38">
        <v>39021</v>
      </c>
      <c r="C607">
        <v>118.1738</v>
      </c>
    </row>
    <row r="608" spans="2:3">
      <c r="B608" s="38">
        <v>39022</v>
      </c>
      <c r="C608">
        <v>117.73990000000001</v>
      </c>
    </row>
    <row r="609" spans="2:3">
      <c r="B609" s="38">
        <v>39023</v>
      </c>
      <c r="C609">
        <v>117.6574</v>
      </c>
    </row>
    <row r="610" spans="2:3">
      <c r="B610" s="38">
        <v>39024</v>
      </c>
      <c r="C610">
        <v>117.2602</v>
      </c>
    </row>
    <row r="611" spans="2:3">
      <c r="B611" s="38">
        <v>39027</v>
      </c>
      <c r="C611">
        <v>118.17100000000001</v>
      </c>
    </row>
    <row r="612" spans="2:3">
      <c r="B612" s="38">
        <v>39028</v>
      </c>
      <c r="C612">
        <v>118.4434</v>
      </c>
    </row>
    <row r="613" spans="2:3">
      <c r="B613" s="38">
        <v>39029</v>
      </c>
      <c r="C613">
        <v>118.6558</v>
      </c>
    </row>
    <row r="614" spans="2:3">
      <c r="B614" s="38">
        <v>39030</v>
      </c>
      <c r="C614">
        <v>118.2852</v>
      </c>
    </row>
    <row r="615" spans="2:3">
      <c r="B615" s="38">
        <v>39031</v>
      </c>
      <c r="C615">
        <v>118.4986</v>
      </c>
    </row>
    <row r="616" spans="2:3">
      <c r="B616" s="38">
        <v>39034</v>
      </c>
      <c r="C616">
        <v>118.6665</v>
      </c>
    </row>
    <row r="617" spans="2:3">
      <c r="B617" s="38">
        <v>39035</v>
      </c>
      <c r="C617">
        <v>119.2304</v>
      </c>
    </row>
    <row r="618" spans="2:3">
      <c r="B618" s="38">
        <v>39036</v>
      </c>
      <c r="C618">
        <v>119.3254</v>
      </c>
    </row>
    <row r="619" spans="2:3">
      <c r="B619" s="38">
        <v>39037</v>
      </c>
      <c r="C619">
        <v>119.44280000000001</v>
      </c>
    </row>
    <row r="620" spans="2:3">
      <c r="B620" s="38">
        <v>39038</v>
      </c>
      <c r="C620">
        <v>119.6564</v>
      </c>
    </row>
    <row r="621" spans="2:3">
      <c r="B621" s="38">
        <v>39041</v>
      </c>
      <c r="C621">
        <v>119.65260000000001</v>
      </c>
    </row>
    <row r="622" spans="2:3">
      <c r="B622" s="38">
        <v>39042</v>
      </c>
      <c r="C622">
        <v>119.81010000000001</v>
      </c>
    </row>
    <row r="623" spans="2:3">
      <c r="B623" s="38">
        <v>39043</v>
      </c>
      <c r="C623">
        <v>120.0094</v>
      </c>
    </row>
    <row r="624" spans="2:3">
      <c r="B624" s="38">
        <v>39045</v>
      </c>
      <c r="C624">
        <v>119.7658</v>
      </c>
    </row>
    <row r="625" spans="2:3">
      <c r="B625" s="38">
        <v>39048</v>
      </c>
      <c r="C625">
        <v>118.7136</v>
      </c>
    </row>
    <row r="626" spans="2:3">
      <c r="B626" s="38">
        <v>39049</v>
      </c>
      <c r="C626">
        <v>119.0566</v>
      </c>
    </row>
    <row r="627" spans="2:3">
      <c r="B627" s="38">
        <v>39050</v>
      </c>
      <c r="C627">
        <v>119.76990000000001</v>
      </c>
    </row>
    <row r="628" spans="2:3">
      <c r="B628" s="38">
        <v>39051</v>
      </c>
      <c r="C628">
        <v>119.9674</v>
      </c>
    </row>
    <row r="629" spans="2:3">
      <c r="B629" s="38">
        <v>39052</v>
      </c>
      <c r="C629">
        <v>119.87</v>
      </c>
    </row>
    <row r="630" spans="2:3">
      <c r="B630" s="38">
        <v>39055</v>
      </c>
      <c r="C630">
        <v>120.5033</v>
      </c>
    </row>
    <row r="631" spans="2:3">
      <c r="B631" s="38">
        <v>39056</v>
      </c>
      <c r="C631">
        <v>120.779</v>
      </c>
    </row>
    <row r="632" spans="2:3">
      <c r="B632" s="38">
        <v>39057</v>
      </c>
      <c r="C632">
        <v>120.58580000000001</v>
      </c>
    </row>
    <row r="633" spans="2:3">
      <c r="B633" s="38">
        <v>39058</v>
      </c>
      <c r="C633">
        <v>120.2587</v>
      </c>
    </row>
    <row r="634" spans="2:3">
      <c r="B634" s="38">
        <v>39059</v>
      </c>
      <c r="C634">
        <v>120.24809999999999</v>
      </c>
    </row>
    <row r="635" spans="2:3">
      <c r="B635" s="38">
        <v>39062</v>
      </c>
      <c r="C635">
        <v>120.4973</v>
      </c>
    </row>
    <row r="636" spans="2:3">
      <c r="B636" s="38">
        <v>39063</v>
      </c>
      <c r="C636">
        <v>120.50579999999999</v>
      </c>
    </row>
    <row r="637" spans="2:3">
      <c r="B637" s="38">
        <v>39064</v>
      </c>
      <c r="C637">
        <v>120.43210000000001</v>
      </c>
    </row>
    <row r="638" spans="2:3">
      <c r="B638" s="38">
        <v>39065</v>
      </c>
      <c r="C638">
        <v>121.0462</v>
      </c>
    </row>
    <row r="639" spans="2:3">
      <c r="B639" s="38">
        <v>39066</v>
      </c>
      <c r="C639">
        <v>121.1332</v>
      </c>
    </row>
    <row r="640" spans="2:3">
      <c r="B640" s="38">
        <v>39069</v>
      </c>
      <c r="C640">
        <v>120.9036</v>
      </c>
    </row>
    <row r="641" spans="2:3">
      <c r="B641" s="38">
        <v>39070</v>
      </c>
      <c r="C641">
        <v>121.0518</v>
      </c>
    </row>
    <row r="642" spans="2:3">
      <c r="B642" s="38">
        <v>39071</v>
      </c>
      <c r="C642">
        <v>120.9588</v>
      </c>
    </row>
    <row r="643" spans="2:3">
      <c r="B643" s="38">
        <v>39072</v>
      </c>
      <c r="C643">
        <v>120.8086</v>
      </c>
    </row>
    <row r="644" spans="2:3">
      <c r="B644" s="38">
        <v>39073</v>
      </c>
      <c r="C644">
        <v>120.2788</v>
      </c>
    </row>
    <row r="645" spans="2:3">
      <c r="B645" s="38">
        <v>39077</v>
      </c>
      <c r="C645">
        <v>120.65560000000001</v>
      </c>
    </row>
    <row r="646" spans="2:3">
      <c r="B646" s="38">
        <v>39078</v>
      </c>
      <c r="C646">
        <v>121.0508</v>
      </c>
    </row>
    <row r="647" spans="2:3">
      <c r="B647" s="38">
        <v>39079</v>
      </c>
      <c r="C647">
        <v>120.88330000000001</v>
      </c>
    </row>
    <row r="648" spans="2:3">
      <c r="B648" s="38">
        <v>39080</v>
      </c>
      <c r="C648">
        <v>120.53149999999999</v>
      </c>
    </row>
    <row r="649" spans="2:3">
      <c r="B649" s="38">
        <v>39085</v>
      </c>
      <c r="C649">
        <v>120.5722</v>
      </c>
    </row>
    <row r="650" spans="2:3">
      <c r="B650" s="38">
        <v>39086</v>
      </c>
      <c r="C650">
        <v>120.76900000000001</v>
      </c>
    </row>
    <row r="651" spans="2:3">
      <c r="B651" s="38">
        <v>39087</v>
      </c>
      <c r="C651">
        <v>120.2487</v>
      </c>
    </row>
    <row r="652" spans="2:3">
      <c r="B652" s="38">
        <v>39090</v>
      </c>
      <c r="C652">
        <v>120.4132</v>
      </c>
    </row>
    <row r="653" spans="2:3">
      <c r="B653" s="38">
        <v>39091</v>
      </c>
      <c r="C653">
        <v>120.36320000000001</v>
      </c>
    </row>
    <row r="654" spans="2:3">
      <c r="B654" s="38">
        <v>39092</v>
      </c>
      <c r="C654">
        <v>120.4747</v>
      </c>
    </row>
    <row r="655" spans="2:3">
      <c r="B655" s="38">
        <v>39093</v>
      </c>
      <c r="C655">
        <v>120.9229</v>
      </c>
    </row>
    <row r="656" spans="2:3">
      <c r="B656" s="38">
        <v>39094</v>
      </c>
      <c r="C656">
        <v>121.29170000000001</v>
      </c>
    </row>
    <row r="657" spans="2:3">
      <c r="B657" s="38">
        <v>39098</v>
      </c>
      <c r="C657">
        <v>121.4117</v>
      </c>
    </row>
    <row r="658" spans="2:3">
      <c r="B658" s="38">
        <v>39099</v>
      </c>
      <c r="C658">
        <v>121.2748</v>
      </c>
    </row>
    <row r="659" spans="2:3">
      <c r="B659" s="38">
        <v>39100</v>
      </c>
      <c r="C659">
        <v>121.0748</v>
      </c>
    </row>
    <row r="660" spans="2:3">
      <c r="B660" s="38">
        <v>39101</v>
      </c>
      <c r="C660">
        <v>121.3066</v>
      </c>
    </row>
    <row r="661" spans="2:3">
      <c r="B661" s="38">
        <v>39104</v>
      </c>
      <c r="C661">
        <v>120.886</v>
      </c>
    </row>
    <row r="662" spans="2:3">
      <c r="B662" s="38">
        <v>39105</v>
      </c>
      <c r="C662">
        <v>121.12730000000001</v>
      </c>
    </row>
    <row r="663" spans="2:3">
      <c r="B663" s="38">
        <v>39106</v>
      </c>
      <c r="C663">
        <v>121.8479</v>
      </c>
    </row>
    <row r="664" spans="2:3">
      <c r="B664" s="38">
        <v>39107</v>
      </c>
      <c r="C664">
        <v>120.7777</v>
      </c>
    </row>
    <row r="665" spans="2:3">
      <c r="B665" s="38">
        <v>39108</v>
      </c>
      <c r="C665">
        <v>120.6589</v>
      </c>
    </row>
    <row r="666" spans="2:3">
      <c r="B666" s="38">
        <v>39111</v>
      </c>
      <c r="C666">
        <v>120.54940000000001</v>
      </c>
    </row>
    <row r="667" spans="2:3">
      <c r="B667" s="38">
        <v>39112</v>
      </c>
      <c r="C667">
        <v>121.04640000000001</v>
      </c>
    </row>
    <row r="668" spans="2:3">
      <c r="B668" s="38">
        <v>39113</v>
      </c>
      <c r="C668">
        <v>121.699</v>
      </c>
    </row>
    <row r="669" spans="2:3">
      <c r="B669" s="38">
        <v>39114</v>
      </c>
      <c r="C669">
        <v>122.1328</v>
      </c>
    </row>
    <row r="670" spans="2:3">
      <c r="B670" s="38">
        <v>39115</v>
      </c>
      <c r="C670">
        <v>122.3214</v>
      </c>
    </row>
    <row r="671" spans="2:3">
      <c r="B671" s="38">
        <v>39118</v>
      </c>
      <c r="C671">
        <v>122.33150000000001</v>
      </c>
    </row>
    <row r="672" spans="2:3">
      <c r="B672" s="38">
        <v>39119</v>
      </c>
      <c r="C672">
        <v>122.4748</v>
      </c>
    </row>
    <row r="673" spans="2:3">
      <c r="B673" s="38">
        <v>39120</v>
      </c>
      <c r="C673">
        <v>122.62730000000001</v>
      </c>
    </row>
    <row r="674" spans="2:3">
      <c r="B674" s="38">
        <v>39121</v>
      </c>
      <c r="C674">
        <v>122.5466</v>
      </c>
    </row>
    <row r="675" spans="2:3">
      <c r="B675" s="38">
        <v>39122</v>
      </c>
      <c r="C675">
        <v>121.86190000000001</v>
      </c>
    </row>
    <row r="676" spans="2:3">
      <c r="B676" s="38">
        <v>39125</v>
      </c>
      <c r="C676">
        <v>121.5703</v>
      </c>
    </row>
    <row r="677" spans="2:3">
      <c r="B677" s="38">
        <v>39126</v>
      </c>
      <c r="C677">
        <v>122.1561</v>
      </c>
    </row>
    <row r="678" spans="2:3">
      <c r="B678" s="38">
        <v>39127</v>
      </c>
      <c r="C678">
        <v>122.95050000000001</v>
      </c>
    </row>
    <row r="679" spans="2:3">
      <c r="B679" s="38">
        <v>39128</v>
      </c>
      <c r="C679">
        <v>123.08450000000001</v>
      </c>
    </row>
    <row r="680" spans="2:3">
      <c r="B680" s="38">
        <v>39129</v>
      </c>
      <c r="C680">
        <v>123.0385</v>
      </c>
    </row>
    <row r="681" spans="2:3">
      <c r="B681" s="38">
        <v>39133</v>
      </c>
      <c r="C681">
        <v>123.3051</v>
      </c>
    </row>
    <row r="682" spans="2:3">
      <c r="B682" s="38">
        <v>39134</v>
      </c>
      <c r="C682">
        <v>123.1896</v>
      </c>
    </row>
    <row r="683" spans="2:3">
      <c r="B683" s="38">
        <v>39135</v>
      </c>
      <c r="C683">
        <v>123.0479</v>
      </c>
    </row>
    <row r="684" spans="2:3">
      <c r="B684" s="38">
        <v>39136</v>
      </c>
      <c r="C684">
        <v>122.9042</v>
      </c>
    </row>
    <row r="685" spans="2:3">
      <c r="B685" s="38">
        <v>39139</v>
      </c>
      <c r="C685">
        <v>122.92149999999999</v>
      </c>
    </row>
    <row r="686" spans="2:3">
      <c r="B686" s="38">
        <v>39140</v>
      </c>
      <c r="C686">
        <v>120.4365</v>
      </c>
    </row>
    <row r="687" spans="2:3">
      <c r="B687" s="38">
        <v>39141</v>
      </c>
      <c r="C687">
        <v>120.8032</v>
      </c>
    </row>
    <row r="688" spans="2:3">
      <c r="B688" s="38">
        <v>39142</v>
      </c>
      <c r="C688">
        <v>120.5986</v>
      </c>
    </row>
    <row r="689" spans="2:3">
      <c r="B689" s="38">
        <v>39143</v>
      </c>
      <c r="C689">
        <v>119.80889999999999</v>
      </c>
    </row>
    <row r="690" spans="2:3">
      <c r="B690" s="38">
        <v>39146</v>
      </c>
      <c r="C690">
        <v>119.1583</v>
      </c>
    </row>
    <row r="691" spans="2:3">
      <c r="B691" s="38">
        <v>39147</v>
      </c>
      <c r="C691">
        <v>120.1865</v>
      </c>
    </row>
    <row r="692" spans="2:3">
      <c r="B692" s="38">
        <v>39148</v>
      </c>
      <c r="C692">
        <v>120.14879999999999</v>
      </c>
    </row>
    <row r="693" spans="2:3">
      <c r="B693" s="38">
        <v>39149</v>
      </c>
      <c r="C693">
        <v>120.57380000000001</v>
      </c>
    </row>
    <row r="694" spans="2:3">
      <c r="B694" s="38">
        <v>39150</v>
      </c>
      <c r="C694">
        <v>120.3741</v>
      </c>
    </row>
    <row r="695" spans="2:3">
      <c r="B695" s="38">
        <v>39153</v>
      </c>
      <c r="C695">
        <v>120.6349</v>
      </c>
    </row>
    <row r="696" spans="2:3">
      <c r="B696" s="38">
        <v>39154</v>
      </c>
      <c r="C696">
        <v>119.8678</v>
      </c>
    </row>
    <row r="697" spans="2:3">
      <c r="B697" s="38">
        <v>39155</v>
      </c>
      <c r="C697">
        <v>120.07729999999999</v>
      </c>
    </row>
    <row r="698" spans="2:3">
      <c r="B698" s="38">
        <v>39156</v>
      </c>
      <c r="C698">
        <v>120.1932</v>
      </c>
    </row>
    <row r="699" spans="2:3">
      <c r="B699" s="38">
        <v>39157</v>
      </c>
      <c r="C699">
        <v>120.01300000000001</v>
      </c>
    </row>
    <row r="700" spans="2:3">
      <c r="B700" s="38">
        <v>39160</v>
      </c>
      <c r="C700">
        <v>120.3747</v>
      </c>
    </row>
    <row r="701" spans="2:3">
      <c r="B701" s="38">
        <v>39161</v>
      </c>
      <c r="C701">
        <v>120.68680000000001</v>
      </c>
    </row>
    <row r="702" spans="2:3">
      <c r="B702" s="38">
        <v>39162</v>
      </c>
      <c r="C702">
        <v>121.4902</v>
      </c>
    </row>
    <row r="703" spans="2:3">
      <c r="B703" s="38">
        <v>39163</v>
      </c>
      <c r="C703">
        <v>121.2313</v>
      </c>
    </row>
    <row r="704" spans="2:3">
      <c r="B704" s="38">
        <v>39164</v>
      </c>
      <c r="C704">
        <v>121.1514</v>
      </c>
    </row>
    <row r="705" spans="2:3">
      <c r="B705" s="38">
        <v>39167</v>
      </c>
      <c r="C705">
        <v>121.29940000000001</v>
      </c>
    </row>
    <row r="706" spans="2:3">
      <c r="B706" s="38">
        <v>39168</v>
      </c>
      <c r="C706">
        <v>121.04510000000001</v>
      </c>
    </row>
    <row r="707" spans="2:3">
      <c r="B707" s="38">
        <v>39169</v>
      </c>
      <c r="C707">
        <v>120.7509</v>
      </c>
    </row>
    <row r="708" spans="2:3">
      <c r="B708" s="38">
        <v>39170</v>
      </c>
      <c r="C708">
        <v>120.8489</v>
      </c>
    </row>
    <row r="709" spans="2:3">
      <c r="B709" s="38">
        <v>39171</v>
      </c>
      <c r="C709">
        <v>120.7581</v>
      </c>
    </row>
    <row r="710" spans="2:3">
      <c r="B710" s="38">
        <v>39174</v>
      </c>
      <c r="C710">
        <v>120.88209999999999</v>
      </c>
    </row>
    <row r="711" spans="2:3">
      <c r="B711" s="38">
        <v>39175</v>
      </c>
      <c r="C711">
        <v>121.244</v>
      </c>
    </row>
    <row r="712" spans="2:3">
      <c r="B712" s="38">
        <v>39176</v>
      </c>
      <c r="C712">
        <v>121.3415</v>
      </c>
    </row>
    <row r="713" spans="2:3">
      <c r="B713" s="38">
        <v>39177</v>
      </c>
      <c r="C713">
        <v>121.4222</v>
      </c>
    </row>
    <row r="714" spans="2:3">
      <c r="B714" s="38">
        <v>39181</v>
      </c>
      <c r="C714">
        <v>121.23950000000001</v>
      </c>
    </row>
    <row r="715" spans="2:3">
      <c r="B715" s="38">
        <v>39182</v>
      </c>
      <c r="C715">
        <v>121.4355</v>
      </c>
    </row>
    <row r="716" spans="2:3">
      <c r="B716" s="38">
        <v>39183</v>
      </c>
      <c r="C716">
        <v>121.11660000000001</v>
      </c>
    </row>
    <row r="717" spans="2:3">
      <c r="B717" s="38">
        <v>39184</v>
      </c>
      <c r="C717">
        <v>121.39060000000001</v>
      </c>
    </row>
    <row r="718" spans="2:3">
      <c r="B718" s="38">
        <v>39185</v>
      </c>
      <c r="C718">
        <v>121.486</v>
      </c>
    </row>
    <row r="719" spans="2:3">
      <c r="B719" s="38">
        <v>39188</v>
      </c>
      <c r="C719">
        <v>122.08750000000001</v>
      </c>
    </row>
    <row r="720" spans="2:3">
      <c r="B720" s="38">
        <v>39189</v>
      </c>
      <c r="C720">
        <v>122.378</v>
      </c>
    </row>
    <row r="721" spans="2:3">
      <c r="B721" s="38">
        <v>39190</v>
      </c>
      <c r="C721">
        <v>122.54040000000001</v>
      </c>
    </row>
    <row r="722" spans="2:3">
      <c r="B722" s="38">
        <v>39191</v>
      </c>
      <c r="C722">
        <v>122.4846</v>
      </c>
    </row>
    <row r="723" spans="2:3">
      <c r="B723" s="38">
        <v>39192</v>
      </c>
      <c r="C723">
        <v>122.8991</v>
      </c>
    </row>
    <row r="724" spans="2:3">
      <c r="B724" s="38">
        <v>39195</v>
      </c>
      <c r="C724">
        <v>122.89279999999999</v>
      </c>
    </row>
    <row r="725" spans="2:3">
      <c r="B725" s="38">
        <v>39196</v>
      </c>
      <c r="C725">
        <v>122.9794</v>
      </c>
    </row>
    <row r="726" spans="2:3">
      <c r="B726" s="38">
        <v>39197</v>
      </c>
      <c r="C726">
        <v>123.3565</v>
      </c>
    </row>
    <row r="727" spans="2:3">
      <c r="B727" s="38">
        <v>39198</v>
      </c>
      <c r="C727">
        <v>123.1845</v>
      </c>
    </row>
    <row r="728" spans="2:3">
      <c r="B728" s="38">
        <v>39199</v>
      </c>
      <c r="C728">
        <v>123.134</v>
      </c>
    </row>
    <row r="729" spans="2:3">
      <c r="B729" s="38">
        <v>39202</v>
      </c>
      <c r="C729">
        <v>122.9735</v>
      </c>
    </row>
    <row r="730" spans="2:3">
      <c r="B730" s="38">
        <v>39203</v>
      </c>
      <c r="C730">
        <v>123.0675</v>
      </c>
    </row>
    <row r="731" spans="2:3">
      <c r="B731" s="38">
        <v>39204</v>
      </c>
      <c r="C731">
        <v>123.41200000000001</v>
      </c>
    </row>
    <row r="732" spans="2:3">
      <c r="B732" s="38">
        <v>39205</v>
      </c>
      <c r="C732">
        <v>123.56440000000001</v>
      </c>
    </row>
    <row r="733" spans="2:3">
      <c r="B733" s="38">
        <v>39206</v>
      </c>
      <c r="C733">
        <v>123.8036</v>
      </c>
    </row>
    <row r="734" spans="2:3">
      <c r="B734" s="38">
        <v>39209</v>
      </c>
      <c r="C734">
        <v>123.9851</v>
      </c>
    </row>
    <row r="735" spans="2:3">
      <c r="B735" s="38">
        <v>39210</v>
      </c>
      <c r="C735">
        <v>123.92749999999999</v>
      </c>
    </row>
    <row r="736" spans="2:3">
      <c r="B736" s="38">
        <v>39211</v>
      </c>
      <c r="C736">
        <v>124.0097</v>
      </c>
    </row>
    <row r="737" spans="2:3">
      <c r="B737" s="38">
        <v>39212</v>
      </c>
      <c r="C737">
        <v>123.2479</v>
      </c>
    </row>
    <row r="738" spans="2:3">
      <c r="B738" s="38">
        <v>39213</v>
      </c>
      <c r="C738">
        <v>123.7953</v>
      </c>
    </row>
    <row r="739" spans="2:3">
      <c r="B739" s="38">
        <v>39216</v>
      </c>
      <c r="C739">
        <v>123.6592</v>
      </c>
    </row>
    <row r="740" spans="2:3">
      <c r="B740" s="38">
        <v>39217</v>
      </c>
      <c r="C740">
        <v>123.53230000000001</v>
      </c>
    </row>
    <row r="741" spans="2:3">
      <c r="B741" s="38">
        <v>39218</v>
      </c>
      <c r="C741">
        <v>124.09</v>
      </c>
    </row>
    <row r="742" spans="2:3">
      <c r="B742" s="38">
        <v>39219</v>
      </c>
      <c r="C742">
        <v>123.9109</v>
      </c>
    </row>
    <row r="743" spans="2:3">
      <c r="B743" s="38">
        <v>39220</v>
      </c>
      <c r="C743">
        <v>124.199</v>
      </c>
    </row>
    <row r="744" spans="2:3">
      <c r="B744" s="38">
        <v>39223</v>
      </c>
      <c r="C744">
        <v>124.3814</v>
      </c>
    </row>
    <row r="745" spans="2:3">
      <c r="B745" s="38">
        <v>39224</v>
      </c>
      <c r="C745">
        <v>124.2495</v>
      </c>
    </row>
    <row r="746" spans="2:3">
      <c r="B746" s="38">
        <v>39225</v>
      </c>
      <c r="C746">
        <v>124.0998</v>
      </c>
    </row>
    <row r="747" spans="2:3">
      <c r="B747" s="38">
        <v>39226</v>
      </c>
      <c r="C747">
        <v>123.4408</v>
      </c>
    </row>
    <row r="748" spans="2:3">
      <c r="B748" s="38">
        <v>39227</v>
      </c>
      <c r="C748">
        <v>123.8289</v>
      </c>
    </row>
    <row r="749" spans="2:3">
      <c r="B749" s="38">
        <v>39231</v>
      </c>
      <c r="C749">
        <v>123.9115</v>
      </c>
    </row>
    <row r="750" spans="2:3">
      <c r="B750" s="38">
        <v>39232</v>
      </c>
      <c r="C750">
        <v>124.46299999999999</v>
      </c>
    </row>
    <row r="751" spans="2:3">
      <c r="B751" s="38">
        <v>39233</v>
      </c>
      <c r="C751">
        <v>124.452</v>
      </c>
    </row>
    <row r="752" spans="2:3">
      <c r="B752" s="38">
        <v>39234</v>
      </c>
      <c r="C752">
        <v>124.5427</v>
      </c>
    </row>
    <row r="753" spans="2:3">
      <c r="B753" s="38">
        <v>39237</v>
      </c>
      <c r="C753">
        <v>124.7556</v>
      </c>
    </row>
    <row r="754" spans="2:3">
      <c r="B754" s="38">
        <v>39238</v>
      </c>
      <c r="C754">
        <v>124.2654</v>
      </c>
    </row>
    <row r="755" spans="2:3">
      <c r="B755" s="38">
        <v>39239</v>
      </c>
      <c r="C755">
        <v>123.65430000000001</v>
      </c>
    </row>
    <row r="756" spans="2:3">
      <c r="B756" s="38">
        <v>39240</v>
      </c>
      <c r="C756">
        <v>122.1037</v>
      </c>
    </row>
    <row r="757" spans="2:3">
      <c r="B757" s="38">
        <v>39241</v>
      </c>
      <c r="C757">
        <v>122.8</v>
      </c>
    </row>
    <row r="758" spans="2:3">
      <c r="B758" s="38">
        <v>39244</v>
      </c>
      <c r="C758">
        <v>122.85420000000001</v>
      </c>
    </row>
    <row r="759" spans="2:3">
      <c r="B759" s="38">
        <v>39245</v>
      </c>
      <c r="C759">
        <v>121.86239999999999</v>
      </c>
    </row>
    <row r="760" spans="2:3">
      <c r="B760" s="38">
        <v>39246</v>
      </c>
      <c r="C760">
        <v>122.8631</v>
      </c>
    </row>
    <row r="761" spans="2:3">
      <c r="B761" s="38">
        <v>39247</v>
      </c>
      <c r="C761">
        <v>123.0959</v>
      </c>
    </row>
    <row r="762" spans="2:3">
      <c r="B762" s="38">
        <v>39248</v>
      </c>
      <c r="C762">
        <v>123.6176</v>
      </c>
    </row>
    <row r="763" spans="2:3">
      <c r="B763" s="38">
        <v>39251</v>
      </c>
      <c r="C763">
        <v>123.7169</v>
      </c>
    </row>
    <row r="764" spans="2:3">
      <c r="B764" s="38">
        <v>39252</v>
      </c>
      <c r="C764">
        <v>124.02419999999999</v>
      </c>
    </row>
    <row r="765" spans="2:3">
      <c r="B765" s="38">
        <v>39253</v>
      </c>
      <c r="C765">
        <v>123.2717</v>
      </c>
    </row>
    <row r="766" spans="2:3">
      <c r="B766" s="38">
        <v>39254</v>
      </c>
      <c r="C766">
        <v>123.31310000000001</v>
      </c>
    </row>
    <row r="767" spans="2:3">
      <c r="B767" s="38">
        <v>39255</v>
      </c>
      <c r="C767">
        <v>123.0458</v>
      </c>
    </row>
    <row r="768" spans="2:3">
      <c r="B768" s="38">
        <v>39258</v>
      </c>
      <c r="C768">
        <v>123.22880000000001</v>
      </c>
    </row>
    <row r="769" spans="2:3">
      <c r="B769" s="38">
        <v>39259</v>
      </c>
      <c r="C769">
        <v>123.04470000000001</v>
      </c>
    </row>
    <row r="770" spans="2:3">
      <c r="B770" s="38">
        <v>39260</v>
      </c>
      <c r="C770">
        <v>123.4349</v>
      </c>
    </row>
    <row r="771" spans="2:3">
      <c r="B771" s="38">
        <v>39261</v>
      </c>
      <c r="C771">
        <v>123.22499999999999</v>
      </c>
    </row>
    <row r="772" spans="2:3">
      <c r="B772" s="38">
        <v>39262</v>
      </c>
      <c r="C772">
        <v>123.533</v>
      </c>
    </row>
    <row r="773" spans="2:3">
      <c r="B773" s="38">
        <v>39265</v>
      </c>
      <c r="C773">
        <v>123.95950000000001</v>
      </c>
    </row>
    <row r="774" spans="2:3">
      <c r="B774" s="38">
        <v>39266</v>
      </c>
      <c r="C774">
        <v>123.86069999999999</v>
      </c>
    </row>
    <row r="775" spans="2:3">
      <c r="B775" s="38">
        <v>39268</v>
      </c>
      <c r="C775">
        <v>123.4427</v>
      </c>
    </row>
    <row r="776" spans="2:3">
      <c r="B776" s="38">
        <v>39269</v>
      </c>
      <c r="C776">
        <v>123.2962</v>
      </c>
    </row>
    <row r="777" spans="2:3">
      <c r="B777" s="38">
        <v>39272</v>
      </c>
      <c r="C777">
        <v>123.48269999999999</v>
      </c>
    </row>
    <row r="778" spans="2:3">
      <c r="B778" s="38">
        <v>39273</v>
      </c>
      <c r="C778">
        <v>123.6421</v>
      </c>
    </row>
    <row r="779" spans="2:3">
      <c r="B779" s="38">
        <v>39274</v>
      </c>
      <c r="C779">
        <v>123.6237</v>
      </c>
    </row>
    <row r="780" spans="2:3">
      <c r="B780" s="38">
        <v>39275</v>
      </c>
      <c r="C780">
        <v>124.01</v>
      </c>
    </row>
    <row r="781" spans="2:3">
      <c r="B781" s="38">
        <v>39276</v>
      </c>
      <c r="C781">
        <v>124.2137</v>
      </c>
    </row>
    <row r="782" spans="2:3">
      <c r="B782" s="38">
        <v>39279</v>
      </c>
      <c r="C782">
        <v>124.39109999999999</v>
      </c>
    </row>
    <row r="783" spans="2:3">
      <c r="B783" s="38">
        <v>39280</v>
      </c>
      <c r="C783">
        <v>124.2189</v>
      </c>
    </row>
    <row r="784" spans="2:3">
      <c r="B784" s="38">
        <v>39281</v>
      </c>
      <c r="C784">
        <v>124.39279999999999</v>
      </c>
    </row>
    <row r="785" spans="2:3">
      <c r="B785" s="38">
        <v>39282</v>
      </c>
      <c r="C785">
        <v>124.50620000000001</v>
      </c>
    </row>
    <row r="786" spans="2:3">
      <c r="B786" s="38">
        <v>39283</v>
      </c>
      <c r="C786">
        <v>124.18989999999999</v>
      </c>
    </row>
    <row r="787" spans="2:3">
      <c r="B787" s="38">
        <v>39286</v>
      </c>
      <c r="C787">
        <v>124.36499999999999</v>
      </c>
    </row>
    <row r="788" spans="2:3">
      <c r="B788" s="38">
        <v>39287</v>
      </c>
      <c r="C788">
        <v>123.6673</v>
      </c>
    </row>
    <row r="789" spans="2:3">
      <c r="B789" s="38">
        <v>39288</v>
      </c>
      <c r="C789">
        <v>123.9682</v>
      </c>
    </row>
    <row r="790" spans="2:3">
      <c r="B790" s="38">
        <v>39289</v>
      </c>
      <c r="C790">
        <v>123.53789999999999</v>
      </c>
    </row>
    <row r="791" spans="2:3">
      <c r="B791" s="38">
        <v>39290</v>
      </c>
      <c r="C791">
        <v>122.7664</v>
      </c>
    </row>
    <row r="792" spans="2:3">
      <c r="B792" s="38">
        <v>39293</v>
      </c>
      <c r="C792">
        <v>123.03619999999999</v>
      </c>
    </row>
    <row r="793" spans="2:3">
      <c r="B793" s="38">
        <v>39294</v>
      </c>
      <c r="C793">
        <v>122.7667</v>
      </c>
    </row>
    <row r="794" spans="2:3">
      <c r="B794" s="38">
        <v>39295</v>
      </c>
      <c r="C794">
        <v>123.03449999999999</v>
      </c>
    </row>
    <row r="795" spans="2:3">
      <c r="B795" s="38">
        <v>39296</v>
      </c>
      <c r="C795">
        <v>123.2646</v>
      </c>
    </row>
    <row r="796" spans="2:3">
      <c r="B796" s="38">
        <v>39297</v>
      </c>
      <c r="C796">
        <v>122.76130000000001</v>
      </c>
    </row>
    <row r="797" spans="2:3">
      <c r="B797" s="38">
        <v>39300</v>
      </c>
      <c r="C797">
        <v>123.38939999999999</v>
      </c>
    </row>
    <row r="798" spans="2:3">
      <c r="B798" s="38">
        <v>39301</v>
      </c>
      <c r="C798">
        <v>123.58750000000001</v>
      </c>
    </row>
    <row r="799" spans="2:3">
      <c r="B799" s="38">
        <v>39302</v>
      </c>
      <c r="C799">
        <v>123.65470000000001</v>
      </c>
    </row>
    <row r="800" spans="2:3">
      <c r="B800" s="38">
        <v>39303</v>
      </c>
      <c r="C800">
        <v>122.9941</v>
      </c>
    </row>
    <row r="801" spans="2:3">
      <c r="B801" s="38">
        <v>39304</v>
      </c>
      <c r="C801">
        <v>123.0061</v>
      </c>
    </row>
    <row r="802" spans="2:3">
      <c r="B802" s="38">
        <v>39307</v>
      </c>
      <c r="C802">
        <v>122.98009999999999</v>
      </c>
    </row>
    <row r="803" spans="2:3">
      <c r="B803" s="38">
        <v>39308</v>
      </c>
      <c r="C803">
        <v>122.5843</v>
      </c>
    </row>
    <row r="804" spans="2:3">
      <c r="B804" s="38">
        <v>39309</v>
      </c>
      <c r="C804">
        <v>122.22750000000001</v>
      </c>
    </row>
    <row r="805" spans="2:3">
      <c r="B805" s="38">
        <v>39310</v>
      </c>
      <c r="C805">
        <v>122.7517</v>
      </c>
    </row>
    <row r="806" spans="2:3">
      <c r="B806" s="38">
        <v>39311</v>
      </c>
      <c r="C806">
        <v>123.4422</v>
      </c>
    </row>
    <row r="807" spans="2:3">
      <c r="B807" s="38">
        <v>39314</v>
      </c>
      <c r="C807">
        <v>123.6065</v>
      </c>
    </row>
    <row r="808" spans="2:3">
      <c r="B808" s="38">
        <v>39315</v>
      </c>
      <c r="C808">
        <v>123.8635</v>
      </c>
    </row>
    <row r="809" spans="2:3">
      <c r="B809" s="38">
        <v>39316</v>
      </c>
      <c r="C809">
        <v>124.08199999999999</v>
      </c>
    </row>
    <row r="810" spans="2:3">
      <c r="B810" s="38">
        <v>39317</v>
      </c>
      <c r="C810">
        <v>124.0956</v>
      </c>
    </row>
    <row r="811" spans="2:3">
      <c r="B811" s="38">
        <v>39318</v>
      </c>
      <c r="C811">
        <v>124.62</v>
      </c>
    </row>
    <row r="812" spans="2:3">
      <c r="B812" s="38">
        <v>39321</v>
      </c>
      <c r="C812">
        <v>124.5802</v>
      </c>
    </row>
    <row r="813" spans="2:3">
      <c r="B813" s="38">
        <v>39322</v>
      </c>
      <c r="C813">
        <v>124.029</v>
      </c>
    </row>
    <row r="814" spans="2:3">
      <c r="B814" s="38">
        <v>39323</v>
      </c>
      <c r="C814">
        <v>124.55329999999999</v>
      </c>
    </row>
    <row r="815" spans="2:3">
      <c r="B815" s="38">
        <v>39324</v>
      </c>
      <c r="C815">
        <v>124.64700000000001</v>
      </c>
    </row>
    <row r="816" spans="2:3">
      <c r="B816" s="38">
        <v>39325</v>
      </c>
      <c r="C816">
        <v>124.7993</v>
      </c>
    </row>
    <row r="817" spans="2:3">
      <c r="B817" s="38">
        <v>39329</v>
      </c>
      <c r="C817">
        <v>125.05</v>
      </c>
    </row>
    <row r="818" spans="2:3">
      <c r="B818" s="38">
        <v>39330</v>
      </c>
      <c r="C818">
        <v>125.13160000000001</v>
      </c>
    </row>
    <row r="819" spans="2:3">
      <c r="B819" s="38">
        <v>39331</v>
      </c>
      <c r="C819">
        <v>125.2136</v>
      </c>
    </row>
    <row r="820" spans="2:3">
      <c r="B820" s="38">
        <v>39332</v>
      </c>
      <c r="C820">
        <v>125.3342</v>
      </c>
    </row>
    <row r="821" spans="2:3">
      <c r="B821" s="38">
        <v>39335</v>
      </c>
      <c r="C821">
        <v>125.47669999999999</v>
      </c>
    </row>
    <row r="822" spans="2:3">
      <c r="B822" s="38">
        <v>39336</v>
      </c>
      <c r="C822">
        <v>125.7336</v>
      </c>
    </row>
    <row r="823" spans="2:3">
      <c r="B823" s="38">
        <v>39337</v>
      </c>
      <c r="C823">
        <v>125.5998</v>
      </c>
    </row>
    <row r="824" spans="2:3">
      <c r="B824" s="38">
        <v>39338</v>
      </c>
      <c r="C824">
        <v>125.6307</v>
      </c>
    </row>
    <row r="825" spans="2:3">
      <c r="B825" s="38">
        <v>39339</v>
      </c>
      <c r="C825">
        <v>125.76</v>
      </c>
    </row>
    <row r="826" spans="2:3">
      <c r="B826" s="38">
        <v>39342</v>
      </c>
      <c r="C826">
        <v>125.58280000000001</v>
      </c>
    </row>
    <row r="827" spans="2:3">
      <c r="B827" s="38">
        <v>39343</v>
      </c>
      <c r="C827">
        <v>126.89100000000001</v>
      </c>
    </row>
    <row r="828" spans="2:3">
      <c r="B828" s="38">
        <v>39344</v>
      </c>
      <c r="C828">
        <v>127.0997</v>
      </c>
    </row>
    <row r="829" spans="2:3">
      <c r="B829" s="38">
        <v>39345</v>
      </c>
      <c r="C829">
        <v>126.2002</v>
      </c>
    </row>
    <row r="830" spans="2:3">
      <c r="B830" s="38">
        <v>39346</v>
      </c>
      <c r="C830">
        <v>126.52</v>
      </c>
    </row>
    <row r="831" spans="2:3">
      <c r="B831" s="38">
        <v>39349</v>
      </c>
      <c r="C831">
        <v>126.3788</v>
      </c>
    </row>
    <row r="832" spans="2:3">
      <c r="B832" s="38">
        <v>39350</v>
      </c>
      <c r="C832">
        <v>126.3904</v>
      </c>
    </row>
    <row r="833" spans="2:3">
      <c r="B833" s="38">
        <v>39351</v>
      </c>
      <c r="C833">
        <v>126.592</v>
      </c>
    </row>
    <row r="834" spans="2:3">
      <c r="B834" s="38">
        <v>39352</v>
      </c>
      <c r="C834">
        <v>126.9854</v>
      </c>
    </row>
    <row r="835" spans="2:3">
      <c r="B835" s="38">
        <v>39353</v>
      </c>
      <c r="C835">
        <v>126.8005</v>
      </c>
    </row>
    <row r="836" spans="2:3">
      <c r="B836" s="38">
        <v>39356</v>
      </c>
      <c r="C836">
        <v>127.3254</v>
      </c>
    </row>
    <row r="837" spans="2:3">
      <c r="B837" s="38">
        <v>39357</v>
      </c>
      <c r="C837">
        <v>127.47150000000001</v>
      </c>
    </row>
    <row r="838" spans="2:3">
      <c r="B838" s="38">
        <v>39358</v>
      </c>
      <c r="C838">
        <v>127.3214</v>
      </c>
    </row>
    <row r="839" spans="2:3">
      <c r="B839" s="38">
        <v>39359</v>
      </c>
      <c r="C839">
        <v>127.4646</v>
      </c>
    </row>
    <row r="840" spans="2:3">
      <c r="B840" s="38">
        <v>39360</v>
      </c>
      <c r="C840">
        <v>127.27970000000001</v>
      </c>
    </row>
    <row r="841" spans="2:3">
      <c r="B841" s="38">
        <v>39364</v>
      </c>
      <c r="C841">
        <v>127.5081</v>
      </c>
    </row>
    <row r="842" spans="2:3">
      <c r="B842" s="38">
        <v>39365</v>
      </c>
      <c r="C842">
        <v>127.44589999999999</v>
      </c>
    </row>
    <row r="843" spans="2:3">
      <c r="B843" s="38">
        <v>39366</v>
      </c>
      <c r="C843">
        <v>127.30589999999999</v>
      </c>
    </row>
    <row r="844" spans="2:3">
      <c r="B844" s="38">
        <v>39367</v>
      </c>
      <c r="C844">
        <v>127.3404</v>
      </c>
    </row>
    <row r="845" spans="2:3">
      <c r="B845" s="38">
        <v>39370</v>
      </c>
      <c r="C845">
        <v>127.1155</v>
      </c>
    </row>
    <row r="846" spans="2:3">
      <c r="B846" s="38">
        <v>39371</v>
      </c>
      <c r="C846">
        <v>126.9425</v>
      </c>
    </row>
    <row r="847" spans="2:3">
      <c r="B847" s="38">
        <v>39372</v>
      </c>
      <c r="C847">
        <v>127.4134</v>
      </c>
    </row>
    <row r="848" spans="2:3">
      <c r="B848" s="38">
        <v>39373</v>
      </c>
      <c r="C848">
        <v>127.5951</v>
      </c>
    </row>
    <row r="849" spans="2:3">
      <c r="B849" s="38">
        <v>39374</v>
      </c>
      <c r="C849">
        <v>126.90349999999999</v>
      </c>
    </row>
    <row r="850" spans="2:3">
      <c r="B850" s="38">
        <v>39377</v>
      </c>
      <c r="C850">
        <v>127.1647</v>
      </c>
    </row>
    <row r="851" spans="2:3">
      <c r="B851" s="38">
        <v>39378</v>
      </c>
      <c r="C851">
        <v>127.5206</v>
      </c>
    </row>
    <row r="852" spans="2:3">
      <c r="B852" s="38">
        <v>39379</v>
      </c>
      <c r="C852">
        <v>127.7283</v>
      </c>
    </row>
    <row r="853" spans="2:3">
      <c r="B853" s="38">
        <v>39380</v>
      </c>
      <c r="C853">
        <v>127.6322</v>
      </c>
    </row>
    <row r="854" spans="2:3">
      <c r="B854" s="38">
        <v>39381</v>
      </c>
      <c r="C854">
        <v>128.0429</v>
      </c>
    </row>
    <row r="855" spans="2:3">
      <c r="B855" s="38">
        <v>39384</v>
      </c>
      <c r="C855">
        <v>128.28450000000001</v>
      </c>
    </row>
    <row r="856" spans="2:3">
      <c r="B856" s="38">
        <v>39385</v>
      </c>
      <c r="C856">
        <v>127.96639999999999</v>
      </c>
    </row>
    <row r="857" spans="2:3">
      <c r="B857" s="38">
        <v>39386</v>
      </c>
      <c r="C857">
        <v>128.131</v>
      </c>
    </row>
    <row r="858" spans="2:3">
      <c r="B858" s="38">
        <v>39387</v>
      </c>
      <c r="C858">
        <v>127.32980000000001</v>
      </c>
    </row>
    <row r="859" spans="2:3">
      <c r="B859" s="38">
        <v>39388</v>
      </c>
      <c r="C859">
        <v>127.571</v>
      </c>
    </row>
    <row r="860" spans="2:3">
      <c r="B860" s="38">
        <v>39391</v>
      </c>
      <c r="C860">
        <v>127.1921</v>
      </c>
    </row>
    <row r="861" spans="2:3">
      <c r="B861" s="38">
        <v>39392</v>
      </c>
      <c r="C861">
        <v>127.5072</v>
      </c>
    </row>
    <row r="862" spans="2:3">
      <c r="B862" s="38">
        <v>39393</v>
      </c>
      <c r="C862">
        <v>126.40349999999999</v>
      </c>
    </row>
    <row r="863" spans="2:3">
      <c r="B863" s="38">
        <v>39394</v>
      </c>
      <c r="C863">
        <v>126.55759999999999</v>
      </c>
    </row>
    <row r="864" spans="2:3">
      <c r="B864" s="38">
        <v>39395</v>
      </c>
      <c r="C864">
        <v>126.3052</v>
      </c>
    </row>
    <row r="865" spans="2:3">
      <c r="B865" s="38">
        <v>39399</v>
      </c>
      <c r="C865">
        <v>126.864</v>
      </c>
    </row>
    <row r="866" spans="2:3">
      <c r="B866" s="38">
        <v>39400</v>
      </c>
      <c r="C866">
        <v>126.6717</v>
      </c>
    </row>
    <row r="867" spans="2:3">
      <c r="B867" s="38">
        <v>39401</v>
      </c>
      <c r="C867">
        <v>126.7456</v>
      </c>
    </row>
    <row r="868" spans="2:3">
      <c r="B868" s="38">
        <v>39402</v>
      </c>
      <c r="C868">
        <v>126.8578</v>
      </c>
    </row>
    <row r="869" spans="2:3">
      <c r="B869" s="38">
        <v>39405</v>
      </c>
      <c r="C869">
        <v>126.57510000000001</v>
      </c>
    </row>
    <row r="870" spans="2:3">
      <c r="B870" s="38">
        <v>39406</v>
      </c>
      <c r="C870">
        <v>126.6238</v>
      </c>
    </row>
    <row r="871" spans="2:3">
      <c r="B871" s="38">
        <v>39407</v>
      </c>
      <c r="C871">
        <v>126.31180000000001</v>
      </c>
    </row>
    <row r="872" spans="2:3">
      <c r="B872" s="38">
        <v>39409</v>
      </c>
      <c r="C872">
        <v>127.11790000000001</v>
      </c>
    </row>
    <row r="873" spans="2:3">
      <c r="B873" s="38">
        <v>39412</v>
      </c>
      <c r="C873">
        <v>127.1365</v>
      </c>
    </row>
    <row r="874" spans="2:3">
      <c r="B874" s="38">
        <v>39413</v>
      </c>
      <c r="C874">
        <v>127.16970000000001</v>
      </c>
    </row>
    <row r="875" spans="2:3">
      <c r="B875" s="38">
        <v>39414</v>
      </c>
      <c r="C875">
        <v>127.9774</v>
      </c>
    </row>
    <row r="876" spans="2:3">
      <c r="B876" s="38">
        <v>39415</v>
      </c>
      <c r="C876">
        <v>128.33930000000001</v>
      </c>
    </row>
    <row r="877" spans="2:3">
      <c r="B877" s="38">
        <v>39416</v>
      </c>
      <c r="C877">
        <v>128.63460000000001</v>
      </c>
    </row>
    <row r="878" spans="2:3">
      <c r="B878" s="38">
        <v>39419</v>
      </c>
      <c r="C878">
        <v>128.6951</v>
      </c>
    </row>
    <row r="879" spans="2:3">
      <c r="B879" s="38">
        <v>39420</v>
      </c>
      <c r="C879">
        <v>128.53020000000001</v>
      </c>
    </row>
    <row r="880" spans="2:3">
      <c r="B880" s="38">
        <v>39421</v>
      </c>
      <c r="C880">
        <v>128.9451</v>
      </c>
    </row>
    <row r="881" spans="2:3">
      <c r="B881" s="38">
        <v>39422</v>
      </c>
      <c r="C881">
        <v>129.03989999999999</v>
      </c>
    </row>
    <row r="882" spans="2:3">
      <c r="B882" s="38">
        <v>39423</v>
      </c>
      <c r="C882">
        <v>128.33090000000001</v>
      </c>
    </row>
    <row r="883" spans="2:3">
      <c r="B883" s="38">
        <v>39426</v>
      </c>
      <c r="C883">
        <v>128.51499999999999</v>
      </c>
    </row>
    <row r="884" spans="2:3">
      <c r="B884" s="38">
        <v>39427</v>
      </c>
      <c r="C884">
        <v>128.32759999999999</v>
      </c>
    </row>
    <row r="885" spans="2:3">
      <c r="B885" s="38">
        <v>39428</v>
      </c>
      <c r="C885">
        <v>128.3716</v>
      </c>
    </row>
    <row r="886" spans="2:3">
      <c r="B886" s="38">
        <v>39429</v>
      </c>
      <c r="C886">
        <v>128.13849999999999</v>
      </c>
    </row>
    <row r="887" spans="2:3">
      <c r="B887" s="38">
        <v>39430</v>
      </c>
      <c r="C887">
        <v>127.3436</v>
      </c>
    </row>
    <row r="888" spans="2:3">
      <c r="B888" s="38">
        <v>39433</v>
      </c>
      <c r="C888">
        <v>127.00490000000001</v>
      </c>
    </row>
    <row r="889" spans="2:3">
      <c r="B889" s="38">
        <v>39434</v>
      </c>
      <c r="C889">
        <v>127.6883</v>
      </c>
    </row>
    <row r="890" spans="2:3">
      <c r="B890" s="38">
        <v>39435</v>
      </c>
      <c r="C890">
        <v>127.8891</v>
      </c>
    </row>
    <row r="891" spans="2:3">
      <c r="B891" s="38">
        <v>39436</v>
      </c>
      <c r="C891">
        <v>128.18379999999999</v>
      </c>
    </row>
    <row r="892" spans="2:3">
      <c r="B892" s="38">
        <v>39437</v>
      </c>
      <c r="C892">
        <v>128.09219999999999</v>
      </c>
    </row>
    <row r="893" spans="2:3">
      <c r="B893" s="38">
        <v>39440</v>
      </c>
      <c r="C893">
        <v>128.1833</v>
      </c>
    </row>
    <row r="894" spans="2:3">
      <c r="B894" s="38">
        <v>39442</v>
      </c>
      <c r="C894">
        <v>127.96469999999999</v>
      </c>
    </row>
    <row r="895" spans="2:3">
      <c r="B895" s="38">
        <v>39443</v>
      </c>
      <c r="C895">
        <v>127.80880000000001</v>
      </c>
    </row>
    <row r="896" spans="2:3">
      <c r="B896" s="38">
        <v>39444</v>
      </c>
      <c r="C896">
        <v>128.4153</v>
      </c>
    </row>
    <row r="897" spans="2:3">
      <c r="B897" s="38">
        <v>39447</v>
      </c>
      <c r="C897">
        <v>128.52520000000001</v>
      </c>
    </row>
    <row r="898" spans="2:3">
      <c r="B898" s="38">
        <v>39449</v>
      </c>
      <c r="C898">
        <v>128.64240000000001</v>
      </c>
    </row>
    <row r="899" spans="2:3">
      <c r="B899" s="38">
        <v>39450</v>
      </c>
      <c r="C899">
        <v>128.6112</v>
      </c>
    </row>
    <row r="900" spans="2:3">
      <c r="B900" s="38">
        <v>39451</v>
      </c>
      <c r="C900">
        <v>128.10810000000001</v>
      </c>
    </row>
    <row r="901" spans="2:3">
      <c r="B901" s="38">
        <v>39454</v>
      </c>
      <c r="C901">
        <v>128.3229</v>
      </c>
    </row>
    <row r="902" spans="2:3">
      <c r="B902" s="38">
        <v>39455</v>
      </c>
      <c r="C902">
        <v>127.6878</v>
      </c>
    </row>
    <row r="903" spans="2:3">
      <c r="B903" s="38">
        <v>39456</v>
      </c>
      <c r="C903">
        <v>128.32230000000001</v>
      </c>
    </row>
    <row r="904" spans="2:3">
      <c r="B904" s="38">
        <v>39457</v>
      </c>
      <c r="C904">
        <v>128.36320000000001</v>
      </c>
    </row>
    <row r="905" spans="2:3">
      <c r="B905" s="38">
        <v>39458</v>
      </c>
      <c r="C905">
        <v>128.27160000000001</v>
      </c>
    </row>
    <row r="906" spans="2:3">
      <c r="B906" s="38">
        <v>39461</v>
      </c>
      <c r="C906">
        <v>128.79769999999999</v>
      </c>
    </row>
    <row r="907" spans="2:3">
      <c r="B907" s="38">
        <v>39462</v>
      </c>
      <c r="C907">
        <v>128.23349999999999</v>
      </c>
    </row>
    <row r="908" spans="2:3">
      <c r="B908" s="38">
        <v>39463</v>
      </c>
      <c r="C908">
        <v>127.93640000000001</v>
      </c>
    </row>
    <row r="909" spans="2:3">
      <c r="B909" s="38">
        <v>39464</v>
      </c>
      <c r="C909">
        <v>127.1949</v>
      </c>
    </row>
    <row r="910" spans="2:3">
      <c r="B910" s="38">
        <v>39465</v>
      </c>
      <c r="C910">
        <v>126.9872</v>
      </c>
    </row>
    <row r="911" spans="2:3">
      <c r="B911" s="38">
        <v>39469</v>
      </c>
      <c r="C911">
        <v>127.355</v>
      </c>
    </row>
    <row r="912" spans="2:3">
      <c r="B912" s="38">
        <v>39470</v>
      </c>
      <c r="C912">
        <v>128.34200000000001</v>
      </c>
    </row>
    <row r="913" spans="2:3">
      <c r="B913" s="38">
        <v>39471</v>
      </c>
      <c r="C913">
        <v>127.6831</v>
      </c>
    </row>
    <row r="914" spans="2:3">
      <c r="B914" s="38">
        <v>39472</v>
      </c>
      <c r="C914">
        <v>127.5111</v>
      </c>
    </row>
    <row r="915" spans="2:3">
      <c r="B915" s="38">
        <v>39475</v>
      </c>
      <c r="C915">
        <v>128.0615</v>
      </c>
    </row>
    <row r="916" spans="2:3">
      <c r="B916" s="38">
        <v>39476</v>
      </c>
      <c r="C916">
        <v>127.9837</v>
      </c>
    </row>
    <row r="917" spans="2:3">
      <c r="B917" s="38">
        <v>39477</v>
      </c>
      <c r="C917">
        <v>127.4915</v>
      </c>
    </row>
    <row r="918" spans="2:3">
      <c r="B918" s="38">
        <v>39478</v>
      </c>
      <c r="C918">
        <v>128.2089</v>
      </c>
    </row>
    <row r="919" spans="2:3">
      <c r="B919" s="38">
        <v>39479</v>
      </c>
      <c r="C919">
        <v>128.70249999999999</v>
      </c>
    </row>
    <row r="920" spans="2:3">
      <c r="B920" s="38">
        <v>39482</v>
      </c>
      <c r="C920">
        <v>128.29130000000001</v>
      </c>
    </row>
    <row r="921" spans="2:3">
      <c r="B921" s="38">
        <v>39483</v>
      </c>
      <c r="C921">
        <v>127.87479999999999</v>
      </c>
    </row>
    <row r="922" spans="2:3">
      <c r="B922" s="38">
        <v>39484</v>
      </c>
      <c r="C922">
        <v>127.53449999999999</v>
      </c>
    </row>
    <row r="923" spans="2:3">
      <c r="B923" s="38">
        <v>39485</v>
      </c>
      <c r="C923">
        <v>127.1262</v>
      </c>
    </row>
    <row r="924" spans="2:3">
      <c r="B924" s="38">
        <v>39486</v>
      </c>
      <c r="C924">
        <v>127.2782</v>
      </c>
    </row>
    <row r="925" spans="2:3">
      <c r="B925" s="38">
        <v>39489</v>
      </c>
      <c r="C925">
        <v>127.4546</v>
      </c>
    </row>
    <row r="926" spans="2:3">
      <c r="B926" s="38">
        <v>39490</v>
      </c>
      <c r="C926">
        <v>127.1614</v>
      </c>
    </row>
    <row r="927" spans="2:3">
      <c r="B927" s="38">
        <v>39491</v>
      </c>
      <c r="C927">
        <v>127.34439999999999</v>
      </c>
    </row>
    <row r="928" spans="2:3">
      <c r="B928" s="38">
        <v>39492</v>
      </c>
      <c r="C928">
        <v>126.3995</v>
      </c>
    </row>
    <row r="929" spans="2:3">
      <c r="B929" s="38">
        <v>39493</v>
      </c>
      <c r="C929">
        <v>126.4491</v>
      </c>
    </row>
    <row r="930" spans="2:3">
      <c r="B930" s="38">
        <v>39497</v>
      </c>
      <c r="C930">
        <v>125.6717</v>
      </c>
    </row>
    <row r="931" spans="2:3">
      <c r="B931" s="38">
        <v>39498</v>
      </c>
      <c r="C931">
        <v>125.6537</v>
      </c>
    </row>
    <row r="932" spans="2:3">
      <c r="B932" s="38">
        <v>39499</v>
      </c>
      <c r="C932">
        <v>126.2199</v>
      </c>
    </row>
    <row r="933" spans="2:3">
      <c r="B933" s="38">
        <v>39500</v>
      </c>
      <c r="C933">
        <v>126.157</v>
      </c>
    </row>
    <row r="934" spans="2:3">
      <c r="B934" s="38">
        <v>39503</v>
      </c>
      <c r="C934">
        <v>126.00060000000001</v>
      </c>
    </row>
    <row r="935" spans="2:3">
      <c r="B935" s="38">
        <v>39504</v>
      </c>
      <c r="C935">
        <v>126.5904</v>
      </c>
    </row>
    <row r="936" spans="2:3">
      <c r="B936" s="38">
        <v>39505</v>
      </c>
      <c r="C936">
        <v>126.77460000000001</v>
      </c>
    </row>
    <row r="937" spans="2:3">
      <c r="B937" s="38">
        <v>39506</v>
      </c>
      <c r="C937">
        <v>127.16800000000001</v>
      </c>
    </row>
    <row r="938" spans="2:3">
      <c r="B938" s="38">
        <v>39507</v>
      </c>
      <c r="C938">
        <v>127.4526</v>
      </c>
    </row>
    <row r="939" spans="2:3">
      <c r="B939" s="38">
        <v>39510</v>
      </c>
      <c r="C939">
        <v>127.4126</v>
      </c>
    </row>
    <row r="940" spans="2:3">
      <c r="B940" s="38">
        <v>39511</v>
      </c>
      <c r="C940">
        <v>126.85720000000001</v>
      </c>
    </row>
    <row r="941" spans="2:3">
      <c r="B941" s="38">
        <v>39512</v>
      </c>
      <c r="C941">
        <v>126.232</v>
      </c>
    </row>
    <row r="942" spans="2:3">
      <c r="B942" s="38">
        <v>39513</v>
      </c>
      <c r="C942">
        <v>125.45959999999999</v>
      </c>
    </row>
    <row r="943" spans="2:3">
      <c r="B943" s="38">
        <v>39514</v>
      </c>
      <c r="C943">
        <v>125.99930000000001</v>
      </c>
    </row>
    <row r="944" spans="2:3">
      <c r="B944" s="38">
        <v>39517</v>
      </c>
      <c r="C944">
        <v>125.973</v>
      </c>
    </row>
    <row r="945" spans="2:3">
      <c r="B945" s="38">
        <v>39518</v>
      </c>
      <c r="C945">
        <v>126.4158</v>
      </c>
    </row>
    <row r="946" spans="2:3">
      <c r="B946" s="38">
        <v>39519</v>
      </c>
      <c r="C946">
        <v>127.09650000000001</v>
      </c>
    </row>
    <row r="947" spans="2:3">
      <c r="B947" s="38">
        <v>39520</v>
      </c>
      <c r="C947">
        <v>126.9915</v>
      </c>
    </row>
    <row r="948" spans="2:3">
      <c r="B948" s="38">
        <v>39521</v>
      </c>
      <c r="C948">
        <v>127.2182</v>
      </c>
    </row>
    <row r="949" spans="2:3">
      <c r="B949" s="38">
        <v>39524</v>
      </c>
      <c r="C949">
        <v>128.21080000000001</v>
      </c>
    </row>
    <row r="950" spans="2:3">
      <c r="B950" s="38">
        <v>39525</v>
      </c>
      <c r="C950">
        <v>128.5669</v>
      </c>
    </row>
    <row r="951" spans="2:3">
      <c r="B951" s="38">
        <v>39526</v>
      </c>
      <c r="C951">
        <v>128.5343</v>
      </c>
    </row>
    <row r="952" spans="2:3">
      <c r="B952" s="38">
        <v>39527</v>
      </c>
      <c r="C952">
        <v>128.99379999999999</v>
      </c>
    </row>
    <row r="953" spans="2:3">
      <c r="B953" s="38">
        <v>39531</v>
      </c>
      <c r="C953">
        <v>128.56899999999999</v>
      </c>
    </row>
    <row r="954" spans="2:3">
      <c r="B954" s="38">
        <v>39532</v>
      </c>
      <c r="C954">
        <v>128.8152</v>
      </c>
    </row>
    <row r="955" spans="2:3">
      <c r="B955" s="38">
        <v>39533</v>
      </c>
      <c r="C955">
        <v>128.61179999999999</v>
      </c>
    </row>
    <row r="956" spans="2:3">
      <c r="B956" s="38">
        <v>39534</v>
      </c>
      <c r="C956">
        <v>128.00890000000001</v>
      </c>
    </row>
    <row r="957" spans="2:3">
      <c r="B957" s="38">
        <v>39535</v>
      </c>
      <c r="C957">
        <v>128.2011</v>
      </c>
    </row>
    <row r="958" spans="2:3">
      <c r="B958" s="38">
        <v>39538</v>
      </c>
      <c r="C958">
        <v>128.5505</v>
      </c>
    </row>
    <row r="959" spans="2:3">
      <c r="B959" s="38">
        <v>39539</v>
      </c>
      <c r="C959">
        <v>128.76560000000001</v>
      </c>
    </row>
    <row r="960" spans="2:3">
      <c r="B960" s="38">
        <v>39540</v>
      </c>
      <c r="C960">
        <v>128.59989999999999</v>
      </c>
    </row>
    <row r="961" spans="2:3">
      <c r="B961" s="38">
        <v>39541</v>
      </c>
      <c r="C961">
        <v>128.6764</v>
      </c>
    </row>
    <row r="962" spans="2:3">
      <c r="B962" s="38">
        <v>39542</v>
      </c>
      <c r="C962">
        <v>129.50890000000001</v>
      </c>
    </row>
    <row r="963" spans="2:3">
      <c r="B963" s="38">
        <v>39545</v>
      </c>
      <c r="C963">
        <v>129.2381</v>
      </c>
    </row>
    <row r="964" spans="2:3">
      <c r="B964" s="38">
        <v>39546</v>
      </c>
      <c r="C964">
        <v>128.9802</v>
      </c>
    </row>
    <row r="965" spans="2:3">
      <c r="B965" s="38">
        <v>39547</v>
      </c>
      <c r="C965">
        <v>129.24539999999999</v>
      </c>
    </row>
    <row r="966" spans="2:3">
      <c r="B966" s="38">
        <v>39548</v>
      </c>
      <c r="C966">
        <v>129.03630000000001</v>
      </c>
    </row>
    <row r="967" spans="2:3">
      <c r="B967" s="38">
        <v>39549</v>
      </c>
      <c r="C967">
        <v>128.91980000000001</v>
      </c>
    </row>
    <row r="968" spans="2:3">
      <c r="B968" s="38">
        <v>39552</v>
      </c>
      <c r="C968">
        <v>128.6337</v>
      </c>
    </row>
    <row r="969" spans="2:3">
      <c r="B969" s="38">
        <v>39553</v>
      </c>
      <c r="C969">
        <v>128.3186</v>
      </c>
    </row>
    <row r="970" spans="2:3">
      <c r="B970" s="38">
        <v>39554</v>
      </c>
      <c r="C970">
        <v>128.20050000000001</v>
      </c>
    </row>
    <row r="971" spans="2:3">
      <c r="B971" s="38">
        <v>39555</v>
      </c>
      <c r="C971">
        <v>128.1071</v>
      </c>
    </row>
    <row r="972" spans="2:3">
      <c r="B972" s="38">
        <v>39556</v>
      </c>
      <c r="C972">
        <v>128.70339999999999</v>
      </c>
    </row>
    <row r="973" spans="2:3">
      <c r="B973" s="38">
        <v>39559</v>
      </c>
      <c r="C973">
        <v>128.92310000000001</v>
      </c>
    </row>
    <row r="974" spans="2:3">
      <c r="B974" s="38">
        <v>39560</v>
      </c>
      <c r="C974">
        <v>128.7448</v>
      </c>
    </row>
    <row r="975" spans="2:3">
      <c r="B975" s="38">
        <v>39561</v>
      </c>
      <c r="C975">
        <v>128.71860000000001</v>
      </c>
    </row>
    <row r="976" spans="2:3">
      <c r="B976" s="38">
        <v>39562</v>
      </c>
      <c r="C976">
        <v>128.3287</v>
      </c>
    </row>
    <row r="977" spans="2:3">
      <c r="B977" s="38">
        <v>39563</v>
      </c>
      <c r="C977">
        <v>128.43369999999999</v>
      </c>
    </row>
    <row r="978" spans="2:3">
      <c r="B978" s="38">
        <v>39566</v>
      </c>
      <c r="C978">
        <v>128.73859999999999</v>
      </c>
    </row>
    <row r="979" spans="2:3">
      <c r="B979" s="38">
        <v>39567</v>
      </c>
      <c r="C979">
        <v>128.773</v>
      </c>
    </row>
    <row r="980" spans="2:3">
      <c r="B980" s="38">
        <v>39568</v>
      </c>
      <c r="C980">
        <v>129.0325</v>
      </c>
    </row>
    <row r="981" spans="2:3">
      <c r="B981" s="38">
        <v>39569</v>
      </c>
      <c r="C981">
        <v>129.58000000000001</v>
      </c>
    </row>
    <row r="982" spans="2:3">
      <c r="B982" s="38">
        <v>39570</v>
      </c>
      <c r="C982">
        <v>129.2936</v>
      </c>
    </row>
    <row r="983" spans="2:3">
      <c r="B983" s="38">
        <v>39573</v>
      </c>
      <c r="C983">
        <v>129.1703</v>
      </c>
    </row>
    <row r="984" spans="2:3">
      <c r="B984" s="38">
        <v>39574</v>
      </c>
      <c r="C984">
        <v>129.227</v>
      </c>
    </row>
    <row r="985" spans="2:3">
      <c r="B985" s="38">
        <v>39575</v>
      </c>
      <c r="C985">
        <v>128.78370000000001</v>
      </c>
    </row>
    <row r="986" spans="2:3">
      <c r="B986" s="38">
        <v>39576</v>
      </c>
      <c r="C986">
        <v>129.2277</v>
      </c>
    </row>
    <row r="987" spans="2:3">
      <c r="B987" s="38">
        <v>39577</v>
      </c>
      <c r="C987">
        <v>129.0472</v>
      </c>
    </row>
    <row r="988" spans="2:3">
      <c r="B988" s="38">
        <v>39580</v>
      </c>
      <c r="C988">
        <v>129.37610000000001</v>
      </c>
    </row>
    <row r="989" spans="2:3">
      <c r="B989" s="38">
        <v>39581</v>
      </c>
      <c r="C989">
        <v>128.68600000000001</v>
      </c>
    </row>
    <row r="990" spans="2:3">
      <c r="B990" s="38">
        <v>39582</v>
      </c>
      <c r="C990">
        <v>128.71250000000001</v>
      </c>
    </row>
    <row r="991" spans="2:3">
      <c r="B991" s="38">
        <v>39583</v>
      </c>
      <c r="C991">
        <v>129.71180000000001</v>
      </c>
    </row>
    <row r="992" spans="2:3">
      <c r="B992" s="38">
        <v>39584</v>
      </c>
      <c r="C992">
        <v>129.73429999999999</v>
      </c>
    </row>
    <row r="993" spans="2:3">
      <c r="B993" s="38">
        <v>39587</v>
      </c>
      <c r="C993">
        <v>129.9264</v>
      </c>
    </row>
    <row r="994" spans="2:3">
      <c r="B994" s="38">
        <v>39588</v>
      </c>
      <c r="C994">
        <v>129.84059999999999</v>
      </c>
    </row>
    <row r="995" spans="2:3">
      <c r="B995" s="38">
        <v>39589</v>
      </c>
      <c r="C995">
        <v>128.97139999999999</v>
      </c>
    </row>
    <row r="996" spans="2:3">
      <c r="B996" s="38">
        <v>39590</v>
      </c>
      <c r="C996">
        <v>128.5078</v>
      </c>
    </row>
    <row r="997" spans="2:3">
      <c r="B997" s="38">
        <v>39591</v>
      </c>
      <c r="C997">
        <v>128.4127</v>
      </c>
    </row>
    <row r="998" spans="2:3">
      <c r="B998" s="38">
        <v>39595</v>
      </c>
      <c r="C998">
        <v>128.2586</v>
      </c>
    </row>
    <row r="999" spans="2:3">
      <c r="B999" s="38">
        <v>39596</v>
      </c>
      <c r="C999">
        <v>128.00479999999999</v>
      </c>
    </row>
    <row r="1000" spans="2:3">
      <c r="B1000" s="38">
        <v>39597</v>
      </c>
      <c r="C1000">
        <v>127.85890000000001</v>
      </c>
    </row>
    <row r="1001" spans="2:3">
      <c r="B1001" s="38">
        <v>39598</v>
      </c>
      <c r="C1001">
        <v>128.13810000000001</v>
      </c>
    </row>
    <row r="1002" spans="2:3">
      <c r="B1002" s="38">
        <v>39601</v>
      </c>
      <c r="C1002">
        <v>128.04849999999999</v>
      </c>
    </row>
    <row r="1003" spans="2:3">
      <c r="B1003" s="38">
        <v>39602</v>
      </c>
      <c r="C1003">
        <v>128.07149999999999</v>
      </c>
    </row>
    <row r="1004" spans="2:3">
      <c r="B1004" s="38">
        <v>39603</v>
      </c>
      <c r="C1004">
        <v>127.7856</v>
      </c>
    </row>
    <row r="1005" spans="2:3">
      <c r="B1005" s="38">
        <v>39604</v>
      </c>
      <c r="C1005">
        <v>128.2124</v>
      </c>
    </row>
    <row r="1006" spans="2:3">
      <c r="B1006" s="38">
        <v>39605</v>
      </c>
      <c r="C1006">
        <v>127.15560000000001</v>
      </c>
    </row>
    <row r="1007" spans="2:3">
      <c r="B1007" s="38">
        <v>39608</v>
      </c>
      <c r="C1007">
        <v>126.7427</v>
      </c>
    </row>
    <row r="1008" spans="2:3">
      <c r="B1008" s="38">
        <v>39609</v>
      </c>
      <c r="C1008">
        <v>126.0556</v>
      </c>
    </row>
    <row r="1009" spans="2:3">
      <c r="B1009" s="38">
        <v>39610</v>
      </c>
      <c r="C1009">
        <v>125.83759999999999</v>
      </c>
    </row>
    <row r="1010" spans="2:3">
      <c r="B1010" s="38">
        <v>39611</v>
      </c>
      <c r="C1010">
        <v>125.3364</v>
      </c>
    </row>
    <row r="1011" spans="2:3">
      <c r="B1011" s="38">
        <v>39612</v>
      </c>
      <c r="C1011">
        <v>125.46210000000001</v>
      </c>
    </row>
    <row r="1012" spans="2:3">
      <c r="B1012" s="38">
        <v>39615</v>
      </c>
      <c r="C1012">
        <v>125.57640000000001</v>
      </c>
    </row>
    <row r="1013" spans="2:3">
      <c r="B1013" s="38">
        <v>39616</v>
      </c>
      <c r="C1013">
        <v>125.8087</v>
      </c>
    </row>
    <row r="1014" spans="2:3">
      <c r="B1014" s="38">
        <v>39617</v>
      </c>
      <c r="C1014">
        <v>126.1337</v>
      </c>
    </row>
    <row r="1015" spans="2:3">
      <c r="B1015" s="38">
        <v>39618</v>
      </c>
      <c r="C1015">
        <v>125.9452</v>
      </c>
    </row>
    <row r="1016" spans="2:3">
      <c r="B1016" s="38">
        <v>39619</v>
      </c>
      <c r="C1016">
        <v>125.67610000000001</v>
      </c>
    </row>
    <row r="1017" spans="2:3">
      <c r="B1017" s="38">
        <v>39622</v>
      </c>
      <c r="C1017">
        <v>125.40300000000001</v>
      </c>
    </row>
    <row r="1018" spans="2:3">
      <c r="B1018" s="38">
        <v>39623</v>
      </c>
      <c r="C1018">
        <v>125.55719999999999</v>
      </c>
    </row>
    <row r="1019" spans="2:3">
      <c r="B1019" s="38">
        <v>39624</v>
      </c>
      <c r="C1019">
        <v>125.7133</v>
      </c>
    </row>
    <row r="1020" spans="2:3">
      <c r="B1020" s="38">
        <v>39625</v>
      </c>
      <c r="C1020">
        <v>125.271</v>
      </c>
    </row>
    <row r="1021" spans="2:3">
      <c r="B1021" s="38">
        <v>39626</v>
      </c>
      <c r="C1021">
        <v>125.3985</v>
      </c>
    </row>
    <row r="1022" spans="2:3">
      <c r="B1022" s="38">
        <v>39629</v>
      </c>
      <c r="C1022">
        <v>125.5694</v>
      </c>
    </row>
    <row r="1023" spans="2:3">
      <c r="B1023" s="38">
        <v>39630</v>
      </c>
      <c r="C1023">
        <v>125.5197</v>
      </c>
    </row>
    <row r="1024" spans="2:3">
      <c r="B1024" s="38">
        <v>39631</v>
      </c>
      <c r="C1024">
        <v>125.0103</v>
      </c>
    </row>
    <row r="1025" spans="2:3">
      <c r="B1025" s="38">
        <v>39632</v>
      </c>
      <c r="C1025">
        <v>124.9187</v>
      </c>
    </row>
    <row r="1026" spans="2:3">
      <c r="B1026" s="38">
        <v>39636</v>
      </c>
      <c r="C1026">
        <v>124.8685</v>
      </c>
    </row>
    <row r="1027" spans="2:3">
      <c r="B1027" s="38">
        <v>39637</v>
      </c>
      <c r="C1027">
        <v>125.8788</v>
      </c>
    </row>
    <row r="1028" spans="2:3">
      <c r="B1028" s="38">
        <v>39638</v>
      </c>
      <c r="C1028">
        <v>125.4783</v>
      </c>
    </row>
    <row r="1029" spans="2:3">
      <c r="B1029" s="38">
        <v>39639</v>
      </c>
      <c r="C1029">
        <v>125.74250000000001</v>
      </c>
    </row>
    <row r="1030" spans="2:3">
      <c r="B1030" s="38">
        <v>39640</v>
      </c>
      <c r="C1030">
        <v>124.9756</v>
      </c>
    </row>
    <row r="1031" spans="2:3">
      <c r="B1031" s="38">
        <v>39643</v>
      </c>
      <c r="C1031">
        <v>124.9572</v>
      </c>
    </row>
    <row r="1032" spans="2:3">
      <c r="B1032" s="38">
        <v>39644</v>
      </c>
      <c r="C1032">
        <v>124.7684</v>
      </c>
    </row>
    <row r="1033" spans="2:3">
      <c r="B1033" s="38">
        <v>39645</v>
      </c>
      <c r="C1033">
        <v>125.2413</v>
      </c>
    </row>
    <row r="1034" spans="2:3">
      <c r="B1034" s="38">
        <v>39646</v>
      </c>
      <c r="C1034">
        <v>124.8724</v>
      </c>
    </row>
    <row r="1035" spans="2:3">
      <c r="B1035" s="38">
        <v>39647</v>
      </c>
      <c r="C1035">
        <v>124.62179999999999</v>
      </c>
    </row>
    <row r="1036" spans="2:3">
      <c r="B1036" s="38">
        <v>39650</v>
      </c>
      <c r="C1036">
        <v>124.7689</v>
      </c>
    </row>
    <row r="1037" spans="2:3">
      <c r="B1037" s="38">
        <v>39651</v>
      </c>
      <c r="C1037">
        <v>125.08710000000001</v>
      </c>
    </row>
    <row r="1038" spans="2:3">
      <c r="B1038" s="38">
        <v>39652</v>
      </c>
      <c r="C1038">
        <v>125.16079999999999</v>
      </c>
    </row>
    <row r="1039" spans="2:3">
      <c r="B1039" s="38">
        <v>39653</v>
      </c>
      <c r="C1039">
        <v>125.1104</v>
      </c>
    </row>
    <row r="1040" spans="2:3">
      <c r="B1040" s="38">
        <v>39654</v>
      </c>
      <c r="C1040">
        <v>124.74509999999999</v>
      </c>
    </row>
    <row r="1041" spans="2:3">
      <c r="B1041" s="38">
        <v>39657</v>
      </c>
      <c r="C1041">
        <v>124.70659999999999</v>
      </c>
    </row>
    <row r="1042" spans="2:3">
      <c r="B1042" s="38">
        <v>39658</v>
      </c>
      <c r="C1042">
        <v>125.4337</v>
      </c>
    </row>
    <row r="1043" spans="2:3">
      <c r="B1043" s="38">
        <v>39659</v>
      </c>
      <c r="C1043">
        <v>126.13760000000001</v>
      </c>
    </row>
    <row r="1044" spans="2:3">
      <c r="B1044" s="38">
        <v>39660</v>
      </c>
      <c r="C1044">
        <v>125.9417</v>
      </c>
    </row>
    <row r="1045" spans="2:3">
      <c r="B1045" s="38">
        <v>39661</v>
      </c>
      <c r="C1045">
        <v>125.87009999999999</v>
      </c>
    </row>
    <row r="1046" spans="2:3">
      <c r="B1046" s="38">
        <v>39664</v>
      </c>
      <c r="C1046">
        <v>125.3796</v>
      </c>
    </row>
    <row r="1047" spans="2:3">
      <c r="B1047" s="38">
        <v>39665</v>
      </c>
      <c r="C1047">
        <v>126.0733</v>
      </c>
    </row>
    <row r="1048" spans="2:3">
      <c r="B1048" s="38">
        <v>39666</v>
      </c>
      <c r="C1048">
        <v>125.8523</v>
      </c>
    </row>
    <row r="1049" spans="2:3">
      <c r="B1049" s="38">
        <v>39667</v>
      </c>
      <c r="C1049">
        <v>125.8977</v>
      </c>
    </row>
    <row r="1050" spans="2:3">
      <c r="B1050" s="38">
        <v>39668</v>
      </c>
      <c r="C1050">
        <v>126.6687</v>
      </c>
    </row>
    <row r="1051" spans="2:3">
      <c r="B1051" s="38">
        <v>39671</v>
      </c>
      <c r="C1051">
        <v>126.619</v>
      </c>
    </row>
    <row r="1052" spans="2:3">
      <c r="B1052" s="38">
        <v>39672</v>
      </c>
      <c r="C1052">
        <v>126.68380000000001</v>
      </c>
    </row>
    <row r="1053" spans="2:3">
      <c r="B1053" s="38">
        <v>39673</v>
      </c>
      <c r="C1053">
        <v>126.4358</v>
      </c>
    </row>
    <row r="1054" spans="2:3">
      <c r="B1054" s="38">
        <v>39674</v>
      </c>
      <c r="C1054">
        <v>126.7878</v>
      </c>
    </row>
    <row r="1055" spans="2:3">
      <c r="B1055" s="38">
        <v>39675</v>
      </c>
      <c r="C1055">
        <v>127.1801</v>
      </c>
    </row>
    <row r="1056" spans="2:3">
      <c r="B1056" s="38">
        <v>39678</v>
      </c>
      <c r="C1056">
        <v>126.79940000000001</v>
      </c>
    </row>
    <row r="1057" spans="2:3">
      <c r="B1057" s="38">
        <v>39679</v>
      </c>
      <c r="C1057">
        <v>126.4729</v>
      </c>
    </row>
    <row r="1058" spans="2:3">
      <c r="B1058" s="38">
        <v>39680</v>
      </c>
      <c r="C1058">
        <v>127.11369999999999</v>
      </c>
    </row>
    <row r="1059" spans="2:3">
      <c r="B1059" s="38">
        <v>39681</v>
      </c>
      <c r="C1059">
        <v>126.9141</v>
      </c>
    </row>
    <row r="1060" spans="2:3">
      <c r="B1060" s="38">
        <v>39682</v>
      </c>
      <c r="C1060">
        <v>127.1041</v>
      </c>
    </row>
    <row r="1061" spans="2:3">
      <c r="B1061" s="38">
        <v>39685</v>
      </c>
      <c r="C1061">
        <v>126.8526</v>
      </c>
    </row>
    <row r="1062" spans="2:3">
      <c r="B1062" s="38">
        <v>39686</v>
      </c>
      <c r="C1062">
        <v>127.0617</v>
      </c>
    </row>
    <row r="1063" spans="2:3">
      <c r="B1063" s="38">
        <v>39687</v>
      </c>
      <c r="C1063">
        <v>127.46469999999999</v>
      </c>
    </row>
    <row r="1064" spans="2:3">
      <c r="B1064" s="38">
        <v>39688</v>
      </c>
      <c r="C1064">
        <v>127.9629</v>
      </c>
    </row>
    <row r="1065" spans="2:3">
      <c r="B1065" s="38">
        <v>39689</v>
      </c>
      <c r="C1065">
        <v>127.5039</v>
      </c>
    </row>
    <row r="1066" spans="2:3">
      <c r="B1066" s="38">
        <v>39693</v>
      </c>
      <c r="C1066">
        <v>127.6553</v>
      </c>
    </row>
    <row r="1067" spans="2:3">
      <c r="B1067" s="38">
        <v>39694</v>
      </c>
      <c r="C1067">
        <v>127.792</v>
      </c>
    </row>
    <row r="1068" spans="2:3">
      <c r="B1068" s="38">
        <v>39695</v>
      </c>
      <c r="C1068">
        <v>127.22669999999999</v>
      </c>
    </row>
    <row r="1069" spans="2:3">
      <c r="B1069" s="38">
        <v>39696</v>
      </c>
      <c r="C1069">
        <v>127.2676</v>
      </c>
    </row>
    <row r="1070" spans="2:3">
      <c r="B1070" s="38">
        <v>39699</v>
      </c>
      <c r="C1070">
        <v>128.7501</v>
      </c>
    </row>
    <row r="1071" spans="2:3">
      <c r="B1071" s="38">
        <v>39700</v>
      </c>
      <c r="C1071">
        <v>127.6544</v>
      </c>
    </row>
    <row r="1072" spans="2:3">
      <c r="B1072" s="38">
        <v>39701</v>
      </c>
      <c r="C1072">
        <v>127.6915</v>
      </c>
    </row>
    <row r="1073" spans="2:3">
      <c r="B1073" s="38">
        <v>39702</v>
      </c>
      <c r="C1073">
        <v>128.15690000000001</v>
      </c>
    </row>
    <row r="1074" spans="2:3">
      <c r="B1074" s="38">
        <v>39703</v>
      </c>
      <c r="C1074">
        <v>127.6653</v>
      </c>
    </row>
    <row r="1075" spans="2:3">
      <c r="B1075" s="38">
        <v>39706</v>
      </c>
      <c r="C1075">
        <v>127.4239</v>
      </c>
    </row>
    <row r="1076" spans="2:3">
      <c r="B1076" s="38">
        <v>39707</v>
      </c>
      <c r="C1076">
        <v>127.4971</v>
      </c>
    </row>
    <row r="1077" spans="2:3">
      <c r="B1077" s="38">
        <v>39708</v>
      </c>
      <c r="C1077">
        <v>126.57899999999999</v>
      </c>
    </row>
    <row r="1078" spans="2:3">
      <c r="B1078" s="38">
        <v>39709</v>
      </c>
      <c r="C1078">
        <v>127.70140000000001</v>
      </c>
    </row>
    <row r="1079" spans="2:3">
      <c r="B1079" s="38">
        <v>39710</v>
      </c>
      <c r="C1079">
        <v>127.3539</v>
      </c>
    </row>
    <row r="1080" spans="2:3">
      <c r="B1080" s="38">
        <v>39713</v>
      </c>
      <c r="C1080">
        <v>126.5624</v>
      </c>
    </row>
    <row r="1081" spans="2:3">
      <c r="B1081" s="38">
        <v>39714</v>
      </c>
      <c r="C1081">
        <v>126.1768</v>
      </c>
    </row>
    <row r="1082" spans="2:3">
      <c r="B1082" s="38">
        <v>39715</v>
      </c>
      <c r="C1082">
        <v>126.1206</v>
      </c>
    </row>
    <row r="1083" spans="2:3">
      <c r="B1083" s="38">
        <v>39716</v>
      </c>
      <c r="C1083">
        <v>126.1401</v>
      </c>
    </row>
    <row r="1084" spans="2:3">
      <c r="B1084" s="38">
        <v>39717</v>
      </c>
      <c r="C1084">
        <v>126.3907</v>
      </c>
    </row>
    <row r="1085" spans="2:3">
      <c r="B1085" s="38">
        <v>39720</v>
      </c>
      <c r="C1085">
        <v>126.7548</v>
      </c>
    </row>
    <row r="1086" spans="2:3">
      <c r="B1086" s="38">
        <v>39721</v>
      </c>
      <c r="C1086">
        <v>125.8545</v>
      </c>
    </row>
    <row r="1087" spans="2:3">
      <c r="B1087" s="38">
        <v>39722</v>
      </c>
      <c r="C1087">
        <v>126.3188</v>
      </c>
    </row>
    <row r="1088" spans="2:3">
      <c r="B1088" s="38">
        <v>39723</v>
      </c>
      <c r="C1088">
        <v>126.2993</v>
      </c>
    </row>
    <row r="1089" spans="2:3">
      <c r="B1089" s="38">
        <v>39724</v>
      </c>
      <c r="C1089">
        <v>126.3152</v>
      </c>
    </row>
    <row r="1090" spans="2:3">
      <c r="B1090" s="38">
        <v>39727</v>
      </c>
      <c r="C1090">
        <v>127.0119</v>
      </c>
    </row>
    <row r="1091" spans="2:3">
      <c r="B1091" s="38">
        <v>39728</v>
      </c>
      <c r="C1091">
        <v>126.127</v>
      </c>
    </row>
    <row r="1092" spans="2:3">
      <c r="B1092" s="38">
        <v>39729</v>
      </c>
      <c r="C1092">
        <v>125.40940000000001</v>
      </c>
    </row>
    <row r="1093" spans="2:3">
      <c r="B1093" s="38">
        <v>39730</v>
      </c>
      <c r="C1093">
        <v>123.5172</v>
      </c>
    </row>
    <row r="1094" spans="2:3">
      <c r="B1094" s="38">
        <v>39731</v>
      </c>
      <c r="C1094">
        <v>123.0716</v>
      </c>
    </row>
    <row r="1095" spans="2:3">
      <c r="B1095" s="38">
        <v>39735</v>
      </c>
      <c r="C1095">
        <v>122.9534</v>
      </c>
    </row>
    <row r="1096" spans="2:3">
      <c r="B1096" s="38">
        <v>39736</v>
      </c>
      <c r="C1096">
        <v>122.76090000000001</v>
      </c>
    </row>
    <row r="1097" spans="2:3">
      <c r="B1097" s="38">
        <v>39737</v>
      </c>
      <c r="C1097">
        <v>123.32940000000001</v>
      </c>
    </row>
    <row r="1098" spans="2:3">
      <c r="B1098" s="38">
        <v>39738</v>
      </c>
      <c r="C1098">
        <v>123.3289</v>
      </c>
    </row>
    <row r="1099" spans="2:3">
      <c r="B1099" s="38">
        <v>39741</v>
      </c>
      <c r="C1099">
        <v>124.35129999999999</v>
      </c>
    </row>
    <row r="1100" spans="2:3">
      <c r="B1100" s="38">
        <v>39742</v>
      </c>
      <c r="C1100">
        <v>125.3008</v>
      </c>
    </row>
    <row r="1101" spans="2:3">
      <c r="B1101" s="38">
        <v>39743</v>
      </c>
      <c r="C1101">
        <v>125.2141</v>
      </c>
    </row>
    <row r="1102" spans="2:3">
      <c r="B1102" s="38">
        <v>39744</v>
      </c>
      <c r="C1102">
        <v>125.5561</v>
      </c>
    </row>
    <row r="1103" spans="2:3">
      <c r="B1103" s="38">
        <v>39745</v>
      </c>
      <c r="C1103">
        <v>125.4015</v>
      </c>
    </row>
    <row r="1104" spans="2:3">
      <c r="B1104" s="38">
        <v>39748</v>
      </c>
      <c r="C1104">
        <v>123.619</v>
      </c>
    </row>
    <row r="1105" spans="2:3">
      <c r="B1105" s="38">
        <v>39749</v>
      </c>
      <c r="C1105">
        <v>123.5989</v>
      </c>
    </row>
    <row r="1106" spans="2:3">
      <c r="B1106" s="38">
        <v>39750</v>
      </c>
      <c r="C1106">
        <v>123.506</v>
      </c>
    </row>
    <row r="1107" spans="2:3">
      <c r="B1107" s="38">
        <v>39751</v>
      </c>
      <c r="C1107">
        <v>123.5904</v>
      </c>
    </row>
    <row r="1108" spans="2:3">
      <c r="B1108" s="38">
        <v>39752</v>
      </c>
      <c r="C1108">
        <v>123.4825</v>
      </c>
    </row>
    <row r="1109" spans="2:3">
      <c r="B1109" s="38">
        <v>39755</v>
      </c>
      <c r="C1109">
        <v>124.0668</v>
      </c>
    </row>
    <row r="1110" spans="2:3">
      <c r="B1110" s="38">
        <v>39756</v>
      </c>
      <c r="C1110">
        <v>125.4136</v>
      </c>
    </row>
    <row r="1111" spans="2:3">
      <c r="B1111" s="38">
        <v>39757</v>
      </c>
      <c r="C1111">
        <v>125.9573</v>
      </c>
    </row>
    <row r="1112" spans="2:3">
      <c r="B1112" s="38">
        <v>39758</v>
      </c>
      <c r="C1112">
        <v>125.57080000000001</v>
      </c>
    </row>
    <row r="1113" spans="2:3">
      <c r="B1113" s="38">
        <v>39759</v>
      </c>
      <c r="C1113">
        <v>125.5099</v>
      </c>
    </row>
    <row r="1114" spans="2:3">
      <c r="B1114" s="38">
        <v>39762</v>
      </c>
      <c r="C1114">
        <v>125.69750000000001</v>
      </c>
    </row>
    <row r="1115" spans="2:3">
      <c r="B1115" s="38">
        <v>39764</v>
      </c>
      <c r="C1115">
        <v>125.9435</v>
      </c>
    </row>
    <row r="1116" spans="2:3">
      <c r="B1116" s="38">
        <v>39765</v>
      </c>
      <c r="C1116">
        <v>125.7551</v>
      </c>
    </row>
    <row r="1117" spans="2:3">
      <c r="B1117" s="38">
        <v>39766</v>
      </c>
      <c r="C1117">
        <v>125.8296</v>
      </c>
    </row>
    <row r="1118" spans="2:3">
      <c r="B1118" s="38">
        <v>39769</v>
      </c>
      <c r="C1118">
        <v>125.7205</v>
      </c>
    </row>
    <row r="1119" spans="2:3">
      <c r="B1119" s="38">
        <v>39770</v>
      </c>
      <c r="C1119">
        <v>126.3914</v>
      </c>
    </row>
    <row r="1120" spans="2:3">
      <c r="B1120" s="38">
        <v>39771</v>
      </c>
      <c r="C1120">
        <v>126.26609999999999</v>
      </c>
    </row>
    <row r="1121" spans="2:3">
      <c r="B1121" s="38">
        <v>39772</v>
      </c>
      <c r="C1121">
        <v>126.53149999999999</v>
      </c>
    </row>
    <row r="1122" spans="2:3">
      <c r="B1122" s="38">
        <v>39773</v>
      </c>
      <c r="C1122">
        <v>126.54949999999999</v>
      </c>
    </row>
    <row r="1123" spans="2:3">
      <c r="B1123" s="38">
        <v>39776</v>
      </c>
      <c r="C1123">
        <v>126.66200000000001</v>
      </c>
    </row>
    <row r="1124" spans="2:3">
      <c r="B1124" s="38">
        <v>39777</v>
      </c>
      <c r="C1124">
        <v>128.3691</v>
      </c>
    </row>
    <row r="1125" spans="2:3">
      <c r="B1125" s="38">
        <v>39778</v>
      </c>
      <c r="C1125">
        <v>128.80600000000001</v>
      </c>
    </row>
    <row r="1126" spans="2:3">
      <c r="B1126" s="38">
        <v>39780</v>
      </c>
      <c r="C1126">
        <v>129.07089999999999</v>
      </c>
    </row>
    <row r="1127" spans="2:3">
      <c r="B1127" s="38">
        <v>39783</v>
      </c>
      <c r="C1127">
        <v>129.28280000000001</v>
      </c>
    </row>
    <row r="1128" spans="2:3">
      <c r="B1128" s="38">
        <v>39784</v>
      </c>
      <c r="C1128">
        <v>129.47370000000001</v>
      </c>
    </row>
    <row r="1129" spans="2:3">
      <c r="B1129" s="38">
        <v>39785</v>
      </c>
      <c r="C1129">
        <v>129.47210000000001</v>
      </c>
    </row>
    <row r="1130" spans="2:3">
      <c r="B1130" s="38">
        <v>39786</v>
      </c>
      <c r="C1130">
        <v>129.5574</v>
      </c>
    </row>
    <row r="1131" spans="2:3">
      <c r="B1131" s="38">
        <v>39787</v>
      </c>
      <c r="C1131">
        <v>129.261</v>
      </c>
    </row>
    <row r="1132" spans="2:3">
      <c r="B1132" s="38">
        <v>39790</v>
      </c>
      <c r="C1132">
        <v>129.5746</v>
      </c>
    </row>
    <row r="1133" spans="2:3">
      <c r="B1133" s="38">
        <v>39791</v>
      </c>
      <c r="C1133">
        <v>129.8442</v>
      </c>
    </row>
    <row r="1134" spans="2:3">
      <c r="B1134" s="38">
        <v>39792</v>
      </c>
      <c r="C1134">
        <v>130.2234</v>
      </c>
    </row>
    <row r="1135" spans="2:3">
      <c r="B1135" s="38">
        <v>39793</v>
      </c>
      <c r="C1135">
        <v>130.47319999999999</v>
      </c>
    </row>
    <row r="1136" spans="2:3">
      <c r="B1136" s="38">
        <v>39794</v>
      </c>
      <c r="C1136">
        <v>130.67269999999999</v>
      </c>
    </row>
    <row r="1137" spans="2:3">
      <c r="B1137" s="38">
        <v>39797</v>
      </c>
      <c r="C1137">
        <v>130.7945</v>
      </c>
    </row>
    <row r="1138" spans="2:3">
      <c r="B1138" s="38">
        <v>39798</v>
      </c>
      <c r="C1138">
        <v>132.1277</v>
      </c>
    </row>
    <row r="1139" spans="2:3">
      <c r="B1139" s="38">
        <v>39799</v>
      </c>
      <c r="C1139">
        <v>132.9419</v>
      </c>
    </row>
    <row r="1140" spans="2:3">
      <c r="B1140" s="38">
        <v>39800</v>
      </c>
      <c r="C1140">
        <v>133.20959999999999</v>
      </c>
    </row>
    <row r="1141" spans="2:3">
      <c r="B1141" s="38">
        <v>39801</v>
      </c>
      <c r="C1141">
        <v>133.12110000000001</v>
      </c>
    </row>
    <row r="1142" spans="2:3">
      <c r="B1142" s="38">
        <v>39804</v>
      </c>
      <c r="C1142">
        <v>132.6139</v>
      </c>
    </row>
    <row r="1143" spans="2:3">
      <c r="B1143" s="38">
        <v>39805</v>
      </c>
      <c r="C1143">
        <v>132.57249999999999</v>
      </c>
    </row>
    <row r="1144" spans="2:3">
      <c r="B1144" s="38">
        <v>39806</v>
      </c>
      <c r="C1144">
        <v>132.53270000000001</v>
      </c>
    </row>
    <row r="1145" spans="2:3">
      <c r="B1145" s="38">
        <v>39808</v>
      </c>
      <c r="C1145">
        <v>132.88820000000001</v>
      </c>
    </row>
    <row r="1146" spans="2:3">
      <c r="B1146" s="38">
        <v>39811</v>
      </c>
      <c r="C1146">
        <v>133.09639999999999</v>
      </c>
    </row>
    <row r="1147" spans="2:3">
      <c r="B1147" s="38">
        <v>39812</v>
      </c>
      <c r="C1147">
        <v>133.34549999999999</v>
      </c>
    </row>
    <row r="1148" spans="2:3">
      <c r="B1148" s="38">
        <v>39813</v>
      </c>
      <c r="C1148">
        <v>133.0093</v>
      </c>
    </row>
    <row r="1149" spans="2:3">
      <c r="B1149" s="38">
        <v>39815</v>
      </c>
      <c r="C1149">
        <v>132.3963</v>
      </c>
    </row>
    <row r="1150" spans="2:3">
      <c r="B1150" s="38">
        <v>39818</v>
      </c>
      <c r="C1150">
        <v>132.2253</v>
      </c>
    </row>
    <row r="1151" spans="2:3">
      <c r="B1151" s="38">
        <v>39819</v>
      </c>
      <c r="C1151">
        <v>132.86160000000001</v>
      </c>
    </row>
    <row r="1152" spans="2:3">
      <c r="B1152" s="38">
        <v>39820</v>
      </c>
      <c r="C1152">
        <v>132.7791</v>
      </c>
    </row>
    <row r="1153" spans="2:3">
      <c r="B1153" s="38">
        <v>39821</v>
      </c>
      <c r="C1153">
        <v>133.08920000000001</v>
      </c>
    </row>
    <row r="1154" spans="2:3">
      <c r="B1154" s="38">
        <v>39822</v>
      </c>
      <c r="C1154">
        <v>133.19390000000001</v>
      </c>
    </row>
    <row r="1155" spans="2:3">
      <c r="B1155" s="38">
        <v>39825</v>
      </c>
      <c r="C1155">
        <v>133.23349999999999</v>
      </c>
    </row>
    <row r="1156" spans="2:3">
      <c r="B1156" s="38">
        <v>39826</v>
      </c>
      <c r="C1156">
        <v>133.19159999999999</v>
      </c>
    </row>
    <row r="1157" spans="2:3">
      <c r="B1157" s="38">
        <v>39827</v>
      </c>
      <c r="C1157">
        <v>133.36259999999999</v>
      </c>
    </row>
    <row r="1158" spans="2:3">
      <c r="B1158" s="38">
        <v>39828</v>
      </c>
      <c r="C1158">
        <v>133.25049999999999</v>
      </c>
    </row>
    <row r="1159" spans="2:3">
      <c r="B1159" s="38">
        <v>39829</v>
      </c>
      <c r="C1159">
        <v>133.09280000000001</v>
      </c>
    </row>
    <row r="1160" spans="2:3">
      <c r="B1160" s="38">
        <v>39833</v>
      </c>
      <c r="C1160">
        <v>132.6208</v>
      </c>
    </row>
    <row r="1161" spans="2:3">
      <c r="B1161" s="38">
        <v>39834</v>
      </c>
      <c r="C1161">
        <v>132.11410000000001</v>
      </c>
    </row>
    <row r="1162" spans="2:3">
      <c r="B1162" s="38">
        <v>39835</v>
      </c>
      <c r="C1162">
        <v>131.86879999999999</v>
      </c>
    </row>
    <row r="1163" spans="2:3">
      <c r="B1163" s="38">
        <v>39836</v>
      </c>
      <c r="C1163">
        <v>131.80430000000001</v>
      </c>
    </row>
    <row r="1164" spans="2:3">
      <c r="B1164" s="38">
        <v>39839</v>
      </c>
      <c r="C1164">
        <v>131.68600000000001</v>
      </c>
    </row>
    <row r="1165" spans="2:3">
      <c r="B1165" s="38">
        <v>39840</v>
      </c>
      <c r="C1165">
        <v>132.34289999999999</v>
      </c>
    </row>
    <row r="1166" spans="2:3">
      <c r="B1166" s="38">
        <v>39841</v>
      </c>
      <c r="C1166">
        <v>132.2115</v>
      </c>
    </row>
    <row r="1167" spans="2:3">
      <c r="B1167" s="38">
        <v>39842</v>
      </c>
      <c r="C1167">
        <v>131.16130000000001</v>
      </c>
    </row>
    <row r="1168" spans="2:3">
      <c r="B1168" s="38">
        <v>39843</v>
      </c>
      <c r="C1168">
        <v>130.78299999999999</v>
      </c>
    </row>
    <row r="1169" spans="2:3">
      <c r="B1169" s="38">
        <v>39846</v>
      </c>
      <c r="C1169">
        <v>131.21520000000001</v>
      </c>
    </row>
    <row r="1170" spans="2:3">
      <c r="B1170" s="38">
        <v>39847</v>
      </c>
      <c r="C1170">
        <v>131.02770000000001</v>
      </c>
    </row>
    <row r="1171" spans="2:3">
      <c r="B1171" s="38">
        <v>39848</v>
      </c>
      <c r="C1171">
        <v>130.66159999999999</v>
      </c>
    </row>
    <row r="1172" spans="2:3">
      <c r="B1172" s="38">
        <v>39849</v>
      </c>
      <c r="C1172">
        <v>130.85919999999999</v>
      </c>
    </row>
    <row r="1173" spans="2:3">
      <c r="B1173" s="38">
        <v>39850</v>
      </c>
      <c r="C1173">
        <v>131.05959999999999</v>
      </c>
    </row>
    <row r="1174" spans="2:3">
      <c r="B1174" s="38">
        <v>39853</v>
      </c>
      <c r="C1174">
        <v>131.0942</v>
      </c>
    </row>
    <row r="1175" spans="2:3">
      <c r="B1175" s="38">
        <v>39854</v>
      </c>
      <c r="C1175">
        <v>131.13650000000001</v>
      </c>
    </row>
    <row r="1176" spans="2:3">
      <c r="B1176" s="38">
        <v>39855</v>
      </c>
      <c r="C1176">
        <v>131.6096</v>
      </c>
    </row>
    <row r="1177" spans="2:3">
      <c r="B1177" s="38">
        <v>39856</v>
      </c>
      <c r="C1177">
        <v>131.79300000000001</v>
      </c>
    </row>
    <row r="1178" spans="2:3">
      <c r="B1178" s="38">
        <v>39857</v>
      </c>
      <c r="C1178">
        <v>130.9588</v>
      </c>
    </row>
    <row r="1179" spans="2:3">
      <c r="B1179" s="38">
        <v>39861</v>
      </c>
      <c r="C1179">
        <v>131.09119999999999</v>
      </c>
    </row>
    <row r="1180" spans="2:3">
      <c r="B1180" s="38">
        <v>39862</v>
      </c>
      <c r="C1180">
        <v>130.8382</v>
      </c>
    </row>
    <row r="1181" spans="2:3">
      <c r="B1181" s="38">
        <v>39863</v>
      </c>
      <c r="C1181">
        <v>130.36340000000001</v>
      </c>
    </row>
    <row r="1182" spans="2:3">
      <c r="B1182" s="38">
        <v>39864</v>
      </c>
      <c r="C1182">
        <v>130.5498</v>
      </c>
    </row>
    <row r="1183" spans="2:3">
      <c r="B1183" s="38">
        <v>39867</v>
      </c>
      <c r="C1183">
        <v>130.06989999999999</v>
      </c>
    </row>
    <row r="1184" spans="2:3">
      <c r="B1184" s="38">
        <v>39868</v>
      </c>
      <c r="C1184">
        <v>130.65870000000001</v>
      </c>
    </row>
    <row r="1185" spans="2:3">
      <c r="B1185" s="38">
        <v>39869</v>
      </c>
      <c r="C1185">
        <v>129.97890000000001</v>
      </c>
    </row>
    <row r="1186" spans="2:3">
      <c r="B1186" s="38">
        <v>39870</v>
      </c>
      <c r="C1186">
        <v>129.67599999999999</v>
      </c>
    </row>
    <row r="1187" spans="2:3">
      <c r="B1187" s="38">
        <v>39871</v>
      </c>
      <c r="C1187">
        <v>129.2749</v>
      </c>
    </row>
    <row r="1188" spans="2:3">
      <c r="B1188" s="38">
        <v>39874</v>
      </c>
      <c r="C1188">
        <v>128.9658</v>
      </c>
    </row>
    <row r="1189" spans="2:3">
      <c r="B1189" s="38">
        <v>39875</v>
      </c>
      <c r="C1189">
        <v>128.77209999999999</v>
      </c>
    </row>
    <row r="1190" spans="2:3">
      <c r="B1190" s="38">
        <v>39876</v>
      </c>
      <c r="C1190">
        <v>128.881</v>
      </c>
    </row>
    <row r="1191" spans="2:3">
      <c r="B1191" s="38">
        <v>39877</v>
      </c>
      <c r="C1191">
        <v>128.95330000000001</v>
      </c>
    </row>
    <row r="1192" spans="2:3">
      <c r="B1192" s="38">
        <v>39878</v>
      </c>
      <c r="C1192">
        <v>128.89599999999999</v>
      </c>
    </row>
    <row r="1193" spans="2:3">
      <c r="B1193" s="38">
        <v>39881</v>
      </c>
      <c r="C1193">
        <v>128.45490000000001</v>
      </c>
    </row>
    <row r="1194" spans="2:3">
      <c r="B1194" s="38">
        <v>39882</v>
      </c>
      <c r="C1194">
        <v>129.29089999999999</v>
      </c>
    </row>
    <row r="1195" spans="2:3">
      <c r="B1195" s="38">
        <v>39883</v>
      </c>
      <c r="C1195">
        <v>129.56659999999999</v>
      </c>
    </row>
    <row r="1196" spans="2:3">
      <c r="B1196" s="38">
        <v>39884</v>
      </c>
      <c r="C1196">
        <v>130.30000000000001</v>
      </c>
    </row>
    <row r="1197" spans="2:3">
      <c r="B1197" s="38">
        <v>39885</v>
      </c>
      <c r="C1197">
        <v>130.33090000000001</v>
      </c>
    </row>
    <row r="1198" spans="2:3">
      <c r="B1198" s="38">
        <v>39888</v>
      </c>
      <c r="C1198">
        <v>130.14519999999999</v>
      </c>
    </row>
    <row r="1199" spans="2:3">
      <c r="B1199" s="38">
        <v>39889</v>
      </c>
      <c r="C1199">
        <v>130.26939999999999</v>
      </c>
    </row>
    <row r="1200" spans="2:3">
      <c r="B1200" s="38">
        <v>39890</v>
      </c>
      <c r="C1200">
        <v>132.0908</v>
      </c>
    </row>
    <row r="1201" spans="2:3">
      <c r="B1201" s="38">
        <v>39891</v>
      </c>
      <c r="C1201">
        <v>131.79230000000001</v>
      </c>
    </row>
    <row r="1202" spans="2:3">
      <c r="B1202" s="38">
        <v>39892</v>
      </c>
      <c r="C1202">
        <v>131.3663</v>
      </c>
    </row>
    <row r="1203" spans="2:3">
      <c r="B1203" s="38">
        <v>39895</v>
      </c>
      <c r="C1203">
        <v>131.8663</v>
      </c>
    </row>
    <row r="1204" spans="2:3">
      <c r="B1204" s="38">
        <v>39896</v>
      </c>
      <c r="C1204">
        <v>131.9057</v>
      </c>
    </row>
    <row r="1205" spans="2:3">
      <c r="B1205" s="38">
        <v>39897</v>
      </c>
      <c r="C1205">
        <v>131.63589999999999</v>
      </c>
    </row>
    <row r="1206" spans="2:3">
      <c r="B1206" s="38">
        <v>39898</v>
      </c>
      <c r="C1206">
        <v>132.02080000000001</v>
      </c>
    </row>
    <row r="1207" spans="2:3">
      <c r="B1207" s="38">
        <v>39899</v>
      </c>
      <c r="C1207">
        <v>131.9359</v>
      </c>
    </row>
    <row r="1208" spans="2:3">
      <c r="B1208" s="38">
        <v>39902</v>
      </c>
      <c r="C1208">
        <v>131.97579999999999</v>
      </c>
    </row>
    <row r="1209" spans="2:3">
      <c r="B1209" s="38">
        <v>39903</v>
      </c>
      <c r="C1209">
        <v>132.07849999999999</v>
      </c>
    </row>
    <row r="1210" spans="2:3">
      <c r="B1210" s="38">
        <v>39904</v>
      </c>
      <c r="C1210">
        <v>132.1703</v>
      </c>
    </row>
    <row r="1211" spans="2:3">
      <c r="B1211" s="38">
        <v>39905</v>
      </c>
      <c r="C1211">
        <v>131.96510000000001</v>
      </c>
    </row>
    <row r="1212" spans="2:3">
      <c r="B1212" s="38">
        <v>39906</v>
      </c>
      <c r="C1212">
        <v>131.57060000000001</v>
      </c>
    </row>
    <row r="1213" spans="2:3">
      <c r="B1213" s="38">
        <v>39909</v>
      </c>
      <c r="C1213">
        <v>131.4171</v>
      </c>
    </row>
    <row r="1214" spans="2:3">
      <c r="B1214" s="38">
        <v>39910</v>
      </c>
      <c r="C1214">
        <v>131.5403</v>
      </c>
    </row>
    <row r="1215" spans="2:3">
      <c r="B1215" s="38">
        <v>39911</v>
      </c>
      <c r="C1215">
        <v>131.88900000000001</v>
      </c>
    </row>
    <row r="1216" spans="2:3">
      <c r="B1216" s="38">
        <v>39912</v>
      </c>
      <c r="C1216">
        <v>131.81899999999999</v>
      </c>
    </row>
    <row r="1217" spans="2:3">
      <c r="B1217" s="38">
        <v>39916</v>
      </c>
      <c r="C1217">
        <v>132.38390000000001</v>
      </c>
    </row>
    <row r="1218" spans="2:3">
      <c r="B1218" s="38">
        <v>39917</v>
      </c>
      <c r="C1218">
        <v>132.4444</v>
      </c>
    </row>
    <row r="1219" spans="2:3">
      <c r="B1219" s="38">
        <v>39918</v>
      </c>
      <c r="C1219">
        <v>132.63980000000001</v>
      </c>
    </row>
    <row r="1220" spans="2:3">
      <c r="B1220" s="38">
        <v>39919</v>
      </c>
      <c r="C1220">
        <v>132.45070000000001</v>
      </c>
    </row>
    <row r="1221" spans="2:3">
      <c r="B1221" s="38">
        <v>39920</v>
      </c>
      <c r="C1221">
        <v>131.9162</v>
      </c>
    </row>
    <row r="1222" spans="2:3">
      <c r="B1222" s="38">
        <v>39923</v>
      </c>
      <c r="C1222">
        <v>131.82470000000001</v>
      </c>
    </row>
    <row r="1223" spans="2:3">
      <c r="B1223" s="38">
        <v>39924</v>
      </c>
      <c r="C1223">
        <v>131.71799999999999</v>
      </c>
    </row>
    <row r="1224" spans="2:3">
      <c r="B1224" s="38">
        <v>39925</v>
      </c>
      <c r="C1224">
        <v>131.5369</v>
      </c>
    </row>
    <row r="1225" spans="2:3">
      <c r="B1225" s="38">
        <v>39926</v>
      </c>
      <c r="C1225">
        <v>131.8518</v>
      </c>
    </row>
    <row r="1226" spans="2:3">
      <c r="B1226" s="38">
        <v>39927</v>
      </c>
      <c r="C1226">
        <v>131.83340000000001</v>
      </c>
    </row>
    <row r="1227" spans="2:3">
      <c r="B1227" s="38">
        <v>39930</v>
      </c>
      <c r="C1227">
        <v>132.12960000000001</v>
      </c>
    </row>
    <row r="1228" spans="2:3">
      <c r="B1228" s="38">
        <v>39931</v>
      </c>
      <c r="C1228">
        <v>131.82429999999999</v>
      </c>
    </row>
    <row r="1229" spans="2:3">
      <c r="B1229" s="38">
        <v>39932</v>
      </c>
      <c r="C1229">
        <v>131.86439999999999</v>
      </c>
    </row>
    <row r="1230" spans="2:3">
      <c r="B1230" s="38">
        <v>39933</v>
      </c>
      <c r="C1230">
        <v>131.87039999999999</v>
      </c>
    </row>
    <row r="1231" spans="2:3">
      <c r="B1231" s="38">
        <v>39934</v>
      </c>
      <c r="C1231">
        <v>131.65729999999999</v>
      </c>
    </row>
    <row r="1232" spans="2:3">
      <c r="B1232" s="38">
        <v>39937</v>
      </c>
      <c r="C1232">
        <v>132.05119999999999</v>
      </c>
    </row>
    <row r="1233" spans="2:3">
      <c r="B1233" s="38">
        <v>39938</v>
      </c>
      <c r="C1233">
        <v>132.14789999999999</v>
      </c>
    </row>
    <row r="1234" spans="2:3">
      <c r="B1234" s="38">
        <v>39939</v>
      </c>
      <c r="C1234">
        <v>132.548</v>
      </c>
    </row>
    <row r="1235" spans="2:3">
      <c r="B1235" s="38">
        <v>39940</v>
      </c>
      <c r="C1235">
        <v>131.95400000000001</v>
      </c>
    </row>
    <row r="1236" spans="2:3">
      <c r="B1236" s="38">
        <v>39941</v>
      </c>
      <c r="C1236">
        <v>132.1848</v>
      </c>
    </row>
    <row r="1237" spans="2:3">
      <c r="B1237" s="38">
        <v>39944</v>
      </c>
      <c r="C1237">
        <v>132.464</v>
      </c>
    </row>
    <row r="1238" spans="2:3">
      <c r="B1238" s="38">
        <v>39945</v>
      </c>
      <c r="C1238">
        <v>132.61080000000001</v>
      </c>
    </row>
    <row r="1239" spans="2:3">
      <c r="B1239" s="38">
        <v>39946</v>
      </c>
      <c r="C1239">
        <v>132.6532</v>
      </c>
    </row>
    <row r="1240" spans="2:3">
      <c r="B1240" s="38">
        <v>39947</v>
      </c>
      <c r="C1240">
        <v>132.68969999999999</v>
      </c>
    </row>
    <row r="1241" spans="2:3">
      <c r="B1241" s="38">
        <v>39948</v>
      </c>
      <c r="C1241">
        <v>132.51130000000001</v>
      </c>
    </row>
    <row r="1242" spans="2:3">
      <c r="B1242" s="38">
        <v>39951</v>
      </c>
      <c r="C1242">
        <v>132.7654</v>
      </c>
    </row>
    <row r="1243" spans="2:3">
      <c r="B1243" s="38">
        <v>39952</v>
      </c>
      <c r="C1243">
        <v>132.75239999999999</v>
      </c>
    </row>
    <row r="1244" spans="2:3">
      <c r="B1244" s="38">
        <v>39953</v>
      </c>
      <c r="C1244">
        <v>132.8706</v>
      </c>
    </row>
    <row r="1245" spans="2:3">
      <c r="B1245" s="38">
        <v>39954</v>
      </c>
      <c r="C1245">
        <v>132.04519999999999</v>
      </c>
    </row>
    <row r="1246" spans="2:3">
      <c r="B1246" s="38">
        <v>39955</v>
      </c>
      <c r="C1246">
        <v>131.6721</v>
      </c>
    </row>
    <row r="1247" spans="2:3">
      <c r="B1247" s="38">
        <v>39959</v>
      </c>
      <c r="C1247">
        <v>132.0112</v>
      </c>
    </row>
    <row r="1248" spans="2:3">
      <c r="B1248" s="38">
        <v>39960</v>
      </c>
      <c r="C1248">
        <v>130.74189999999999</v>
      </c>
    </row>
    <row r="1249" spans="2:3">
      <c r="B1249" s="38">
        <v>39961</v>
      </c>
      <c r="C1249">
        <v>131.02709999999999</v>
      </c>
    </row>
    <row r="1250" spans="2:3">
      <c r="B1250" s="38">
        <v>39962</v>
      </c>
      <c r="C1250">
        <v>132.36490000000001</v>
      </c>
    </row>
    <row r="1251" spans="2:3">
      <c r="B1251" s="38">
        <v>39965</v>
      </c>
      <c r="C1251">
        <v>131.8159</v>
      </c>
    </row>
    <row r="1252" spans="2:3">
      <c r="B1252" s="38">
        <v>39966</v>
      </c>
      <c r="C1252">
        <v>132.19710000000001</v>
      </c>
    </row>
    <row r="1253" spans="2:3">
      <c r="B1253" s="38">
        <v>39967</v>
      </c>
      <c r="C1253">
        <v>132.48179999999999</v>
      </c>
    </row>
    <row r="1254" spans="2:3">
      <c r="B1254" s="38">
        <v>39968</v>
      </c>
      <c r="C1254">
        <v>131.89330000000001</v>
      </c>
    </row>
    <row r="1255" spans="2:3">
      <c r="B1255" s="38">
        <v>39969</v>
      </c>
      <c r="C1255">
        <v>130.874</v>
      </c>
    </row>
    <row r="1256" spans="2:3">
      <c r="B1256" s="38">
        <v>39972</v>
      </c>
      <c r="C1256">
        <v>130.3931</v>
      </c>
    </row>
    <row r="1257" spans="2:3">
      <c r="B1257" s="38">
        <v>39973</v>
      </c>
      <c r="C1257">
        <v>130.86799999999999</v>
      </c>
    </row>
    <row r="1258" spans="2:3">
      <c r="B1258" s="38">
        <v>39974</v>
      </c>
      <c r="C1258">
        <v>130.34809999999999</v>
      </c>
    </row>
    <row r="1259" spans="2:3">
      <c r="B1259" s="38">
        <v>39975</v>
      </c>
      <c r="C1259">
        <v>130.7807</v>
      </c>
    </row>
    <row r="1260" spans="2:3">
      <c r="B1260" s="38">
        <v>39976</v>
      </c>
      <c r="C1260">
        <v>131.3441</v>
      </c>
    </row>
    <row r="1261" spans="2:3">
      <c r="B1261" s="38">
        <v>39979</v>
      </c>
      <c r="C1261">
        <v>131.59379999999999</v>
      </c>
    </row>
    <row r="1262" spans="2:3">
      <c r="B1262" s="38">
        <v>39980</v>
      </c>
      <c r="C1262">
        <v>131.595</v>
      </c>
    </row>
    <row r="1263" spans="2:3">
      <c r="B1263" s="38">
        <v>39981</v>
      </c>
      <c r="C1263">
        <v>131.84030000000001</v>
      </c>
    </row>
    <row r="1264" spans="2:3">
      <c r="B1264" s="38">
        <v>39982</v>
      </c>
      <c r="C1264">
        <v>130.79650000000001</v>
      </c>
    </row>
    <row r="1265" spans="2:3">
      <c r="B1265" s="38">
        <v>39983</v>
      </c>
      <c r="C1265">
        <v>131.13030000000001</v>
      </c>
    </row>
    <row r="1266" spans="2:3">
      <c r="B1266" s="38">
        <v>39986</v>
      </c>
      <c r="C1266">
        <v>131.22710000000001</v>
      </c>
    </row>
    <row r="1267" spans="2:3">
      <c r="B1267" s="38">
        <v>39987</v>
      </c>
      <c r="C1267">
        <v>131.41800000000001</v>
      </c>
    </row>
    <row r="1268" spans="2:3">
      <c r="B1268" s="38">
        <v>39988</v>
      </c>
      <c r="C1268">
        <v>131.4385</v>
      </c>
    </row>
    <row r="1269" spans="2:3">
      <c r="B1269" s="38">
        <v>39989</v>
      </c>
      <c r="C1269">
        <v>132.39269999999999</v>
      </c>
    </row>
    <row r="1270" spans="2:3">
      <c r="B1270" s="38">
        <v>39990</v>
      </c>
      <c r="C1270">
        <v>132.577</v>
      </c>
    </row>
    <row r="1271" spans="2:3">
      <c r="B1271" s="38">
        <v>39993</v>
      </c>
      <c r="C1271">
        <v>132.74180000000001</v>
      </c>
    </row>
    <row r="1272" spans="2:3">
      <c r="B1272" s="38">
        <v>39994</v>
      </c>
      <c r="C1272">
        <v>132.55029999999999</v>
      </c>
    </row>
    <row r="1273" spans="2:3">
      <c r="B1273" s="38">
        <v>39995</v>
      </c>
      <c r="C1273">
        <v>132.6233</v>
      </c>
    </row>
    <row r="1274" spans="2:3">
      <c r="B1274" s="38">
        <v>39996</v>
      </c>
      <c r="C1274">
        <v>132.51689999999999</v>
      </c>
    </row>
    <row r="1275" spans="2:3">
      <c r="B1275" s="38">
        <v>40000</v>
      </c>
      <c r="C1275">
        <v>132.57259999999999</v>
      </c>
    </row>
    <row r="1276" spans="2:3">
      <c r="B1276" s="38">
        <v>40001</v>
      </c>
      <c r="C1276">
        <v>132.51679999999999</v>
      </c>
    </row>
    <row r="1277" spans="2:3">
      <c r="B1277" s="38">
        <v>40002</v>
      </c>
      <c r="C1277">
        <v>133.2244</v>
      </c>
    </row>
    <row r="1278" spans="2:3">
      <c r="B1278" s="38">
        <v>40003</v>
      </c>
      <c r="C1278">
        <v>132.83199999999999</v>
      </c>
    </row>
    <row r="1279" spans="2:3">
      <c r="B1279" s="38">
        <v>40004</v>
      </c>
      <c r="C1279">
        <v>133.21889999999999</v>
      </c>
    </row>
    <row r="1280" spans="2:3">
      <c r="B1280" s="38">
        <v>40007</v>
      </c>
      <c r="C1280">
        <v>133.3614</v>
      </c>
    </row>
    <row r="1281" spans="2:3">
      <c r="B1281" s="38">
        <v>40008</v>
      </c>
      <c r="C1281">
        <v>133.0514</v>
      </c>
    </row>
    <row r="1282" spans="2:3">
      <c r="B1282" s="38">
        <v>40009</v>
      </c>
      <c r="C1282">
        <v>132.773</v>
      </c>
    </row>
    <row r="1283" spans="2:3">
      <c r="B1283" s="38">
        <v>40010</v>
      </c>
      <c r="C1283">
        <v>133.1841</v>
      </c>
    </row>
    <row r="1284" spans="2:3">
      <c r="B1284" s="38">
        <v>40011</v>
      </c>
      <c r="C1284">
        <v>132.8295</v>
      </c>
    </row>
    <row r="1285" spans="2:3">
      <c r="B1285" s="38">
        <v>40014</v>
      </c>
      <c r="C1285">
        <v>133.38640000000001</v>
      </c>
    </row>
    <row r="1286" spans="2:3">
      <c r="B1286" s="38">
        <v>40015</v>
      </c>
      <c r="C1286">
        <v>134.03890000000001</v>
      </c>
    </row>
    <row r="1287" spans="2:3">
      <c r="B1287" s="38">
        <v>40016</v>
      </c>
      <c r="C1287">
        <v>133.7236</v>
      </c>
    </row>
    <row r="1288" spans="2:3">
      <c r="B1288" s="38">
        <v>40017</v>
      </c>
      <c r="C1288">
        <v>133.45869999999999</v>
      </c>
    </row>
    <row r="1289" spans="2:3">
      <c r="B1289" s="38">
        <v>40018</v>
      </c>
      <c r="C1289">
        <v>133.63579999999999</v>
      </c>
    </row>
    <row r="1290" spans="2:3">
      <c r="B1290" s="38">
        <v>40021</v>
      </c>
      <c r="C1290">
        <v>133.70869999999999</v>
      </c>
    </row>
    <row r="1291" spans="2:3">
      <c r="B1291" s="38">
        <v>40022</v>
      </c>
      <c r="C1291">
        <v>133.66659999999999</v>
      </c>
    </row>
    <row r="1292" spans="2:3">
      <c r="B1292" s="38">
        <v>40023</v>
      </c>
      <c r="C1292">
        <v>133.5453</v>
      </c>
    </row>
    <row r="1293" spans="2:3">
      <c r="B1293" s="38">
        <v>40024</v>
      </c>
      <c r="C1293">
        <v>133.9744</v>
      </c>
    </row>
    <row r="1294" spans="2:3">
      <c r="B1294" s="38">
        <v>40025</v>
      </c>
      <c r="C1294">
        <v>134.60239999999999</v>
      </c>
    </row>
    <row r="1295" spans="2:3">
      <c r="B1295" s="38">
        <v>40028</v>
      </c>
      <c r="C1295">
        <v>134.43350000000001</v>
      </c>
    </row>
    <row r="1296" spans="2:3">
      <c r="B1296" s="38">
        <v>40029</v>
      </c>
      <c r="C1296">
        <v>134.31659999999999</v>
      </c>
    </row>
    <row r="1297" spans="2:3">
      <c r="B1297" s="38">
        <v>40030</v>
      </c>
      <c r="C1297">
        <v>133.91419999999999</v>
      </c>
    </row>
    <row r="1298" spans="2:3">
      <c r="B1298" s="38">
        <v>40031</v>
      </c>
      <c r="C1298">
        <v>133.81209999999999</v>
      </c>
    </row>
    <row r="1299" spans="2:3">
      <c r="B1299" s="38">
        <v>40032</v>
      </c>
      <c r="C1299">
        <v>133.78620000000001</v>
      </c>
    </row>
    <row r="1300" spans="2:3">
      <c r="B1300" s="38">
        <v>40035</v>
      </c>
      <c r="C1300">
        <v>134.14590000000001</v>
      </c>
    </row>
    <row r="1301" spans="2:3">
      <c r="B1301" s="38">
        <v>40036</v>
      </c>
      <c r="C1301">
        <v>133.99529999999999</v>
      </c>
    </row>
    <row r="1302" spans="2:3">
      <c r="B1302" s="38">
        <v>40037</v>
      </c>
      <c r="C1302">
        <v>134.4032</v>
      </c>
    </row>
    <row r="1303" spans="2:3">
      <c r="B1303" s="38">
        <v>40038</v>
      </c>
      <c r="C1303">
        <v>135.09639999999999</v>
      </c>
    </row>
    <row r="1304" spans="2:3">
      <c r="B1304" s="38">
        <v>40039</v>
      </c>
      <c r="C1304">
        <v>134.95009999999999</v>
      </c>
    </row>
    <row r="1305" spans="2:3">
      <c r="B1305" s="38">
        <v>40042</v>
      </c>
      <c r="C1305">
        <v>134.43709999999999</v>
      </c>
    </row>
    <row r="1306" spans="2:3">
      <c r="B1306" s="38">
        <v>40043</v>
      </c>
      <c r="C1306">
        <v>134.57409999999999</v>
      </c>
    </row>
    <row r="1307" spans="2:3">
      <c r="B1307" s="38">
        <v>40044</v>
      </c>
      <c r="C1307">
        <v>134.97569999999999</v>
      </c>
    </row>
    <row r="1308" spans="2:3">
      <c r="B1308" s="38">
        <v>40045</v>
      </c>
      <c r="C1308">
        <v>135.51410000000001</v>
      </c>
    </row>
    <row r="1309" spans="2:3">
      <c r="B1309" s="38">
        <v>40046</v>
      </c>
      <c r="C1309">
        <v>135.66079999999999</v>
      </c>
    </row>
    <row r="1310" spans="2:3">
      <c r="B1310" s="38">
        <v>40049</v>
      </c>
      <c r="C1310">
        <v>135.9383</v>
      </c>
    </row>
    <row r="1311" spans="2:3">
      <c r="B1311" s="38">
        <v>40050</v>
      </c>
      <c r="C1311">
        <v>136.18690000000001</v>
      </c>
    </row>
    <row r="1312" spans="2:3">
      <c r="B1312" s="38">
        <v>40051</v>
      </c>
      <c r="C1312">
        <v>136.2612</v>
      </c>
    </row>
    <row r="1313" spans="2:3">
      <c r="B1313" s="38">
        <v>40052</v>
      </c>
      <c r="C1313">
        <v>136.31319999999999</v>
      </c>
    </row>
    <row r="1314" spans="2:3">
      <c r="B1314" s="38">
        <v>40053</v>
      </c>
      <c r="C1314">
        <v>136.32409999999999</v>
      </c>
    </row>
    <row r="1315" spans="2:3">
      <c r="B1315" s="38">
        <v>40056</v>
      </c>
      <c r="C1315">
        <v>136.22210000000001</v>
      </c>
    </row>
    <row r="1316" spans="2:3">
      <c r="B1316" s="38">
        <v>40057</v>
      </c>
      <c r="C1316">
        <v>135.3878</v>
      </c>
    </row>
    <row r="1317" spans="2:3">
      <c r="B1317" s="38">
        <v>40058</v>
      </c>
      <c r="C1317">
        <v>135.56639999999999</v>
      </c>
    </row>
    <row r="1318" spans="2:3">
      <c r="B1318" s="38">
        <v>40059</v>
      </c>
      <c r="C1318">
        <v>135.80070000000001</v>
      </c>
    </row>
    <row r="1319" spans="2:3">
      <c r="B1319" s="38">
        <v>40060</v>
      </c>
      <c r="C1319">
        <v>136.023</v>
      </c>
    </row>
    <row r="1320" spans="2:3">
      <c r="B1320" s="38">
        <v>40064</v>
      </c>
      <c r="C1320">
        <v>136.43260000000001</v>
      </c>
    </row>
    <row r="1321" spans="2:3">
      <c r="B1321" s="38">
        <v>40065</v>
      </c>
      <c r="C1321">
        <v>136.80410000000001</v>
      </c>
    </row>
    <row r="1322" spans="2:3">
      <c r="B1322" s="38">
        <v>40066</v>
      </c>
      <c r="C1322">
        <v>137.68719999999999</v>
      </c>
    </row>
    <row r="1323" spans="2:3">
      <c r="B1323" s="38">
        <v>40067</v>
      </c>
      <c r="C1323">
        <v>137.63040000000001</v>
      </c>
    </row>
    <row r="1324" spans="2:3">
      <c r="B1324" s="38">
        <v>40070</v>
      </c>
      <c r="C1324">
        <v>137.6866</v>
      </c>
    </row>
    <row r="1325" spans="2:3">
      <c r="B1325" s="38">
        <v>40071</v>
      </c>
      <c r="C1325">
        <v>137.6566</v>
      </c>
    </row>
    <row r="1326" spans="2:3">
      <c r="B1326" s="38">
        <v>40072</v>
      </c>
      <c r="C1326">
        <v>138.274</v>
      </c>
    </row>
    <row r="1327" spans="2:3">
      <c r="B1327" s="38">
        <v>40073</v>
      </c>
      <c r="C1327">
        <v>138.40350000000001</v>
      </c>
    </row>
    <row r="1328" spans="2:3">
      <c r="B1328" s="38">
        <v>40074</v>
      </c>
      <c r="C1328">
        <v>138.251</v>
      </c>
    </row>
    <row r="1329" spans="2:3">
      <c r="B1329" s="38">
        <v>40077</v>
      </c>
      <c r="C1329">
        <v>138.09800000000001</v>
      </c>
    </row>
    <row r="1330" spans="2:3">
      <c r="B1330" s="38">
        <v>40078</v>
      </c>
      <c r="C1330">
        <v>138.54409999999999</v>
      </c>
    </row>
    <row r="1331" spans="2:3">
      <c r="B1331" s="38">
        <v>40079</v>
      </c>
      <c r="C1331">
        <v>138.23830000000001</v>
      </c>
    </row>
    <row r="1332" spans="2:3">
      <c r="B1332" s="38">
        <v>40080</v>
      </c>
      <c r="C1332">
        <v>137.90610000000001</v>
      </c>
    </row>
    <row r="1333" spans="2:3">
      <c r="B1333" s="38">
        <v>40081</v>
      </c>
      <c r="C1333">
        <v>137.69220000000001</v>
      </c>
    </row>
    <row r="1334" spans="2:3">
      <c r="B1334" s="38">
        <v>40084</v>
      </c>
      <c r="C1334">
        <v>138.71100000000001</v>
      </c>
    </row>
    <row r="1335" spans="2:3">
      <c r="B1335" s="38">
        <v>40085</v>
      </c>
      <c r="C1335">
        <v>138.6129</v>
      </c>
    </row>
    <row r="1336" spans="2:3">
      <c r="B1336" s="38">
        <v>40086</v>
      </c>
      <c r="C1336">
        <v>138.39099999999999</v>
      </c>
    </row>
    <row r="1337" spans="2:3">
      <c r="B1337" s="38">
        <v>40087</v>
      </c>
      <c r="C1337">
        <v>137.57749999999999</v>
      </c>
    </row>
    <row r="1338" spans="2:3">
      <c r="B1338" s="38">
        <v>40088</v>
      </c>
      <c r="C1338">
        <v>137.32409999999999</v>
      </c>
    </row>
    <row r="1339" spans="2:3">
      <c r="B1339" s="38">
        <v>40091</v>
      </c>
      <c r="C1339">
        <v>138.01150000000001</v>
      </c>
    </row>
    <row r="1340" spans="2:3">
      <c r="B1340" s="38">
        <v>40092</v>
      </c>
      <c r="C1340">
        <v>138.52260000000001</v>
      </c>
    </row>
    <row r="1341" spans="2:3">
      <c r="B1341" s="38">
        <v>40093</v>
      </c>
      <c r="C1341">
        <v>138.9281</v>
      </c>
    </row>
    <row r="1342" spans="2:3">
      <c r="B1342" s="38">
        <v>40094</v>
      </c>
      <c r="C1342">
        <v>139.02600000000001</v>
      </c>
    </row>
    <row r="1343" spans="2:3">
      <c r="B1343" s="38">
        <v>40095</v>
      </c>
      <c r="C1343">
        <v>138.76650000000001</v>
      </c>
    </row>
    <row r="1344" spans="2:3">
      <c r="B1344" s="38">
        <v>40099</v>
      </c>
      <c r="C1344">
        <v>139.22720000000001</v>
      </c>
    </row>
    <row r="1345" spans="2:3">
      <c r="B1345" s="38">
        <v>40100</v>
      </c>
      <c r="C1345">
        <v>139.70429999999999</v>
      </c>
    </row>
    <row r="1346" spans="2:3">
      <c r="B1346" s="38">
        <v>40101</v>
      </c>
      <c r="C1346">
        <v>139.69030000000001</v>
      </c>
    </row>
    <row r="1347" spans="2:3">
      <c r="B1347" s="38">
        <v>40102</v>
      </c>
      <c r="C1347">
        <v>139.44829999999999</v>
      </c>
    </row>
    <row r="1348" spans="2:3">
      <c r="B1348" s="38">
        <v>40105</v>
      </c>
      <c r="C1348">
        <v>139.9478</v>
      </c>
    </row>
    <row r="1349" spans="2:3">
      <c r="B1349" s="38">
        <v>40106</v>
      </c>
      <c r="C1349">
        <v>139.87899999999999</v>
      </c>
    </row>
    <row r="1350" spans="2:3">
      <c r="B1350" s="38">
        <v>40107</v>
      </c>
      <c r="C1350">
        <v>139.1919</v>
      </c>
    </row>
    <row r="1351" spans="2:3">
      <c r="B1351" s="38">
        <v>40108</v>
      </c>
      <c r="C1351">
        <v>139.70169999999999</v>
      </c>
    </row>
    <row r="1352" spans="2:3">
      <c r="B1352" s="38">
        <v>40109</v>
      </c>
      <c r="C1352">
        <v>138.9907</v>
      </c>
    </row>
    <row r="1353" spans="2:3">
      <c r="B1353" s="38">
        <v>40112</v>
      </c>
      <c r="C1353">
        <v>138.23320000000001</v>
      </c>
    </row>
    <row r="1354" spans="2:3">
      <c r="B1354" s="38">
        <v>40113</v>
      </c>
      <c r="C1354">
        <v>138.4649</v>
      </c>
    </row>
    <row r="1355" spans="2:3">
      <c r="B1355" s="38">
        <v>40114</v>
      </c>
      <c r="C1355">
        <v>137.90020000000001</v>
      </c>
    </row>
    <row r="1356" spans="2:3">
      <c r="B1356" s="38">
        <v>40115</v>
      </c>
      <c r="C1356">
        <v>138.55670000000001</v>
      </c>
    </row>
    <row r="1357" spans="2:3">
      <c r="B1357" s="38">
        <v>40116</v>
      </c>
      <c r="C1357">
        <v>137.9316</v>
      </c>
    </row>
    <row r="1358" spans="2:3">
      <c r="B1358" s="38">
        <v>40119</v>
      </c>
      <c r="C1358">
        <v>138.06020000000001</v>
      </c>
    </row>
    <row r="1359" spans="2:3">
      <c r="B1359" s="38">
        <v>40120</v>
      </c>
      <c r="C1359">
        <v>137.9598</v>
      </c>
    </row>
    <row r="1360" spans="2:3">
      <c r="B1360" s="38">
        <v>40121</v>
      </c>
      <c r="C1360">
        <v>137.85820000000001</v>
      </c>
    </row>
    <row r="1361" spans="2:3">
      <c r="B1361" s="38">
        <v>40122</v>
      </c>
      <c r="C1361">
        <v>138.71119999999999</v>
      </c>
    </row>
    <row r="1362" spans="2:3">
      <c r="B1362" s="38">
        <v>40123</v>
      </c>
      <c r="C1362">
        <v>138.9967</v>
      </c>
    </row>
    <row r="1363" spans="2:3">
      <c r="B1363" s="38">
        <v>40126</v>
      </c>
      <c r="C1363">
        <v>139.86619999999999</v>
      </c>
    </row>
    <row r="1364" spans="2:3">
      <c r="B1364" s="38">
        <v>40127</v>
      </c>
      <c r="C1364">
        <v>139.92519999999999</v>
      </c>
    </row>
    <row r="1365" spans="2:3">
      <c r="B1365" s="38">
        <v>40129</v>
      </c>
      <c r="C1365">
        <v>139.9924</v>
      </c>
    </row>
    <row r="1366" spans="2:3">
      <c r="B1366" s="38">
        <v>40130</v>
      </c>
      <c r="C1366">
        <v>140.2954</v>
      </c>
    </row>
    <row r="1367" spans="2:3">
      <c r="B1367" s="38">
        <v>40133</v>
      </c>
      <c r="C1367">
        <v>141.215</v>
      </c>
    </row>
    <row r="1368" spans="2:3">
      <c r="B1368" s="38">
        <v>40134</v>
      </c>
      <c r="C1368">
        <v>141.23089999999999</v>
      </c>
    </row>
    <row r="1369" spans="2:3">
      <c r="B1369" s="38">
        <v>40135</v>
      </c>
      <c r="C1369">
        <v>141.0557</v>
      </c>
    </row>
    <row r="1370" spans="2:3">
      <c r="B1370" s="38">
        <v>40136</v>
      </c>
      <c r="C1370">
        <v>140.6713</v>
      </c>
    </row>
    <row r="1371" spans="2:3">
      <c r="B1371" s="38">
        <v>40137</v>
      </c>
      <c r="C1371">
        <v>140.54990000000001</v>
      </c>
    </row>
    <row r="1372" spans="2:3">
      <c r="B1372" s="38">
        <v>40140</v>
      </c>
      <c r="C1372">
        <v>141.04679999999999</v>
      </c>
    </row>
    <row r="1373" spans="2:3">
      <c r="B1373" s="38">
        <v>40141</v>
      </c>
      <c r="C1373">
        <v>141.2687</v>
      </c>
    </row>
    <row r="1374" spans="2:3">
      <c r="B1374" s="38">
        <v>40142</v>
      </c>
      <c r="C1374">
        <v>141.536</v>
      </c>
    </row>
    <row r="1375" spans="2:3">
      <c r="B1375" s="38">
        <v>40144</v>
      </c>
      <c r="C1375">
        <v>141.1542</v>
      </c>
    </row>
    <row r="1376" spans="2:3">
      <c r="B1376" s="38">
        <v>40147</v>
      </c>
      <c r="C1376">
        <v>141.38890000000001</v>
      </c>
    </row>
    <row r="1377" spans="2:3">
      <c r="B1377" s="38">
        <v>40148</v>
      </c>
      <c r="C1377">
        <v>141.60579999999999</v>
      </c>
    </row>
    <row r="1378" spans="2:3">
      <c r="B1378" s="38">
        <v>40149</v>
      </c>
      <c r="C1378">
        <v>141.441</v>
      </c>
    </row>
    <row r="1379" spans="2:3">
      <c r="B1379" s="38">
        <v>40150</v>
      </c>
      <c r="C1379">
        <v>140.92089999999999</v>
      </c>
    </row>
    <row r="1380" spans="2:3">
      <c r="B1380" s="38">
        <v>40151</v>
      </c>
      <c r="C1380">
        <v>140.72450000000001</v>
      </c>
    </row>
    <row r="1381" spans="2:3">
      <c r="B1381" s="38">
        <v>40154</v>
      </c>
      <c r="C1381">
        <v>140.88829999999999</v>
      </c>
    </row>
    <row r="1382" spans="2:3">
      <c r="B1382" s="38">
        <v>40155</v>
      </c>
      <c r="C1382">
        <v>140.7714</v>
      </c>
    </row>
    <row r="1383" spans="2:3">
      <c r="B1383" s="38">
        <v>40156</v>
      </c>
      <c r="C1383">
        <v>140.83340000000001</v>
      </c>
    </row>
    <row r="1384" spans="2:3">
      <c r="B1384" s="38">
        <v>40157</v>
      </c>
      <c r="C1384">
        <v>140.8554</v>
      </c>
    </row>
    <row r="1385" spans="2:3">
      <c r="B1385" s="38">
        <v>40158</v>
      </c>
      <c r="C1385">
        <v>140.84039999999999</v>
      </c>
    </row>
    <row r="1386" spans="2:3">
      <c r="B1386" s="38">
        <v>40161</v>
      </c>
      <c r="C1386">
        <v>141.06890000000001</v>
      </c>
    </row>
    <row r="1387" spans="2:3">
      <c r="B1387" s="38">
        <v>40162</v>
      </c>
      <c r="C1387">
        <v>140.57939999999999</v>
      </c>
    </row>
    <row r="1388" spans="2:3">
      <c r="B1388" s="38">
        <v>40163</v>
      </c>
      <c r="C1388">
        <v>140.71979999999999</v>
      </c>
    </row>
    <row r="1389" spans="2:3">
      <c r="B1389" s="38">
        <v>40164</v>
      </c>
      <c r="C1389">
        <v>140.74940000000001</v>
      </c>
    </row>
    <row r="1390" spans="2:3">
      <c r="B1390" s="38">
        <v>40165</v>
      </c>
      <c r="C1390">
        <v>140.79050000000001</v>
      </c>
    </row>
    <row r="1391" spans="2:3">
      <c r="B1391" s="38">
        <v>40168</v>
      </c>
      <c r="C1391">
        <v>140.7783</v>
      </c>
    </row>
    <row r="1392" spans="2:3">
      <c r="B1392" s="38">
        <v>40169</v>
      </c>
      <c r="C1392">
        <v>140.68600000000001</v>
      </c>
    </row>
    <row r="1393" spans="2:3">
      <c r="B1393" s="38">
        <v>40170</v>
      </c>
      <c r="C1393">
        <v>140.685</v>
      </c>
    </row>
    <row r="1394" spans="2:3">
      <c r="B1394" s="38">
        <v>40171</v>
      </c>
      <c r="C1394">
        <v>140.67080000000001</v>
      </c>
    </row>
    <row r="1395" spans="2:3">
      <c r="B1395" s="38">
        <v>40175</v>
      </c>
      <c r="C1395">
        <v>140.56010000000001</v>
      </c>
    </row>
    <row r="1396" spans="2:3">
      <c r="B1396" s="38">
        <v>40176</v>
      </c>
      <c r="C1396">
        <v>140.6147</v>
      </c>
    </row>
    <row r="1397" spans="2:3">
      <c r="B1397" s="38">
        <v>40177</v>
      </c>
      <c r="C1397">
        <v>140.74270000000001</v>
      </c>
    </row>
    <row r="1398" spans="2:3">
      <c r="B1398" s="38">
        <v>40178</v>
      </c>
      <c r="C1398">
        <v>140.01179999999999</v>
      </c>
    </row>
    <row r="1399" spans="2:3">
      <c r="B1399" s="38">
        <v>40182</v>
      </c>
      <c r="C1399">
        <v>141</v>
      </c>
    </row>
    <row r="1400" spans="2:3">
      <c r="B1400" s="38">
        <v>40183</v>
      </c>
      <c r="C1400">
        <v>141.54470000000001</v>
      </c>
    </row>
    <row r="1401" spans="2:3">
      <c r="B1401" s="38">
        <v>40184</v>
      </c>
      <c r="C1401">
        <v>141.4914</v>
      </c>
    </row>
    <row r="1402" spans="2:3">
      <c r="B1402" s="38">
        <v>40185</v>
      </c>
      <c r="C1402">
        <v>141.5745</v>
      </c>
    </row>
    <row r="1403" spans="2:3">
      <c r="B1403" s="38">
        <v>40186</v>
      </c>
      <c r="C1403">
        <v>141.8339</v>
      </c>
    </row>
    <row r="1404" spans="2:3">
      <c r="B1404" s="38">
        <v>40189</v>
      </c>
      <c r="C1404">
        <v>141.97649999999999</v>
      </c>
    </row>
    <row r="1405" spans="2:3">
      <c r="B1405" s="38">
        <v>40190</v>
      </c>
      <c r="C1405">
        <v>141.7398</v>
      </c>
    </row>
    <row r="1406" spans="2:3">
      <c r="B1406" s="38">
        <v>40191</v>
      </c>
      <c r="C1406">
        <v>142.02789999999999</v>
      </c>
    </row>
    <row r="1407" spans="2:3">
      <c r="B1407" s="38">
        <v>40192</v>
      </c>
      <c r="C1407">
        <v>142.38249999999999</v>
      </c>
    </row>
    <row r="1408" spans="2:3">
      <c r="B1408" s="38">
        <v>40193</v>
      </c>
      <c r="C1408">
        <v>141.88140000000001</v>
      </c>
    </row>
    <row r="1409" spans="2:3">
      <c r="B1409" s="38">
        <v>40197</v>
      </c>
      <c r="C1409">
        <v>142.58609999999999</v>
      </c>
    </row>
    <row r="1410" spans="2:3">
      <c r="B1410" s="38">
        <v>40198</v>
      </c>
      <c r="C1410">
        <v>142.05430000000001</v>
      </c>
    </row>
    <row r="1411" spans="2:3">
      <c r="B1411" s="38">
        <v>40199</v>
      </c>
      <c r="C1411">
        <v>140.96870000000001</v>
      </c>
    </row>
    <row r="1412" spans="2:3">
      <c r="B1412" s="38">
        <v>40200</v>
      </c>
      <c r="C1412">
        <v>139.5164</v>
      </c>
    </row>
    <row r="1413" spans="2:3">
      <c r="B1413" s="38">
        <v>40203</v>
      </c>
      <c r="C1413">
        <v>139.727</v>
      </c>
    </row>
    <row r="1414" spans="2:3">
      <c r="B1414" s="38">
        <v>40204</v>
      </c>
      <c r="C1414">
        <v>139.51990000000001</v>
      </c>
    </row>
    <row r="1415" spans="2:3">
      <c r="B1415" s="38">
        <v>40205</v>
      </c>
      <c r="C1415">
        <v>139.70009999999999</v>
      </c>
    </row>
    <row r="1416" spans="2:3">
      <c r="B1416" s="38">
        <v>40206</v>
      </c>
      <c r="C1416">
        <v>139.11869999999999</v>
      </c>
    </row>
    <row r="1417" spans="2:3">
      <c r="B1417" s="38">
        <v>40207</v>
      </c>
      <c r="C1417">
        <v>138.82249999999999</v>
      </c>
    </row>
    <row r="1418" spans="2:3">
      <c r="B1418" s="38">
        <v>40210</v>
      </c>
      <c r="C1418">
        <v>139.3809</v>
      </c>
    </row>
    <row r="1419" spans="2:3">
      <c r="B1419" s="38">
        <v>40211</v>
      </c>
      <c r="C1419">
        <v>140.09209999999999</v>
      </c>
    </row>
    <row r="1420" spans="2:3">
      <c r="B1420" s="38">
        <v>40212</v>
      </c>
      <c r="C1420">
        <v>139.65969999999999</v>
      </c>
    </row>
    <row r="1421" spans="2:3">
      <c r="B1421" s="38">
        <v>40213</v>
      </c>
      <c r="C1421">
        <v>138.48259999999999</v>
      </c>
    </row>
    <row r="1422" spans="2:3">
      <c r="B1422" s="38">
        <v>40214</v>
      </c>
      <c r="C1422">
        <v>138.87270000000001</v>
      </c>
    </row>
    <row r="1423" spans="2:3">
      <c r="B1423" s="38">
        <v>40217</v>
      </c>
      <c r="C1423">
        <v>138.29599999999999</v>
      </c>
    </row>
    <row r="1424" spans="2:3">
      <c r="B1424" s="38">
        <v>40218</v>
      </c>
      <c r="C1424">
        <v>138.66849999999999</v>
      </c>
    </row>
    <row r="1425" spans="2:3">
      <c r="B1425" s="38">
        <v>40219</v>
      </c>
      <c r="C1425">
        <v>138.32220000000001</v>
      </c>
    </row>
    <row r="1426" spans="2:3">
      <c r="B1426" s="38">
        <v>40220</v>
      </c>
      <c r="C1426">
        <v>138.6422</v>
      </c>
    </row>
    <row r="1427" spans="2:3">
      <c r="B1427" s="38">
        <v>40221</v>
      </c>
      <c r="C1427">
        <v>138.80160000000001</v>
      </c>
    </row>
    <row r="1428" spans="2:3">
      <c r="B1428" s="38">
        <v>40225</v>
      </c>
      <c r="C1428">
        <v>139.49539999999999</v>
      </c>
    </row>
    <row r="1429" spans="2:3">
      <c r="B1429" s="38">
        <v>40226</v>
      </c>
      <c r="C1429">
        <v>139.36869999999999</v>
      </c>
    </row>
    <row r="1430" spans="2:3">
      <c r="B1430" s="38">
        <v>40227</v>
      </c>
      <c r="C1430">
        <v>139.39519999999999</v>
      </c>
    </row>
    <row r="1431" spans="2:3">
      <c r="B1431" s="38">
        <v>40228</v>
      </c>
      <c r="C1431">
        <v>139.4888</v>
      </c>
    </row>
    <row r="1432" spans="2:3">
      <c r="B1432" s="38">
        <v>40231</v>
      </c>
      <c r="C1432">
        <v>139.51990000000001</v>
      </c>
    </row>
    <row r="1433" spans="2:3">
      <c r="B1433" s="38">
        <v>40232</v>
      </c>
      <c r="C1433">
        <v>139.43799999999999</v>
      </c>
    </row>
    <row r="1434" spans="2:3">
      <c r="B1434" s="38">
        <v>40233</v>
      </c>
      <c r="C1434">
        <v>139.83080000000001</v>
      </c>
    </row>
    <row r="1435" spans="2:3">
      <c r="B1435" s="38">
        <v>40234</v>
      </c>
      <c r="C1435">
        <v>139.95320000000001</v>
      </c>
    </row>
    <row r="1436" spans="2:3">
      <c r="B1436" s="38">
        <v>40235</v>
      </c>
      <c r="C1436">
        <v>140.25489999999999</v>
      </c>
    </row>
    <row r="1437" spans="2:3">
      <c r="B1437" s="38">
        <v>40238</v>
      </c>
      <c r="C1437">
        <v>140.66419999999999</v>
      </c>
    </row>
    <row r="1438" spans="2:3">
      <c r="B1438" s="38">
        <v>40239</v>
      </c>
      <c r="C1438">
        <v>140.80430000000001</v>
      </c>
    </row>
    <row r="1439" spans="2:3">
      <c r="B1439" s="38">
        <v>40240</v>
      </c>
      <c r="C1439">
        <v>140.85589999999999</v>
      </c>
    </row>
    <row r="1440" spans="2:3">
      <c r="B1440" s="38">
        <v>40241</v>
      </c>
      <c r="C1440">
        <v>141.0823</v>
      </c>
    </row>
    <row r="1441" spans="2:3">
      <c r="B1441" s="38">
        <v>40242</v>
      </c>
      <c r="C1441">
        <v>141.51070000000001</v>
      </c>
    </row>
    <row r="1442" spans="2:3">
      <c r="B1442" s="38">
        <v>40245</v>
      </c>
      <c r="C1442">
        <v>141.47810000000001</v>
      </c>
    </row>
    <row r="1443" spans="2:3">
      <c r="B1443" s="38">
        <v>40246</v>
      </c>
      <c r="C1443">
        <v>141.66220000000001</v>
      </c>
    </row>
    <row r="1444" spans="2:3">
      <c r="B1444" s="38">
        <v>40247</v>
      </c>
      <c r="C1444">
        <v>141.82390000000001</v>
      </c>
    </row>
    <row r="1445" spans="2:3">
      <c r="B1445" s="38">
        <v>40248</v>
      </c>
      <c r="C1445">
        <v>142.0154</v>
      </c>
    </row>
    <row r="1446" spans="2:3">
      <c r="B1446" s="38">
        <v>40249</v>
      </c>
      <c r="C1446">
        <v>142.02269999999999</v>
      </c>
    </row>
    <row r="1447" spans="2:3">
      <c r="B1447" s="38">
        <v>40252</v>
      </c>
      <c r="C1447">
        <v>142.08160000000001</v>
      </c>
    </row>
    <row r="1448" spans="2:3">
      <c r="B1448" s="38">
        <v>40253</v>
      </c>
      <c r="C1448">
        <v>142.63640000000001</v>
      </c>
    </row>
    <row r="1449" spans="2:3">
      <c r="B1449" s="38">
        <v>40254</v>
      </c>
      <c r="C1449">
        <v>142.96100000000001</v>
      </c>
    </row>
    <row r="1450" spans="2:3">
      <c r="B1450" s="38">
        <v>40255</v>
      </c>
      <c r="C1450">
        <v>142.80789999999999</v>
      </c>
    </row>
    <row r="1451" spans="2:3">
      <c r="B1451" s="38">
        <v>40256</v>
      </c>
      <c r="C1451">
        <v>142.4717</v>
      </c>
    </row>
    <row r="1452" spans="2:3">
      <c r="B1452" s="38">
        <v>40259</v>
      </c>
      <c r="C1452">
        <v>142.84700000000001</v>
      </c>
    </row>
    <row r="1453" spans="2:3">
      <c r="B1453" s="38">
        <v>40260</v>
      </c>
      <c r="C1453">
        <v>143.32140000000001</v>
      </c>
    </row>
    <row r="1454" spans="2:3">
      <c r="B1454" s="38">
        <v>40261</v>
      </c>
      <c r="C1454">
        <v>142.58680000000001</v>
      </c>
    </row>
    <row r="1455" spans="2:3">
      <c r="B1455" s="38">
        <v>40262</v>
      </c>
      <c r="C1455">
        <v>142.26650000000001</v>
      </c>
    </row>
    <row r="1456" spans="2:3">
      <c r="B1456" s="38">
        <v>40263</v>
      </c>
      <c r="C1456">
        <v>142.4726</v>
      </c>
    </row>
    <row r="1457" spans="2:3">
      <c r="B1457" s="38">
        <v>40266</v>
      </c>
      <c r="C1457">
        <v>142.7638</v>
      </c>
    </row>
    <row r="1458" spans="2:3">
      <c r="B1458" s="38">
        <v>40267</v>
      </c>
      <c r="C1458">
        <v>142.70060000000001</v>
      </c>
    </row>
    <row r="1459" spans="2:3">
      <c r="B1459" s="38">
        <v>40268</v>
      </c>
      <c r="C1459">
        <v>142.61689999999999</v>
      </c>
    </row>
    <row r="1460" spans="2:3">
      <c r="B1460" s="38">
        <v>40269</v>
      </c>
      <c r="C1460">
        <v>142.86070000000001</v>
      </c>
    </row>
    <row r="1461" spans="2:3">
      <c r="B1461" s="38">
        <v>40273</v>
      </c>
      <c r="C1461">
        <v>142.75890000000001</v>
      </c>
    </row>
    <row r="1462" spans="2:3">
      <c r="B1462" s="38">
        <v>40274</v>
      </c>
      <c r="C1462">
        <v>143.02109999999999</v>
      </c>
    </row>
    <row r="1463" spans="2:3">
      <c r="B1463" s="38">
        <v>40275</v>
      </c>
      <c r="C1463">
        <v>143.0299</v>
      </c>
    </row>
    <row r="1464" spans="2:3">
      <c r="B1464" s="38">
        <v>40276</v>
      </c>
      <c r="C1464">
        <v>143.1986</v>
      </c>
    </row>
    <row r="1465" spans="2:3">
      <c r="B1465" s="38">
        <v>40277</v>
      </c>
      <c r="C1465">
        <v>143.69759999999999</v>
      </c>
    </row>
    <row r="1466" spans="2:3">
      <c r="B1466" s="38">
        <v>40280</v>
      </c>
      <c r="C1466">
        <v>144.05709999999999</v>
      </c>
    </row>
    <row r="1467" spans="2:3">
      <c r="B1467" s="38">
        <v>40281</v>
      </c>
      <c r="C1467">
        <v>144.20769999999999</v>
      </c>
    </row>
    <row r="1468" spans="2:3">
      <c r="B1468" s="38">
        <v>40282</v>
      </c>
      <c r="C1468">
        <v>144.93010000000001</v>
      </c>
    </row>
    <row r="1469" spans="2:3">
      <c r="B1469" s="38">
        <v>40283</v>
      </c>
      <c r="C1469">
        <v>145.0377</v>
      </c>
    </row>
    <row r="1470" spans="2:3">
      <c r="B1470" s="38">
        <v>40284</v>
      </c>
      <c r="C1470">
        <v>143.9188</v>
      </c>
    </row>
    <row r="1471" spans="2:3">
      <c r="B1471" s="38">
        <v>40287</v>
      </c>
      <c r="C1471">
        <v>144.17699999999999</v>
      </c>
    </row>
    <row r="1472" spans="2:3">
      <c r="B1472" s="38">
        <v>40288</v>
      </c>
      <c r="C1472">
        <v>144.8349</v>
      </c>
    </row>
    <row r="1473" spans="2:3">
      <c r="B1473" s="38">
        <v>40289</v>
      </c>
      <c r="C1473">
        <v>144.89189999999999</v>
      </c>
    </row>
    <row r="1474" spans="2:3">
      <c r="B1474" s="38">
        <v>40290</v>
      </c>
      <c r="C1474">
        <v>144.93790000000001</v>
      </c>
    </row>
    <row r="1475" spans="2:3">
      <c r="B1475" s="38">
        <v>40291</v>
      </c>
      <c r="C1475">
        <v>145.3579</v>
      </c>
    </row>
    <row r="1476" spans="2:3">
      <c r="B1476" s="38">
        <v>40294</v>
      </c>
      <c r="C1476">
        <v>145.02950000000001</v>
      </c>
    </row>
    <row r="1477" spans="2:3">
      <c r="B1477" s="38">
        <v>40295</v>
      </c>
      <c r="C1477">
        <v>143.55410000000001</v>
      </c>
    </row>
    <row r="1478" spans="2:3">
      <c r="B1478" s="38">
        <v>40296</v>
      </c>
      <c r="C1478">
        <v>143.88470000000001</v>
      </c>
    </row>
    <row r="1479" spans="2:3">
      <c r="B1479" s="38">
        <v>40297</v>
      </c>
      <c r="C1479">
        <v>144.99979999999999</v>
      </c>
    </row>
    <row r="1480" spans="2:3">
      <c r="B1480" s="38">
        <v>40298</v>
      </c>
      <c r="C1480">
        <v>144.0615</v>
      </c>
    </row>
    <row r="1481" spans="2:3">
      <c r="B1481" s="38">
        <v>40301</v>
      </c>
      <c r="C1481">
        <v>144.6884</v>
      </c>
    </row>
    <row r="1482" spans="2:3">
      <c r="B1482" s="38">
        <v>40302</v>
      </c>
      <c r="C1482">
        <v>143.55369999999999</v>
      </c>
    </row>
    <row r="1483" spans="2:3">
      <c r="B1483" s="38">
        <v>40303</v>
      </c>
      <c r="C1483">
        <v>143.38380000000001</v>
      </c>
    </row>
    <row r="1484" spans="2:3">
      <c r="B1484" s="38">
        <v>40304</v>
      </c>
      <c r="C1484">
        <v>142.1317</v>
      </c>
    </row>
    <row r="1485" spans="2:3">
      <c r="B1485" s="38">
        <v>40305</v>
      </c>
      <c r="C1485">
        <v>141.37649999999999</v>
      </c>
    </row>
    <row r="1486" spans="2:3">
      <c r="B1486" s="38">
        <v>40308</v>
      </c>
      <c r="C1486">
        <v>143.06469999999999</v>
      </c>
    </row>
    <row r="1487" spans="2:3">
      <c r="B1487" s="38">
        <v>40309</v>
      </c>
      <c r="C1487">
        <v>142.9434</v>
      </c>
    </row>
    <row r="1488" spans="2:3">
      <c r="B1488" s="38">
        <v>40310</v>
      </c>
      <c r="C1488">
        <v>143.3604</v>
      </c>
    </row>
    <row r="1489" spans="2:3">
      <c r="B1489" s="38">
        <v>40311</v>
      </c>
      <c r="C1489">
        <v>143.0505</v>
      </c>
    </row>
    <row r="1490" spans="2:3">
      <c r="B1490" s="38">
        <v>40312</v>
      </c>
      <c r="C1490">
        <v>142.93979999999999</v>
      </c>
    </row>
    <row r="1491" spans="2:3">
      <c r="B1491" s="38">
        <v>40315</v>
      </c>
      <c r="C1491">
        <v>142.905</v>
      </c>
    </row>
    <row r="1492" spans="2:3">
      <c r="B1492" s="38">
        <v>40316</v>
      </c>
      <c r="C1492">
        <v>142.6574</v>
      </c>
    </row>
    <row r="1493" spans="2:3">
      <c r="B1493" s="38">
        <v>40317</v>
      </c>
      <c r="C1493">
        <v>142.63470000000001</v>
      </c>
    </row>
    <row r="1494" spans="2:3">
      <c r="B1494" s="38">
        <v>40318</v>
      </c>
      <c r="C1494">
        <v>141.79730000000001</v>
      </c>
    </row>
    <row r="1495" spans="2:3">
      <c r="B1495" s="38">
        <v>40319</v>
      </c>
      <c r="C1495">
        <v>142.50450000000001</v>
      </c>
    </row>
    <row r="1496" spans="2:3">
      <c r="B1496" s="38">
        <v>40322</v>
      </c>
      <c r="C1496">
        <v>141.88849999999999</v>
      </c>
    </row>
    <row r="1497" spans="2:3">
      <c r="B1497" s="38">
        <v>40323</v>
      </c>
      <c r="C1497">
        <v>142.09880000000001</v>
      </c>
    </row>
    <row r="1498" spans="2:3">
      <c r="B1498" s="38">
        <v>40324</v>
      </c>
      <c r="C1498">
        <v>141.67189999999999</v>
      </c>
    </row>
    <row r="1499" spans="2:3">
      <c r="B1499" s="38">
        <v>40325</v>
      </c>
      <c r="C1499">
        <v>142.2071</v>
      </c>
    </row>
    <row r="1500" spans="2:3">
      <c r="B1500" s="38">
        <v>40326</v>
      </c>
      <c r="C1500">
        <v>142.1069</v>
      </c>
    </row>
    <row r="1501" spans="2:3">
      <c r="B1501" s="38">
        <v>40330</v>
      </c>
      <c r="C1501">
        <v>141.63550000000001</v>
      </c>
    </row>
    <row r="1502" spans="2:3">
      <c r="B1502" s="38">
        <v>40331</v>
      </c>
      <c r="C1502">
        <v>142.24209999999999</v>
      </c>
    </row>
    <row r="1503" spans="2:3">
      <c r="B1503" s="38">
        <v>40332</v>
      </c>
      <c r="C1503">
        <v>142.23699999999999</v>
      </c>
    </row>
    <row r="1504" spans="2:3">
      <c r="B1504" s="38">
        <v>40333</v>
      </c>
      <c r="C1504">
        <v>142.03020000000001</v>
      </c>
    </row>
    <row r="1505" spans="2:3">
      <c r="B1505" s="38">
        <v>40336</v>
      </c>
      <c r="C1505">
        <v>141.6799</v>
      </c>
    </row>
    <row r="1506" spans="2:3">
      <c r="B1506" s="38">
        <v>40337</v>
      </c>
      <c r="C1506">
        <v>142.10980000000001</v>
      </c>
    </row>
    <row r="1507" spans="2:3">
      <c r="B1507" s="38">
        <v>40338</v>
      </c>
      <c r="C1507">
        <v>141.92920000000001</v>
      </c>
    </row>
    <row r="1508" spans="2:3">
      <c r="B1508" s="38">
        <v>40339</v>
      </c>
      <c r="C1508">
        <v>142.3287</v>
      </c>
    </row>
    <row r="1509" spans="2:3">
      <c r="B1509" s="38">
        <v>40340</v>
      </c>
      <c r="C1509">
        <v>142.91659999999999</v>
      </c>
    </row>
    <row r="1510" spans="2:3">
      <c r="B1510" s="38">
        <v>40343</v>
      </c>
      <c r="C1510">
        <v>142.75049999999999</v>
      </c>
    </row>
    <row r="1511" spans="2:3">
      <c r="B1511" s="38">
        <v>40344</v>
      </c>
      <c r="C1511">
        <v>143.37960000000001</v>
      </c>
    </row>
    <row r="1512" spans="2:3">
      <c r="B1512" s="38">
        <v>40345</v>
      </c>
      <c r="C1512">
        <v>143.50899999999999</v>
      </c>
    </row>
    <row r="1513" spans="2:3">
      <c r="B1513" s="38">
        <v>40346</v>
      </c>
      <c r="C1513">
        <v>144.04730000000001</v>
      </c>
    </row>
    <row r="1514" spans="2:3">
      <c r="B1514" s="38">
        <v>40347</v>
      </c>
      <c r="C1514">
        <v>144.03540000000001</v>
      </c>
    </row>
    <row r="1515" spans="2:3">
      <c r="B1515" s="38">
        <v>40350</v>
      </c>
      <c r="C1515">
        <v>143.9821</v>
      </c>
    </row>
    <row r="1516" spans="2:3">
      <c r="B1516" s="38">
        <v>40351</v>
      </c>
      <c r="C1516">
        <v>143.6968</v>
      </c>
    </row>
    <row r="1517" spans="2:3">
      <c r="B1517" s="38">
        <v>40352</v>
      </c>
      <c r="C1517">
        <v>143.77539999999999</v>
      </c>
    </row>
    <row r="1518" spans="2:3">
      <c r="B1518" s="38">
        <v>40353</v>
      </c>
      <c r="C1518">
        <v>143.13480000000001</v>
      </c>
    </row>
    <row r="1519" spans="2:3">
      <c r="B1519" s="38">
        <v>40354</v>
      </c>
      <c r="C1519">
        <v>143.39279999999999</v>
      </c>
    </row>
    <row r="1520" spans="2:3">
      <c r="B1520" s="38">
        <v>40357</v>
      </c>
      <c r="C1520">
        <v>143.6867</v>
      </c>
    </row>
    <row r="1521" spans="2:3">
      <c r="B1521" s="38">
        <v>40358</v>
      </c>
      <c r="C1521">
        <v>142.90100000000001</v>
      </c>
    </row>
    <row r="1522" spans="2:3">
      <c r="B1522" s="38">
        <v>40359</v>
      </c>
      <c r="C1522">
        <v>142.6045</v>
      </c>
    </row>
    <row r="1523" spans="2:3">
      <c r="B1523" s="38">
        <v>40360</v>
      </c>
      <c r="C1523">
        <v>142.59200000000001</v>
      </c>
    </row>
    <row r="1524" spans="2:3">
      <c r="B1524" s="38">
        <v>40361</v>
      </c>
      <c r="C1524">
        <v>142.2758</v>
      </c>
    </row>
    <row r="1525" spans="2:3">
      <c r="B1525" s="38">
        <v>40365</v>
      </c>
      <c r="C1525">
        <v>142.70519999999999</v>
      </c>
    </row>
    <row r="1526" spans="2:3">
      <c r="B1526" s="38">
        <v>40366</v>
      </c>
      <c r="C1526">
        <v>143.56739999999999</v>
      </c>
    </row>
    <row r="1527" spans="2:3">
      <c r="B1527" s="38">
        <v>40367</v>
      </c>
      <c r="C1527">
        <v>143.79730000000001</v>
      </c>
    </row>
    <row r="1528" spans="2:3">
      <c r="B1528" s="38">
        <v>40368</v>
      </c>
      <c r="C1528">
        <v>143.90979999999999</v>
      </c>
    </row>
    <row r="1529" spans="2:3">
      <c r="B1529" s="38">
        <v>40371</v>
      </c>
      <c r="C1529">
        <v>143.9796</v>
      </c>
    </row>
    <row r="1530" spans="2:3">
      <c r="B1530" s="38">
        <v>40372</v>
      </c>
      <c r="C1530">
        <v>144.3287</v>
      </c>
    </row>
    <row r="1531" spans="2:3">
      <c r="B1531" s="38">
        <v>40373</v>
      </c>
      <c r="C1531">
        <v>144.61269999999999</v>
      </c>
    </row>
    <row r="1532" spans="2:3">
      <c r="B1532" s="38">
        <v>40374</v>
      </c>
      <c r="C1532">
        <v>144.9897</v>
      </c>
    </row>
    <row r="1533" spans="2:3">
      <c r="B1533" s="38">
        <v>40375</v>
      </c>
      <c r="C1533">
        <v>144.19810000000001</v>
      </c>
    </row>
    <row r="1534" spans="2:3">
      <c r="B1534" s="38">
        <v>40378</v>
      </c>
      <c r="C1534">
        <v>144.27430000000001</v>
      </c>
    </row>
    <row r="1535" spans="2:3">
      <c r="B1535" s="38">
        <v>40379</v>
      </c>
      <c r="C1535">
        <v>144.79910000000001</v>
      </c>
    </row>
    <row r="1536" spans="2:3">
      <c r="B1536" s="38">
        <v>40380</v>
      </c>
      <c r="C1536">
        <v>144.61510000000001</v>
      </c>
    </row>
    <row r="1537" spans="2:3">
      <c r="B1537" s="38">
        <v>40381</v>
      </c>
      <c r="C1537">
        <v>145.2518</v>
      </c>
    </row>
    <row r="1538" spans="2:3">
      <c r="B1538" s="38">
        <v>40382</v>
      </c>
      <c r="C1538">
        <v>145.32419999999999</v>
      </c>
    </row>
    <row r="1539" spans="2:3">
      <c r="B1539" s="38">
        <v>40385</v>
      </c>
      <c r="C1539">
        <v>145.78790000000001</v>
      </c>
    </row>
    <row r="1540" spans="2:3">
      <c r="B1540" s="38">
        <v>40386</v>
      </c>
      <c r="C1540">
        <v>145.6156</v>
      </c>
    </row>
    <row r="1541" spans="2:3">
      <c r="B1541" s="38">
        <v>40387</v>
      </c>
      <c r="C1541">
        <v>145.58959999999999</v>
      </c>
    </row>
    <row r="1542" spans="2:3">
      <c r="B1542" s="38">
        <v>40388</v>
      </c>
      <c r="C1542">
        <v>145.55340000000001</v>
      </c>
    </row>
    <row r="1543" spans="2:3">
      <c r="B1543" s="38">
        <v>40389</v>
      </c>
      <c r="C1543">
        <v>145.88570000000001</v>
      </c>
    </row>
    <row r="1544" spans="2:3">
      <c r="B1544" s="38">
        <v>40392</v>
      </c>
      <c r="C1544">
        <v>146.53460000000001</v>
      </c>
    </row>
    <row r="1545" spans="2:3">
      <c r="B1545" s="38">
        <v>40393</v>
      </c>
      <c r="C1545">
        <v>146.6318</v>
      </c>
    </row>
    <row r="1546" spans="2:3">
      <c r="B1546" s="38">
        <v>40394</v>
      </c>
      <c r="C1546">
        <v>146.65270000000001</v>
      </c>
    </row>
    <row r="1547" spans="2:3">
      <c r="B1547" s="38">
        <v>40395</v>
      </c>
      <c r="C1547">
        <v>146.68299999999999</v>
      </c>
    </row>
    <row r="1548" spans="2:3">
      <c r="B1548" s="38">
        <v>40396</v>
      </c>
      <c r="C1548">
        <v>146.76689999999999</v>
      </c>
    </row>
    <row r="1549" spans="2:3">
      <c r="B1549" s="38">
        <v>40399</v>
      </c>
      <c r="C1549">
        <v>146.97620000000001</v>
      </c>
    </row>
    <row r="1550" spans="2:3">
      <c r="B1550" s="38">
        <v>40400</v>
      </c>
      <c r="C1550">
        <v>146.8665</v>
      </c>
    </row>
    <row r="1551" spans="2:3">
      <c r="B1551" s="38">
        <v>40401</v>
      </c>
      <c r="C1551">
        <v>145.98390000000001</v>
      </c>
    </row>
    <row r="1552" spans="2:3">
      <c r="B1552" s="38">
        <v>40402</v>
      </c>
      <c r="C1552">
        <v>145.6189</v>
      </c>
    </row>
    <row r="1553" spans="2:3">
      <c r="B1553" s="38">
        <v>40403</v>
      </c>
      <c r="C1553">
        <v>145.73089999999999</v>
      </c>
    </row>
    <row r="1554" spans="2:3">
      <c r="B1554" s="38">
        <v>40406</v>
      </c>
      <c r="C1554">
        <v>146.10810000000001</v>
      </c>
    </row>
    <row r="1555" spans="2:3">
      <c r="B1555" s="38">
        <v>40407</v>
      </c>
      <c r="C1555">
        <v>146.35650000000001</v>
      </c>
    </row>
    <row r="1556" spans="2:3">
      <c r="B1556" s="38">
        <v>40408</v>
      </c>
      <c r="C1556">
        <v>146.35810000000001</v>
      </c>
    </row>
    <row r="1557" spans="2:3">
      <c r="B1557" s="38">
        <v>40409</v>
      </c>
      <c r="C1557">
        <v>145.96440000000001</v>
      </c>
    </row>
    <row r="1558" spans="2:3">
      <c r="B1558" s="38">
        <v>40410</v>
      </c>
      <c r="C1558">
        <v>145.65209999999999</v>
      </c>
    </row>
    <row r="1559" spans="2:3">
      <c r="B1559" s="38">
        <v>40413</v>
      </c>
      <c r="C1559">
        <v>145.57919999999999</v>
      </c>
    </row>
    <row r="1560" spans="2:3">
      <c r="B1560" s="38">
        <v>40414</v>
      </c>
      <c r="C1560">
        <v>145.30959999999999</v>
      </c>
    </row>
    <row r="1561" spans="2:3">
      <c r="B1561" s="38">
        <v>40415</v>
      </c>
      <c r="C1561">
        <v>145.33369999999999</v>
      </c>
    </row>
    <row r="1562" spans="2:3">
      <c r="B1562" s="38">
        <v>40416</v>
      </c>
      <c r="C1562">
        <v>145.21709999999999</v>
      </c>
    </row>
    <row r="1563" spans="2:3">
      <c r="B1563" s="38">
        <v>40417</v>
      </c>
      <c r="C1563">
        <v>145.3631</v>
      </c>
    </row>
    <row r="1564" spans="2:3">
      <c r="B1564" s="38">
        <v>40420</v>
      </c>
      <c r="C1564">
        <v>145.1609</v>
      </c>
    </row>
    <row r="1565" spans="2:3">
      <c r="B1565" s="38">
        <v>40421</v>
      </c>
      <c r="C1565">
        <v>145.44220000000001</v>
      </c>
    </row>
    <row r="1566" spans="2:3">
      <c r="B1566" s="38">
        <v>40422</v>
      </c>
      <c r="C1566">
        <v>146.39590000000001</v>
      </c>
    </row>
    <row r="1567" spans="2:3">
      <c r="B1567" s="38">
        <v>40423</v>
      </c>
      <c r="C1567">
        <v>146.6867</v>
      </c>
    </row>
    <row r="1568" spans="2:3">
      <c r="B1568" s="38">
        <v>40424</v>
      </c>
      <c r="C1568">
        <v>147.0744</v>
      </c>
    </row>
    <row r="1569" spans="2:3">
      <c r="B1569" s="38">
        <v>40428</v>
      </c>
      <c r="C1569">
        <v>146.94550000000001</v>
      </c>
    </row>
    <row r="1570" spans="2:3">
      <c r="B1570" s="38">
        <v>40429</v>
      </c>
      <c r="C1570">
        <v>147.01609999999999</v>
      </c>
    </row>
    <row r="1571" spans="2:3">
      <c r="B1571" s="38">
        <v>40430</v>
      </c>
      <c r="C1571">
        <v>146.7756</v>
      </c>
    </row>
    <row r="1572" spans="2:3">
      <c r="B1572" s="38">
        <v>40431</v>
      </c>
      <c r="C1572">
        <v>146.91040000000001</v>
      </c>
    </row>
    <row r="1573" spans="2:3">
      <c r="B1573" s="38">
        <v>40434</v>
      </c>
      <c r="C1573">
        <v>147.67240000000001</v>
      </c>
    </row>
    <row r="1574" spans="2:3">
      <c r="B1574" s="38">
        <v>40435</v>
      </c>
      <c r="C1574">
        <v>147.89420000000001</v>
      </c>
    </row>
    <row r="1575" spans="2:3">
      <c r="B1575" s="38">
        <v>40436</v>
      </c>
      <c r="C1575">
        <v>147.86879999999999</v>
      </c>
    </row>
    <row r="1576" spans="2:3">
      <c r="B1576" s="38">
        <v>40437</v>
      </c>
      <c r="C1576">
        <v>147.71549999999999</v>
      </c>
    </row>
    <row r="1577" spans="2:3">
      <c r="B1577" s="38">
        <v>40438</v>
      </c>
      <c r="C1577">
        <v>147.75399999999999</v>
      </c>
    </row>
    <row r="1578" spans="2:3">
      <c r="B1578" s="38">
        <v>40441</v>
      </c>
      <c r="C1578">
        <v>148.66550000000001</v>
      </c>
    </row>
    <row r="1579" spans="2:3">
      <c r="B1579" s="38">
        <v>40442</v>
      </c>
      <c r="C1579">
        <v>148.86869999999999</v>
      </c>
    </row>
    <row r="1580" spans="2:3">
      <c r="B1580" s="38">
        <v>40443</v>
      </c>
      <c r="C1580">
        <v>148.66040000000001</v>
      </c>
    </row>
    <row r="1581" spans="2:3">
      <c r="B1581" s="38">
        <v>40444</v>
      </c>
      <c r="C1581">
        <v>148.15530000000001</v>
      </c>
    </row>
    <row r="1582" spans="2:3">
      <c r="B1582" s="38">
        <v>40445</v>
      </c>
      <c r="C1582">
        <v>149.15469999999999</v>
      </c>
    </row>
    <row r="1583" spans="2:3">
      <c r="B1583" s="38">
        <v>40448</v>
      </c>
      <c r="C1583">
        <v>149.18119999999999</v>
      </c>
    </row>
    <row r="1584" spans="2:3">
      <c r="B1584" s="38">
        <v>40449</v>
      </c>
      <c r="C1584">
        <v>149.6439</v>
      </c>
    </row>
    <row r="1585" spans="2:3">
      <c r="B1585" s="38">
        <v>40450</v>
      </c>
      <c r="C1585">
        <v>149.3356</v>
      </c>
    </row>
    <row r="1586" spans="2:3">
      <c r="B1586" s="38">
        <v>40451</v>
      </c>
      <c r="C1586">
        <v>149.1585</v>
      </c>
    </row>
    <row r="1587" spans="2:3">
      <c r="B1587" s="38">
        <v>40452</v>
      </c>
      <c r="C1587">
        <v>149.38300000000001</v>
      </c>
    </row>
    <row r="1588" spans="2:3">
      <c r="B1588" s="38">
        <v>40455</v>
      </c>
      <c r="C1588">
        <v>149.12440000000001</v>
      </c>
    </row>
    <row r="1589" spans="2:3">
      <c r="B1589" s="38">
        <v>40456</v>
      </c>
      <c r="C1589">
        <v>150.27879999999999</v>
      </c>
    </row>
    <row r="1590" spans="2:3">
      <c r="B1590" s="38">
        <v>40457</v>
      </c>
      <c r="C1590">
        <v>150.46549999999999</v>
      </c>
    </row>
    <row r="1591" spans="2:3">
      <c r="B1591" s="38">
        <v>40458</v>
      </c>
      <c r="C1591">
        <v>150.47640000000001</v>
      </c>
    </row>
    <row r="1592" spans="2:3">
      <c r="B1592" s="38">
        <v>40459</v>
      </c>
      <c r="C1592">
        <v>150.86080000000001</v>
      </c>
    </row>
    <row r="1593" spans="2:3">
      <c r="B1593" s="38">
        <v>40463</v>
      </c>
      <c r="C1593">
        <v>151.0052</v>
      </c>
    </row>
    <row r="1594" spans="2:3">
      <c r="B1594" s="38">
        <v>40464</v>
      </c>
      <c r="C1594">
        <v>151.43119999999999</v>
      </c>
    </row>
    <row r="1595" spans="2:3">
      <c r="B1595" s="38">
        <v>40465</v>
      </c>
      <c r="C1595">
        <v>150.94919999999999</v>
      </c>
    </row>
    <row r="1596" spans="2:3">
      <c r="B1596" s="38">
        <v>40466</v>
      </c>
      <c r="C1596">
        <v>150.83199999999999</v>
      </c>
    </row>
    <row r="1597" spans="2:3">
      <c r="B1597" s="38">
        <v>40469</v>
      </c>
      <c r="C1597">
        <v>151.53970000000001</v>
      </c>
    </row>
    <row r="1598" spans="2:3">
      <c r="B1598" s="38">
        <v>40470</v>
      </c>
      <c r="C1598">
        <v>150.74</v>
      </c>
    </row>
    <row r="1599" spans="2:3">
      <c r="B1599" s="38">
        <v>40471</v>
      </c>
      <c r="C1599">
        <v>151.41079999999999</v>
      </c>
    </row>
    <row r="1600" spans="2:3">
      <c r="B1600" s="38">
        <v>40472</v>
      </c>
      <c r="C1600">
        <v>151.34790000000001</v>
      </c>
    </row>
    <row r="1601" spans="2:3">
      <c r="B1601" s="38">
        <v>40473</v>
      </c>
      <c r="C1601">
        <v>151.40010000000001</v>
      </c>
    </row>
    <row r="1602" spans="2:3">
      <c r="B1602" s="38">
        <v>40476</v>
      </c>
      <c r="C1602">
        <v>151.5284</v>
      </c>
    </row>
    <row r="1603" spans="2:3">
      <c r="B1603" s="38">
        <v>40477</v>
      </c>
      <c r="C1603">
        <v>151.2508</v>
      </c>
    </row>
    <row r="1604" spans="2:3">
      <c r="B1604" s="38">
        <v>40478</v>
      </c>
      <c r="C1604">
        <v>150.87559999999999</v>
      </c>
    </row>
    <row r="1605" spans="2:3">
      <c r="B1605" s="38">
        <v>40479</v>
      </c>
      <c r="C1605">
        <v>151.1388</v>
      </c>
    </row>
    <row r="1606" spans="2:3">
      <c r="B1606" s="38">
        <v>40480</v>
      </c>
      <c r="C1606">
        <v>151.30529999999999</v>
      </c>
    </row>
    <row r="1607" spans="2:3">
      <c r="B1607" s="38">
        <v>40483</v>
      </c>
      <c r="C1607">
        <v>151.3323</v>
      </c>
    </row>
    <row r="1608" spans="2:3">
      <c r="B1608" s="38">
        <v>40484</v>
      </c>
      <c r="C1608">
        <v>151.9468</v>
      </c>
    </row>
    <row r="1609" spans="2:3">
      <c r="B1609" s="38">
        <v>40485</v>
      </c>
      <c r="C1609">
        <v>152.1353</v>
      </c>
    </row>
    <row r="1610" spans="2:3">
      <c r="B1610" s="38">
        <v>40486</v>
      </c>
      <c r="C1610">
        <v>153.67519999999999</v>
      </c>
    </row>
    <row r="1611" spans="2:3">
      <c r="B1611" s="38">
        <v>40487</v>
      </c>
      <c r="C1611">
        <v>153.6848</v>
      </c>
    </row>
    <row r="1612" spans="2:3">
      <c r="B1612" s="38">
        <v>40490</v>
      </c>
      <c r="C1612">
        <v>153.43860000000001</v>
      </c>
    </row>
    <row r="1613" spans="2:3">
      <c r="B1613" s="38">
        <v>40491</v>
      </c>
      <c r="C1613">
        <v>152.51419999999999</v>
      </c>
    </row>
    <row r="1614" spans="2:3">
      <c r="B1614" s="38">
        <v>40492</v>
      </c>
      <c r="C1614">
        <v>152.8398</v>
      </c>
    </row>
    <row r="1615" spans="2:3">
      <c r="B1615" s="38">
        <v>40494</v>
      </c>
      <c r="C1615">
        <v>151.63339999999999</v>
      </c>
    </row>
    <row r="1616" spans="2:3">
      <c r="B1616" s="38">
        <v>40497</v>
      </c>
      <c r="C1616">
        <v>151.09610000000001</v>
      </c>
    </row>
    <row r="1617" spans="2:3">
      <c r="B1617" s="38">
        <v>40498</v>
      </c>
      <c r="C1617">
        <v>150.60069999999999</v>
      </c>
    </row>
    <row r="1618" spans="2:3">
      <c r="B1618" s="38">
        <v>40499</v>
      </c>
      <c r="C1618">
        <v>150.6765</v>
      </c>
    </row>
    <row r="1619" spans="2:3">
      <c r="B1619" s="38">
        <v>40500</v>
      </c>
      <c r="C1619">
        <v>151.2791</v>
      </c>
    </row>
    <row r="1620" spans="2:3">
      <c r="B1620" s="38">
        <v>40501</v>
      </c>
      <c r="C1620">
        <v>151.46979999999999</v>
      </c>
    </row>
    <row r="1621" spans="2:3">
      <c r="B1621" s="38">
        <v>40504</v>
      </c>
      <c r="C1621">
        <v>151.68790000000001</v>
      </c>
    </row>
    <row r="1622" spans="2:3">
      <c r="B1622" s="38">
        <v>40505</v>
      </c>
      <c r="C1622">
        <v>151.2559</v>
      </c>
    </row>
    <row r="1623" spans="2:3">
      <c r="B1623" s="38">
        <v>40506</v>
      </c>
      <c r="C1623">
        <v>151.2277</v>
      </c>
    </row>
    <row r="1624" spans="2:3">
      <c r="B1624" s="38">
        <v>40508</v>
      </c>
      <c r="C1624">
        <v>151.1001</v>
      </c>
    </row>
    <row r="1625" spans="2:3">
      <c r="B1625" s="38">
        <v>40511</v>
      </c>
      <c r="C1625">
        <v>151.2209</v>
      </c>
    </row>
    <row r="1626" spans="2:3">
      <c r="B1626" s="38">
        <v>40512</v>
      </c>
      <c r="C1626">
        <v>151.05090000000001</v>
      </c>
    </row>
    <row r="1627" spans="2:3">
      <c r="B1627" s="38">
        <v>40513</v>
      </c>
      <c r="C1627">
        <v>151.0823</v>
      </c>
    </row>
    <row r="1628" spans="2:3">
      <c r="B1628" s="38">
        <v>40514</v>
      </c>
      <c r="C1628">
        <v>151.40379999999999</v>
      </c>
    </row>
    <row r="1629" spans="2:3">
      <c r="B1629" s="38">
        <v>40515</v>
      </c>
      <c r="C1629">
        <v>151.6277</v>
      </c>
    </row>
    <row r="1630" spans="2:3">
      <c r="B1630" s="38">
        <v>40518</v>
      </c>
      <c r="C1630">
        <v>152.06960000000001</v>
      </c>
    </row>
    <row r="1631" spans="2:3">
      <c r="B1631" s="38">
        <v>40519</v>
      </c>
      <c r="C1631">
        <v>151.0539</v>
      </c>
    </row>
    <row r="1632" spans="2:3">
      <c r="B1632" s="38">
        <v>40520</v>
      </c>
      <c r="C1632">
        <v>150.91290000000001</v>
      </c>
    </row>
    <row r="1633" spans="2:3">
      <c r="B1633" s="38">
        <v>40521</v>
      </c>
      <c r="C1633">
        <v>151.19560000000001</v>
      </c>
    </row>
    <row r="1634" spans="2:3">
      <c r="B1634" s="38">
        <v>40522</v>
      </c>
      <c r="C1634">
        <v>151.05430000000001</v>
      </c>
    </row>
    <row r="1635" spans="2:3">
      <c r="B1635" s="38">
        <v>40525</v>
      </c>
      <c r="C1635">
        <v>151.2432</v>
      </c>
    </row>
    <row r="1636" spans="2:3">
      <c r="B1636" s="38">
        <v>40526</v>
      </c>
      <c r="C1636">
        <v>150.38749999999999</v>
      </c>
    </row>
    <row r="1637" spans="2:3">
      <c r="B1637" s="38">
        <v>40527</v>
      </c>
      <c r="C1637">
        <v>149.8561</v>
      </c>
    </row>
    <row r="1638" spans="2:3">
      <c r="B1638" s="38">
        <v>40528</v>
      </c>
      <c r="C1638">
        <v>150.18199999999999</v>
      </c>
    </row>
    <row r="1639" spans="2:3">
      <c r="B1639" s="38">
        <v>40529</v>
      </c>
      <c r="C1639">
        <v>151.11089999999999</v>
      </c>
    </row>
    <row r="1640" spans="2:3">
      <c r="B1640" s="38">
        <v>40532</v>
      </c>
      <c r="C1640">
        <v>151.1189</v>
      </c>
    </row>
    <row r="1641" spans="2:3">
      <c r="B1641" s="38">
        <v>40533</v>
      </c>
      <c r="C1641">
        <v>151.4599</v>
      </c>
    </row>
    <row r="1642" spans="2:3">
      <c r="B1642" s="38">
        <v>40534</v>
      </c>
      <c r="C1642">
        <v>151.45859999999999</v>
      </c>
    </row>
    <row r="1643" spans="2:3">
      <c r="B1643" s="38">
        <v>40535</v>
      </c>
      <c r="C1643">
        <v>151.14490000000001</v>
      </c>
    </row>
    <row r="1644" spans="2:3">
      <c r="B1644" s="38">
        <v>40539</v>
      </c>
      <c r="C1644">
        <v>151.3432</v>
      </c>
    </row>
    <row r="1645" spans="2:3">
      <c r="B1645" s="38">
        <v>40540</v>
      </c>
      <c r="C1645">
        <v>150.81729999999999</v>
      </c>
    </row>
    <row r="1646" spans="2:3">
      <c r="B1646" s="38">
        <v>40541</v>
      </c>
      <c r="C1646">
        <v>151.5702</v>
      </c>
    </row>
    <row r="1647" spans="2:3">
      <c r="B1647" s="38">
        <v>40542</v>
      </c>
      <c r="C1647">
        <v>151.3843</v>
      </c>
    </row>
    <row r="1648" spans="2:3">
      <c r="B1648" s="38">
        <v>40543</v>
      </c>
      <c r="C1648">
        <v>151.73910000000001</v>
      </c>
    </row>
    <row r="1649" spans="2:3">
      <c r="B1649" s="38">
        <v>40546</v>
      </c>
      <c r="C1649">
        <v>152.0564</v>
      </c>
    </row>
    <row r="1650" spans="2:3">
      <c r="B1650" s="38">
        <v>40547</v>
      </c>
      <c r="C1650">
        <v>151.99080000000001</v>
      </c>
    </row>
    <row r="1651" spans="2:3">
      <c r="B1651" s="38">
        <v>40548</v>
      </c>
      <c r="C1651">
        <v>151.54259999999999</v>
      </c>
    </row>
    <row r="1652" spans="2:3">
      <c r="B1652" s="38">
        <v>40549</v>
      </c>
      <c r="C1652">
        <v>151.62960000000001</v>
      </c>
    </row>
    <row r="1653" spans="2:3">
      <c r="B1653" s="38">
        <v>40550</v>
      </c>
      <c r="C1653">
        <v>151.9308</v>
      </c>
    </row>
    <row r="1654" spans="2:3">
      <c r="B1654" s="38">
        <v>40553</v>
      </c>
      <c r="C1654">
        <v>151.96</v>
      </c>
    </row>
    <row r="1655" spans="2:3">
      <c r="B1655" s="38">
        <v>40554</v>
      </c>
      <c r="C1655">
        <v>152.09469999999999</v>
      </c>
    </row>
    <row r="1656" spans="2:3">
      <c r="B1656" s="38">
        <v>40555</v>
      </c>
      <c r="C1656">
        <v>152.64169999999999</v>
      </c>
    </row>
    <row r="1657" spans="2:3">
      <c r="B1657" s="38">
        <v>40556</v>
      </c>
      <c r="C1657">
        <v>152.73269999999999</v>
      </c>
    </row>
    <row r="1658" spans="2:3">
      <c r="B1658" s="38">
        <v>40557</v>
      </c>
      <c r="C1658">
        <v>153.17330000000001</v>
      </c>
    </row>
    <row r="1659" spans="2:3">
      <c r="B1659" s="38">
        <v>40561</v>
      </c>
      <c r="C1659">
        <v>153.1824</v>
      </c>
    </row>
    <row r="1660" spans="2:3">
      <c r="B1660" s="38">
        <v>40562</v>
      </c>
      <c r="C1660">
        <v>152.53489999999999</v>
      </c>
    </row>
    <row r="1661" spans="2:3">
      <c r="B1661" s="38">
        <v>40563</v>
      </c>
      <c r="C1661">
        <v>152.07310000000001</v>
      </c>
    </row>
    <row r="1662" spans="2:3">
      <c r="B1662" s="38">
        <v>40564</v>
      </c>
      <c r="C1662">
        <v>152.41050000000001</v>
      </c>
    </row>
    <row r="1663" spans="2:3">
      <c r="B1663" s="38">
        <v>40567</v>
      </c>
      <c r="C1663">
        <v>152.8946</v>
      </c>
    </row>
    <row r="1664" spans="2:3">
      <c r="B1664" s="38">
        <v>40568</v>
      </c>
      <c r="C1664">
        <v>153.13759999999999</v>
      </c>
    </row>
    <row r="1665" spans="2:3">
      <c r="B1665" s="38">
        <v>40569</v>
      </c>
      <c r="C1665">
        <v>153.21170000000001</v>
      </c>
    </row>
    <row r="1666" spans="2:3">
      <c r="B1666" s="38">
        <v>40570</v>
      </c>
      <c r="C1666">
        <v>153.54830000000001</v>
      </c>
    </row>
    <row r="1667" spans="2:3">
      <c r="B1667" s="38">
        <v>40571</v>
      </c>
      <c r="C1667">
        <v>152.1251</v>
      </c>
    </row>
    <row r="1668" spans="2:3">
      <c r="B1668" s="38">
        <v>40574</v>
      </c>
      <c r="C1668">
        <v>152.68190000000001</v>
      </c>
    </row>
    <row r="1669" spans="2:3">
      <c r="B1669" s="38">
        <v>40575</v>
      </c>
      <c r="C1669">
        <v>153.85400000000001</v>
      </c>
    </row>
    <row r="1670" spans="2:3">
      <c r="B1670" s="38">
        <v>40576</v>
      </c>
      <c r="C1670">
        <v>153.4599</v>
      </c>
    </row>
    <row r="1671" spans="2:3">
      <c r="B1671" s="38">
        <v>40577</v>
      </c>
      <c r="C1671">
        <v>153.43559999999999</v>
      </c>
    </row>
    <row r="1672" spans="2:3">
      <c r="B1672" s="38">
        <v>40578</v>
      </c>
      <c r="C1672">
        <v>153.2998</v>
      </c>
    </row>
    <row r="1673" spans="2:3">
      <c r="B1673" s="38">
        <v>40581</v>
      </c>
      <c r="C1673">
        <v>153.7687</v>
      </c>
    </row>
    <row r="1674" spans="2:3">
      <c r="B1674" s="38">
        <v>40582</v>
      </c>
      <c r="C1674">
        <v>153.7319</v>
      </c>
    </row>
    <row r="1675" spans="2:3">
      <c r="B1675" s="38">
        <v>40583</v>
      </c>
      <c r="C1675">
        <v>153.76349999999999</v>
      </c>
    </row>
    <row r="1676" spans="2:3">
      <c r="B1676" s="38">
        <v>40584</v>
      </c>
      <c r="C1676">
        <v>153.55670000000001</v>
      </c>
    </row>
    <row r="1677" spans="2:3">
      <c r="B1677" s="38">
        <v>40585</v>
      </c>
      <c r="C1677">
        <v>154.18799999999999</v>
      </c>
    </row>
    <row r="1678" spans="2:3">
      <c r="B1678" s="38">
        <v>40588</v>
      </c>
      <c r="C1678">
        <v>154.49930000000001</v>
      </c>
    </row>
    <row r="1679" spans="2:3">
      <c r="B1679" s="38">
        <v>40589</v>
      </c>
      <c r="C1679">
        <v>154.32929999999999</v>
      </c>
    </row>
    <row r="1680" spans="2:3">
      <c r="B1680" s="38">
        <v>40590</v>
      </c>
      <c r="C1680">
        <v>154.75030000000001</v>
      </c>
    </row>
    <row r="1681" spans="2:3">
      <c r="B1681" s="38">
        <v>40591</v>
      </c>
      <c r="C1681">
        <v>155.19890000000001</v>
      </c>
    </row>
    <row r="1682" spans="2:3">
      <c r="B1682" s="38">
        <v>40592</v>
      </c>
      <c r="C1682">
        <v>155.29490000000001</v>
      </c>
    </row>
    <row r="1683" spans="2:3">
      <c r="B1683" s="38">
        <v>40596</v>
      </c>
      <c r="C1683">
        <v>154.09209999999999</v>
      </c>
    </row>
    <row r="1684" spans="2:3">
      <c r="B1684" s="38">
        <v>40597</v>
      </c>
      <c r="C1684">
        <v>153.57689999999999</v>
      </c>
    </row>
    <row r="1685" spans="2:3">
      <c r="B1685" s="38">
        <v>40598</v>
      </c>
      <c r="C1685">
        <v>153.68809999999999</v>
      </c>
    </row>
    <row r="1686" spans="2:3">
      <c r="B1686" s="38">
        <v>40599</v>
      </c>
      <c r="C1686">
        <v>154.4692</v>
      </c>
    </row>
    <row r="1687" spans="2:3">
      <c r="B1687" s="38">
        <v>40602</v>
      </c>
      <c r="C1687">
        <v>154.95089999999999</v>
      </c>
    </row>
    <row r="1688" spans="2:3">
      <c r="B1688" s="38">
        <v>40603</v>
      </c>
      <c r="C1688">
        <v>153.97110000000001</v>
      </c>
    </row>
    <row r="1689" spans="2:3">
      <c r="B1689" s="38">
        <v>40604</v>
      </c>
      <c r="C1689">
        <v>153.876</v>
      </c>
    </row>
    <row r="1690" spans="2:3">
      <c r="B1690" s="38">
        <v>40605</v>
      </c>
      <c r="C1690">
        <v>154.53569999999999</v>
      </c>
    </row>
    <row r="1691" spans="2:3">
      <c r="B1691" s="38">
        <v>40606</v>
      </c>
      <c r="C1691">
        <v>154.4179</v>
      </c>
    </row>
    <row r="1692" spans="2:3">
      <c r="B1692" s="38">
        <v>40609</v>
      </c>
      <c r="C1692">
        <v>153.88460000000001</v>
      </c>
    </row>
    <row r="1693" spans="2:3">
      <c r="B1693" s="38">
        <v>40610</v>
      </c>
      <c r="C1693">
        <v>154.27699999999999</v>
      </c>
    </row>
    <row r="1694" spans="2:3">
      <c r="B1694" s="38">
        <v>40611</v>
      </c>
      <c r="C1694">
        <v>154.47329999999999</v>
      </c>
    </row>
    <row r="1695" spans="2:3">
      <c r="B1695" s="38">
        <v>40612</v>
      </c>
      <c r="C1695">
        <v>153.5753</v>
      </c>
    </row>
    <row r="1696" spans="2:3">
      <c r="B1696" s="38">
        <v>40613</v>
      </c>
      <c r="C1696">
        <v>154.029</v>
      </c>
    </row>
    <row r="1697" spans="2:3">
      <c r="B1697" s="38">
        <v>40616</v>
      </c>
      <c r="C1697">
        <v>153.8956</v>
      </c>
    </row>
    <row r="1698" spans="2:3">
      <c r="B1698" s="38">
        <v>40617</v>
      </c>
      <c r="C1698">
        <v>153.3245</v>
      </c>
    </row>
    <row r="1699" spans="2:3">
      <c r="B1699" s="38">
        <v>40618</v>
      </c>
      <c r="C1699">
        <v>152.6208</v>
      </c>
    </row>
    <row r="1700" spans="2:3">
      <c r="B1700" s="38">
        <v>40619</v>
      </c>
      <c r="C1700">
        <v>153.2064</v>
      </c>
    </row>
    <row r="1701" spans="2:3">
      <c r="B1701" s="38">
        <v>40620</v>
      </c>
      <c r="C1701">
        <v>153.4102</v>
      </c>
    </row>
    <row r="1702" spans="2:3">
      <c r="B1702" s="38">
        <v>40623</v>
      </c>
      <c r="C1702">
        <v>153.91239999999999</v>
      </c>
    </row>
    <row r="1703" spans="2:3">
      <c r="B1703" s="38">
        <v>40624</v>
      </c>
      <c r="C1703">
        <v>153.62459999999999</v>
      </c>
    </row>
    <row r="1704" spans="2:3">
      <c r="B1704" s="38">
        <v>40625</v>
      </c>
      <c r="C1704">
        <v>153.74119999999999</v>
      </c>
    </row>
    <row r="1705" spans="2:3">
      <c r="B1705" s="38">
        <v>40626</v>
      </c>
      <c r="C1705">
        <v>154.1011</v>
      </c>
    </row>
    <row r="1706" spans="2:3">
      <c r="B1706" s="38">
        <v>40627</v>
      </c>
      <c r="C1706">
        <v>154.07140000000001</v>
      </c>
    </row>
    <row r="1707" spans="2:3">
      <c r="B1707" s="38">
        <v>40630</v>
      </c>
      <c r="C1707">
        <v>153.90129999999999</v>
      </c>
    </row>
    <row r="1708" spans="2:3">
      <c r="B1708" s="38">
        <v>40631</v>
      </c>
      <c r="C1708">
        <v>154.10130000000001</v>
      </c>
    </row>
    <row r="1709" spans="2:3">
      <c r="B1709" s="38">
        <v>40632</v>
      </c>
      <c r="C1709">
        <v>154.6754</v>
      </c>
    </row>
    <row r="1710" spans="2:3">
      <c r="B1710" s="38">
        <v>40633</v>
      </c>
      <c r="C1710">
        <v>154.60390000000001</v>
      </c>
    </row>
    <row r="1711" spans="2:3">
      <c r="B1711" s="38">
        <v>40634</v>
      </c>
      <c r="C1711">
        <v>154.87039999999999</v>
      </c>
    </row>
    <row r="1712" spans="2:3">
      <c r="B1712" s="38">
        <v>40637</v>
      </c>
      <c r="C1712">
        <v>154.99299999999999</v>
      </c>
    </row>
    <row r="1713" spans="2:3">
      <c r="B1713" s="38">
        <v>40638</v>
      </c>
      <c r="C1713">
        <v>154.71770000000001</v>
      </c>
    </row>
    <row r="1714" spans="2:3">
      <c r="B1714" s="38">
        <v>40639</v>
      </c>
      <c r="C1714">
        <v>154.6823</v>
      </c>
    </row>
    <row r="1715" spans="2:3">
      <c r="B1715" s="38">
        <v>40640</v>
      </c>
      <c r="C1715">
        <v>154.61009999999999</v>
      </c>
    </row>
    <row r="1716" spans="2:3">
      <c r="B1716" s="38">
        <v>40641</v>
      </c>
      <c r="C1716">
        <v>154.32419999999999</v>
      </c>
    </row>
    <row r="1717" spans="2:3">
      <c r="B1717" s="38">
        <v>40644</v>
      </c>
      <c r="C1717">
        <v>154.1677</v>
      </c>
    </row>
    <row r="1718" spans="2:3">
      <c r="B1718" s="38">
        <v>40645</v>
      </c>
      <c r="C1718">
        <v>153.97900000000001</v>
      </c>
    </row>
    <row r="1719" spans="2:3">
      <c r="B1719" s="38">
        <v>40646</v>
      </c>
      <c r="C1719">
        <v>154.13740000000001</v>
      </c>
    </row>
    <row r="1720" spans="2:3">
      <c r="B1720" s="38">
        <v>40647</v>
      </c>
      <c r="C1720">
        <v>154.07939999999999</v>
      </c>
    </row>
    <row r="1721" spans="2:3">
      <c r="B1721" s="38">
        <v>40648</v>
      </c>
      <c r="C1721">
        <v>154.68639999999999</v>
      </c>
    </row>
    <row r="1722" spans="2:3">
      <c r="B1722" s="38">
        <v>40651</v>
      </c>
      <c r="C1722">
        <v>154.1541</v>
      </c>
    </row>
    <row r="1723" spans="2:3">
      <c r="B1723" s="38">
        <v>40652</v>
      </c>
      <c r="C1723">
        <v>154.5942</v>
      </c>
    </row>
    <row r="1724" spans="2:3">
      <c r="B1724" s="38">
        <v>40653</v>
      </c>
      <c r="C1724">
        <v>155.3313</v>
      </c>
    </row>
    <row r="1725" spans="2:3">
      <c r="B1725" s="38">
        <v>40654</v>
      </c>
      <c r="C1725">
        <v>155.66030000000001</v>
      </c>
    </row>
    <row r="1726" spans="2:3">
      <c r="B1726" s="38">
        <v>40658</v>
      </c>
      <c r="C1726">
        <v>155.72290000000001</v>
      </c>
    </row>
    <row r="1727" spans="2:3">
      <c r="B1727" s="38">
        <v>40659</v>
      </c>
      <c r="C1727">
        <v>156.50810000000001</v>
      </c>
    </row>
    <row r="1728" spans="2:3">
      <c r="B1728" s="38">
        <v>40660</v>
      </c>
      <c r="C1728">
        <v>156.81630000000001</v>
      </c>
    </row>
    <row r="1729" spans="2:3">
      <c r="B1729" s="38">
        <v>40661</v>
      </c>
      <c r="C1729">
        <v>157.3296</v>
      </c>
    </row>
    <row r="1730" spans="2:3">
      <c r="B1730" s="38">
        <v>40662</v>
      </c>
      <c r="C1730">
        <v>157.59520000000001</v>
      </c>
    </row>
    <row r="1731" spans="2:3">
      <c r="B1731" s="38">
        <v>40665</v>
      </c>
      <c r="C1731">
        <v>157.49529999999999</v>
      </c>
    </row>
    <row r="1732" spans="2:3">
      <c r="B1732" s="38">
        <v>40666</v>
      </c>
      <c r="C1732">
        <v>157.34049999999999</v>
      </c>
    </row>
    <row r="1733" spans="2:3">
      <c r="B1733" s="38">
        <v>40667</v>
      </c>
      <c r="C1733">
        <v>156.9425</v>
      </c>
    </row>
    <row r="1734" spans="2:3">
      <c r="B1734" s="38">
        <v>40668</v>
      </c>
      <c r="C1734">
        <v>156.48240000000001</v>
      </c>
    </row>
    <row r="1735" spans="2:3">
      <c r="B1735" s="38">
        <v>40669</v>
      </c>
      <c r="C1735">
        <v>156.80840000000001</v>
      </c>
    </row>
    <row r="1736" spans="2:3">
      <c r="B1736" s="38">
        <v>40672</v>
      </c>
      <c r="C1736">
        <v>157.24039999999999</v>
      </c>
    </row>
    <row r="1737" spans="2:3">
      <c r="B1737" s="38">
        <v>40673</v>
      </c>
      <c r="C1737">
        <v>157.68</v>
      </c>
    </row>
    <row r="1738" spans="2:3">
      <c r="B1738" s="38">
        <v>40674</v>
      </c>
      <c r="C1738">
        <v>156.96109999999999</v>
      </c>
    </row>
    <row r="1739" spans="2:3">
      <c r="B1739" s="38">
        <v>40675</v>
      </c>
      <c r="C1739">
        <v>157.21250000000001</v>
      </c>
    </row>
    <row r="1740" spans="2:3">
      <c r="B1740" s="38">
        <v>40676</v>
      </c>
      <c r="C1740">
        <v>156.70820000000001</v>
      </c>
    </row>
    <row r="1741" spans="2:3">
      <c r="B1741" s="38">
        <v>40679</v>
      </c>
      <c r="C1741">
        <v>156.38130000000001</v>
      </c>
    </row>
    <row r="1742" spans="2:3">
      <c r="B1742" s="38">
        <v>40680</v>
      </c>
      <c r="C1742">
        <v>156.47030000000001</v>
      </c>
    </row>
    <row r="1743" spans="2:3">
      <c r="B1743" s="38">
        <v>40681</v>
      </c>
      <c r="C1743">
        <v>156.95050000000001</v>
      </c>
    </row>
    <row r="1744" spans="2:3">
      <c r="B1744" s="38">
        <v>40682</v>
      </c>
      <c r="C1744">
        <v>157.13</v>
      </c>
    </row>
    <row r="1745" spans="2:3">
      <c r="B1745" s="38">
        <v>40683</v>
      </c>
      <c r="C1745">
        <v>156.5795</v>
      </c>
    </row>
    <row r="1746" spans="2:3">
      <c r="B1746" s="38">
        <v>40686</v>
      </c>
      <c r="C1746">
        <v>155.63329999999999</v>
      </c>
    </row>
    <row r="1747" spans="2:3">
      <c r="B1747" s="38">
        <v>40687</v>
      </c>
      <c r="C1747">
        <v>155.60749999999999</v>
      </c>
    </row>
    <row r="1748" spans="2:3">
      <c r="B1748" s="38">
        <v>40688</v>
      </c>
      <c r="C1748">
        <v>155.85910000000001</v>
      </c>
    </row>
    <row r="1749" spans="2:3">
      <c r="B1749" s="38">
        <v>40689</v>
      </c>
      <c r="C1749">
        <v>156.43469999999999</v>
      </c>
    </row>
    <row r="1750" spans="2:3">
      <c r="B1750" s="38">
        <v>40690</v>
      </c>
      <c r="C1750">
        <v>156.7346</v>
      </c>
    </row>
    <row r="1751" spans="2:3">
      <c r="B1751" s="38">
        <v>40694</v>
      </c>
      <c r="C1751">
        <v>157.6953</v>
      </c>
    </row>
    <row r="1752" spans="2:3">
      <c r="B1752" s="38">
        <v>40695</v>
      </c>
      <c r="C1752">
        <v>156.0634</v>
      </c>
    </row>
    <row r="1753" spans="2:3">
      <c r="B1753" s="38">
        <v>40696</v>
      </c>
      <c r="C1753">
        <v>155.74799999999999</v>
      </c>
    </row>
    <row r="1754" spans="2:3">
      <c r="B1754" s="38">
        <v>40697</v>
      </c>
      <c r="C1754">
        <v>155.1662</v>
      </c>
    </row>
    <row r="1755" spans="2:3">
      <c r="B1755" s="38">
        <v>40700</v>
      </c>
      <c r="C1755">
        <v>154.41849999999999</v>
      </c>
    </row>
    <row r="1756" spans="2:3">
      <c r="B1756" s="38">
        <v>40701</v>
      </c>
      <c r="C1756">
        <v>154.39510000000001</v>
      </c>
    </row>
    <row r="1757" spans="2:3">
      <c r="B1757" s="38">
        <v>40702</v>
      </c>
      <c r="C1757">
        <v>154.3443</v>
      </c>
    </row>
    <row r="1758" spans="2:3">
      <c r="B1758" s="38">
        <v>40703</v>
      </c>
      <c r="C1758">
        <v>154.62379999999999</v>
      </c>
    </row>
    <row r="1759" spans="2:3">
      <c r="B1759" s="38">
        <v>40704</v>
      </c>
      <c r="C1759">
        <v>153.83670000000001</v>
      </c>
    </row>
    <row r="1760" spans="2:3">
      <c r="B1760" s="38">
        <v>40707</v>
      </c>
      <c r="C1760">
        <v>153.82310000000001</v>
      </c>
    </row>
    <row r="1761" spans="2:3">
      <c r="B1761" s="38">
        <v>40708</v>
      </c>
      <c r="C1761">
        <v>154.22540000000001</v>
      </c>
    </row>
    <row r="1762" spans="2:3">
      <c r="B1762" s="38">
        <v>40709</v>
      </c>
      <c r="C1762">
        <v>153.52629999999999</v>
      </c>
    </row>
    <row r="1763" spans="2:3">
      <c r="B1763" s="38">
        <v>40710</v>
      </c>
      <c r="C1763">
        <v>153.7227</v>
      </c>
    </row>
    <row r="1764" spans="2:3">
      <c r="B1764" s="38">
        <v>40711</v>
      </c>
      <c r="C1764">
        <v>153.8168</v>
      </c>
    </row>
    <row r="1765" spans="2:3">
      <c r="B1765" s="38">
        <v>40714</v>
      </c>
      <c r="C1765">
        <v>154.1103</v>
      </c>
    </row>
    <row r="1766" spans="2:3">
      <c r="B1766" s="38">
        <v>40715</v>
      </c>
      <c r="C1766">
        <v>154.8879</v>
      </c>
    </row>
    <row r="1767" spans="2:3">
      <c r="B1767" s="38">
        <v>40716</v>
      </c>
      <c r="C1767">
        <v>154.55600000000001</v>
      </c>
    </row>
    <row r="1768" spans="2:3">
      <c r="B1768" s="38">
        <v>40717</v>
      </c>
      <c r="C1768">
        <v>154.67949999999999</v>
      </c>
    </row>
    <row r="1769" spans="2:3">
      <c r="B1769" s="38">
        <v>40718</v>
      </c>
      <c r="C1769">
        <v>154.01300000000001</v>
      </c>
    </row>
    <row r="1770" spans="2:3">
      <c r="B1770" s="38">
        <v>40721</v>
      </c>
      <c r="C1770">
        <v>154.33430000000001</v>
      </c>
    </row>
    <row r="1771" spans="2:3">
      <c r="B1771" s="38">
        <v>40722</v>
      </c>
      <c r="C1771">
        <v>154.66579999999999</v>
      </c>
    </row>
    <row r="1772" spans="2:3">
      <c r="B1772" s="38">
        <v>40723</v>
      </c>
      <c r="C1772">
        <v>155.03819999999999</v>
      </c>
    </row>
    <row r="1773" spans="2:3">
      <c r="B1773" s="38">
        <v>40724</v>
      </c>
      <c r="C1773">
        <v>155.57499999999999</v>
      </c>
    </row>
    <row r="1774" spans="2:3">
      <c r="B1774" s="38">
        <v>40725</v>
      </c>
      <c r="C1774">
        <v>156.31440000000001</v>
      </c>
    </row>
    <row r="1775" spans="2:3">
      <c r="B1775" s="38">
        <v>40729</v>
      </c>
      <c r="C1775">
        <v>156.47120000000001</v>
      </c>
    </row>
    <row r="1776" spans="2:3">
      <c r="B1776" s="38">
        <v>40730</v>
      </c>
      <c r="C1776">
        <v>156.63380000000001</v>
      </c>
    </row>
    <row r="1777" spans="2:3">
      <c r="B1777" s="38">
        <v>40731</v>
      </c>
      <c r="C1777">
        <v>157.06790000000001</v>
      </c>
    </row>
    <row r="1778" spans="2:3">
      <c r="B1778" s="38">
        <v>40732</v>
      </c>
      <c r="C1778">
        <v>157.16200000000001</v>
      </c>
    </row>
    <row r="1779" spans="2:3">
      <c r="B1779" s="38">
        <v>40735</v>
      </c>
      <c r="C1779">
        <v>156.2705</v>
      </c>
    </row>
    <row r="1780" spans="2:3">
      <c r="B1780" s="38">
        <v>40736</v>
      </c>
      <c r="C1780">
        <v>156.0163</v>
      </c>
    </row>
    <row r="1781" spans="2:3">
      <c r="B1781" s="38">
        <v>40737</v>
      </c>
      <c r="C1781">
        <v>156.3389</v>
      </c>
    </row>
    <row r="1782" spans="2:3">
      <c r="B1782" s="38">
        <v>40738</v>
      </c>
      <c r="C1782">
        <v>155.7791</v>
      </c>
    </row>
    <row r="1783" spans="2:3">
      <c r="B1783" s="38">
        <v>40739</v>
      </c>
      <c r="C1783">
        <v>156.19560000000001</v>
      </c>
    </row>
    <row r="1784" spans="2:3">
      <c r="B1784" s="38">
        <v>40742</v>
      </c>
      <c r="C1784">
        <v>155.67410000000001</v>
      </c>
    </row>
    <row r="1785" spans="2:3">
      <c r="B1785" s="38">
        <v>40743</v>
      </c>
      <c r="C1785">
        <v>156.77969999999999</v>
      </c>
    </row>
    <row r="1786" spans="2:3">
      <c r="B1786" s="38">
        <v>40744</v>
      </c>
      <c r="C1786">
        <v>156.6497</v>
      </c>
    </row>
    <row r="1787" spans="2:3">
      <c r="B1787" s="38">
        <v>40745</v>
      </c>
      <c r="C1787">
        <v>157.24449999999999</v>
      </c>
    </row>
    <row r="1788" spans="2:3">
      <c r="B1788" s="38">
        <v>40746</v>
      </c>
      <c r="C1788">
        <v>157.5241</v>
      </c>
    </row>
    <row r="1789" spans="2:3">
      <c r="B1789" s="38">
        <v>40749</v>
      </c>
      <c r="C1789">
        <v>157.01490000000001</v>
      </c>
    </row>
    <row r="1790" spans="2:3">
      <c r="B1790" s="38">
        <v>40750</v>
      </c>
      <c r="C1790">
        <v>156.98060000000001</v>
      </c>
    </row>
    <row r="1791" spans="2:3">
      <c r="B1791" s="38">
        <v>40751</v>
      </c>
      <c r="C1791">
        <v>155.5984</v>
      </c>
    </row>
    <row r="1792" spans="2:3">
      <c r="B1792" s="38">
        <v>40752</v>
      </c>
      <c r="C1792">
        <v>155.55410000000001</v>
      </c>
    </row>
    <row r="1793" spans="2:3">
      <c r="B1793" s="38">
        <v>40753</v>
      </c>
      <c r="C1793">
        <v>155.78899999999999</v>
      </c>
    </row>
    <row r="1794" spans="2:3">
      <c r="B1794" s="38">
        <v>40756</v>
      </c>
      <c r="C1794">
        <v>155.79839999999999</v>
      </c>
    </row>
    <row r="1795" spans="2:3">
      <c r="B1795" s="38">
        <v>40757</v>
      </c>
      <c r="C1795">
        <v>154.74639999999999</v>
      </c>
    </row>
    <row r="1796" spans="2:3">
      <c r="B1796" s="38">
        <v>40758</v>
      </c>
      <c r="C1796">
        <v>155.14109999999999</v>
      </c>
    </row>
    <row r="1797" spans="2:3">
      <c r="B1797" s="38">
        <v>40759</v>
      </c>
      <c r="C1797">
        <v>152.9983</v>
      </c>
    </row>
    <row r="1798" spans="2:3">
      <c r="B1798" s="38">
        <v>40760</v>
      </c>
      <c r="C1798">
        <v>152.4854</v>
      </c>
    </row>
    <row r="1799" spans="2:3">
      <c r="B1799" s="38">
        <v>40763</v>
      </c>
      <c r="C1799">
        <v>149.774</v>
      </c>
    </row>
    <row r="1800" spans="2:3">
      <c r="B1800" s="38">
        <v>40764</v>
      </c>
      <c r="C1800">
        <v>152.60990000000001</v>
      </c>
    </row>
    <row r="1801" spans="2:3">
      <c r="B1801" s="38">
        <v>40765</v>
      </c>
      <c r="C1801">
        <v>151.20599999999999</v>
      </c>
    </row>
    <row r="1802" spans="2:3">
      <c r="B1802" s="38">
        <v>40766</v>
      </c>
      <c r="C1802">
        <v>152.09229999999999</v>
      </c>
    </row>
    <row r="1803" spans="2:3">
      <c r="B1803" s="38">
        <v>40767</v>
      </c>
      <c r="C1803">
        <v>152.70099999999999</v>
      </c>
    </row>
    <row r="1804" spans="2:3">
      <c r="B1804" s="38">
        <v>40770</v>
      </c>
      <c r="C1804">
        <v>153.1687</v>
      </c>
    </row>
    <row r="1805" spans="2:3">
      <c r="B1805" s="38">
        <v>40771</v>
      </c>
      <c r="C1805">
        <v>153.29069999999999</v>
      </c>
    </row>
    <row r="1806" spans="2:3">
      <c r="B1806" s="38">
        <v>40772</v>
      </c>
      <c r="C1806">
        <v>153.63679999999999</v>
      </c>
    </row>
    <row r="1807" spans="2:3">
      <c r="B1807" s="38">
        <v>40773</v>
      </c>
      <c r="C1807">
        <v>153.34870000000001</v>
      </c>
    </row>
    <row r="1808" spans="2:3">
      <c r="B1808" s="38">
        <v>40774</v>
      </c>
      <c r="C1808">
        <v>153.07149999999999</v>
      </c>
    </row>
    <row r="1809" spans="2:3">
      <c r="B1809" s="38">
        <v>40777</v>
      </c>
      <c r="C1809">
        <v>152.82380000000001</v>
      </c>
    </row>
    <row r="1810" spans="2:3">
      <c r="B1810" s="38">
        <v>40778</v>
      </c>
      <c r="C1810">
        <v>152.80590000000001</v>
      </c>
    </row>
    <row r="1811" spans="2:3">
      <c r="B1811" s="38">
        <v>40779</v>
      </c>
      <c r="C1811">
        <v>152.32859999999999</v>
      </c>
    </row>
    <row r="1812" spans="2:3">
      <c r="B1812" s="38">
        <v>40780</v>
      </c>
      <c r="C1812">
        <v>152.3338</v>
      </c>
    </row>
    <row r="1813" spans="2:3">
      <c r="B1813" s="38">
        <v>40781</v>
      </c>
      <c r="C1813">
        <v>152.8203</v>
      </c>
    </row>
    <row r="1814" spans="2:3">
      <c r="B1814" s="38">
        <v>40784</v>
      </c>
      <c r="C1814">
        <v>152.7499</v>
      </c>
    </row>
    <row r="1815" spans="2:3">
      <c r="B1815" s="38">
        <v>40785</v>
      </c>
      <c r="C1815">
        <v>153.28530000000001</v>
      </c>
    </row>
    <row r="1816" spans="2:3">
      <c r="B1816" s="38">
        <v>40786</v>
      </c>
      <c r="C1816">
        <v>153.20310000000001</v>
      </c>
    </row>
    <row r="1817" spans="2:3">
      <c r="B1817" s="38">
        <v>40787</v>
      </c>
      <c r="C1817">
        <v>153.43610000000001</v>
      </c>
    </row>
    <row r="1818" spans="2:3">
      <c r="B1818" s="38">
        <v>40788</v>
      </c>
      <c r="C1818">
        <v>153.67850000000001</v>
      </c>
    </row>
    <row r="1819" spans="2:3">
      <c r="B1819" s="38">
        <v>40792</v>
      </c>
      <c r="C1819">
        <v>153.6215</v>
      </c>
    </row>
    <row r="1820" spans="2:3">
      <c r="B1820" s="38">
        <v>40793</v>
      </c>
      <c r="C1820">
        <v>153.80959999999999</v>
      </c>
    </row>
    <row r="1821" spans="2:3">
      <c r="B1821" s="38">
        <v>40794</v>
      </c>
      <c r="C1821">
        <v>153.7927</v>
      </c>
    </row>
    <row r="1822" spans="2:3">
      <c r="B1822" s="38">
        <v>40795</v>
      </c>
      <c r="C1822">
        <v>153.44800000000001</v>
      </c>
    </row>
    <row r="1823" spans="2:3">
      <c r="B1823" s="38">
        <v>40798</v>
      </c>
      <c r="C1823">
        <v>153.43950000000001</v>
      </c>
    </row>
    <row r="1824" spans="2:3">
      <c r="B1824" s="38">
        <v>40799</v>
      </c>
      <c r="C1824">
        <v>153.41900000000001</v>
      </c>
    </row>
    <row r="1825" spans="2:3">
      <c r="B1825" s="38">
        <v>40800</v>
      </c>
      <c r="C1825">
        <v>153.71879999999999</v>
      </c>
    </row>
    <row r="1826" spans="2:3">
      <c r="B1826" s="38">
        <v>40801</v>
      </c>
      <c r="C1826">
        <v>153.93260000000001</v>
      </c>
    </row>
    <row r="1827" spans="2:3">
      <c r="B1827" s="38">
        <v>40802</v>
      </c>
      <c r="C1827">
        <v>154.0753</v>
      </c>
    </row>
    <row r="1828" spans="2:3">
      <c r="B1828" s="38">
        <v>40805</v>
      </c>
      <c r="C1828">
        <v>154.51249999999999</v>
      </c>
    </row>
    <row r="1829" spans="2:3">
      <c r="B1829" s="38">
        <v>40806</v>
      </c>
      <c r="C1829">
        <v>154.39500000000001</v>
      </c>
    </row>
    <row r="1830" spans="2:3">
      <c r="B1830" s="38">
        <v>40807</v>
      </c>
      <c r="C1830">
        <v>154.07919999999999</v>
      </c>
    </row>
    <row r="1831" spans="2:3">
      <c r="B1831" s="38">
        <v>40808</v>
      </c>
      <c r="C1831">
        <v>154.28380000000001</v>
      </c>
    </row>
    <row r="1832" spans="2:3">
      <c r="B1832" s="38">
        <v>40809</v>
      </c>
      <c r="C1832">
        <v>153.99180000000001</v>
      </c>
    </row>
    <row r="1833" spans="2:3">
      <c r="B1833" s="38">
        <v>40812</v>
      </c>
      <c r="C1833">
        <v>153.96459999999999</v>
      </c>
    </row>
    <row r="1834" spans="2:3">
      <c r="B1834" s="38">
        <v>40813</v>
      </c>
      <c r="C1834">
        <v>153.6499</v>
      </c>
    </row>
    <row r="1835" spans="2:3">
      <c r="B1835" s="38">
        <v>40814</v>
      </c>
      <c r="C1835">
        <v>153.26150000000001</v>
      </c>
    </row>
    <row r="1836" spans="2:3">
      <c r="B1836" s="38">
        <v>40815</v>
      </c>
      <c r="C1836">
        <v>153.69739999999999</v>
      </c>
    </row>
    <row r="1837" spans="2:3">
      <c r="B1837" s="38">
        <v>40816</v>
      </c>
      <c r="C1837">
        <v>153.28039999999999</v>
      </c>
    </row>
    <row r="1838" spans="2:3">
      <c r="B1838" s="38">
        <v>40819</v>
      </c>
      <c r="C1838">
        <v>153.25470000000001</v>
      </c>
    </row>
    <row r="1839" spans="2:3">
      <c r="B1839" s="38">
        <v>40820</v>
      </c>
      <c r="C1839">
        <v>153.58590000000001</v>
      </c>
    </row>
    <row r="1840" spans="2:3">
      <c r="B1840" s="38">
        <v>40821</v>
      </c>
      <c r="C1840">
        <v>153.51669999999999</v>
      </c>
    </row>
    <row r="1841" spans="2:3">
      <c r="B1841" s="38">
        <v>40822</v>
      </c>
      <c r="C1841">
        <v>153.66040000000001</v>
      </c>
    </row>
    <row r="1842" spans="2:3">
      <c r="B1842" s="38">
        <v>40823</v>
      </c>
      <c r="C1842">
        <v>153.05959999999999</v>
      </c>
    </row>
    <row r="1843" spans="2:3">
      <c r="B1843" s="38">
        <v>40827</v>
      </c>
      <c r="C1843">
        <v>153.92910000000001</v>
      </c>
    </row>
    <row r="1844" spans="2:3">
      <c r="B1844" s="38">
        <v>40828</v>
      </c>
      <c r="C1844">
        <v>154.9974</v>
      </c>
    </row>
    <row r="1845" spans="2:3">
      <c r="B1845" s="38">
        <v>40829</v>
      </c>
      <c r="C1845">
        <v>154.25059999999999</v>
      </c>
    </row>
    <row r="1846" spans="2:3">
      <c r="B1846" s="38">
        <v>40830</v>
      </c>
      <c r="C1846">
        <v>154.54339999999999</v>
      </c>
    </row>
    <row r="1847" spans="2:3">
      <c r="B1847" s="38">
        <v>40833</v>
      </c>
      <c r="C1847">
        <v>154.21129999999999</v>
      </c>
    </row>
    <row r="1848" spans="2:3">
      <c r="B1848" s="38">
        <v>40834</v>
      </c>
      <c r="C1848">
        <v>154.851</v>
      </c>
    </row>
    <row r="1849" spans="2:3">
      <c r="B1849" s="38">
        <v>40835</v>
      </c>
      <c r="C1849">
        <v>154.4477</v>
      </c>
    </row>
    <row r="1850" spans="2:3">
      <c r="B1850" s="38">
        <v>40836</v>
      </c>
      <c r="C1850">
        <v>154.4922</v>
      </c>
    </row>
    <row r="1851" spans="2:3">
      <c r="B1851" s="38">
        <v>40837</v>
      </c>
      <c r="C1851">
        <v>154.95310000000001</v>
      </c>
    </row>
    <row r="1852" spans="2:3">
      <c r="B1852" s="38">
        <v>40840</v>
      </c>
      <c r="C1852">
        <v>155.285</v>
      </c>
    </row>
    <row r="1853" spans="2:3">
      <c r="B1853" s="38">
        <v>40841</v>
      </c>
      <c r="C1853">
        <v>155.1583</v>
      </c>
    </row>
    <row r="1854" spans="2:3">
      <c r="B1854" s="38">
        <v>40842</v>
      </c>
      <c r="C1854">
        <v>155.26220000000001</v>
      </c>
    </row>
    <row r="1855" spans="2:3">
      <c r="B1855" s="38">
        <v>40843</v>
      </c>
      <c r="C1855">
        <v>155.89699999999999</v>
      </c>
    </row>
    <row r="1856" spans="2:3">
      <c r="B1856" s="38">
        <v>40844</v>
      </c>
      <c r="C1856">
        <v>156.44990000000001</v>
      </c>
    </row>
    <row r="1857" spans="2:3">
      <c r="B1857" s="38">
        <v>40847</v>
      </c>
      <c r="C1857">
        <v>156.07499999999999</v>
      </c>
    </row>
    <row r="1858" spans="2:3">
      <c r="B1858" s="38">
        <v>40848</v>
      </c>
      <c r="C1858">
        <v>155.78360000000001</v>
      </c>
    </row>
    <row r="1859" spans="2:3">
      <c r="B1859" s="38">
        <v>40849</v>
      </c>
      <c r="C1859">
        <v>156.3109</v>
      </c>
    </row>
    <row r="1860" spans="2:3">
      <c r="B1860" s="38">
        <v>40850</v>
      </c>
      <c r="C1860">
        <v>156.73609999999999</v>
      </c>
    </row>
    <row r="1861" spans="2:3">
      <c r="B1861" s="38">
        <v>40851</v>
      </c>
      <c r="C1861">
        <v>156.60499999999999</v>
      </c>
    </row>
    <row r="1862" spans="2:3">
      <c r="B1862" s="38">
        <v>40854</v>
      </c>
      <c r="C1862">
        <v>157.0112</v>
      </c>
    </row>
    <row r="1863" spans="2:3">
      <c r="B1863" s="38">
        <v>40855</v>
      </c>
      <c r="C1863">
        <v>157.09809999999999</v>
      </c>
    </row>
    <row r="1864" spans="2:3">
      <c r="B1864" s="38">
        <v>40856</v>
      </c>
      <c r="C1864">
        <v>156.0479</v>
      </c>
    </row>
    <row r="1865" spans="2:3">
      <c r="B1865" s="38">
        <v>40857</v>
      </c>
      <c r="C1865">
        <v>155.98079999999999</v>
      </c>
    </row>
    <row r="1866" spans="2:3">
      <c r="B1866" s="38">
        <v>40861</v>
      </c>
      <c r="C1866">
        <v>156.33369999999999</v>
      </c>
    </row>
    <row r="1867" spans="2:3">
      <c r="B1867" s="38">
        <v>40862</v>
      </c>
      <c r="C1867">
        <v>156.41139999999999</v>
      </c>
    </row>
    <row r="1868" spans="2:3">
      <c r="B1868" s="38">
        <v>40863</v>
      </c>
      <c r="C1868">
        <v>156.02209999999999</v>
      </c>
    </row>
    <row r="1869" spans="2:3">
      <c r="B1869" s="38">
        <v>40864</v>
      </c>
      <c r="C1869">
        <v>155.67570000000001</v>
      </c>
    </row>
    <row r="1870" spans="2:3">
      <c r="B1870" s="38">
        <v>40865</v>
      </c>
      <c r="C1870">
        <v>155.52500000000001</v>
      </c>
    </row>
    <row r="1871" spans="2:3">
      <c r="B1871" s="38">
        <v>40868</v>
      </c>
      <c r="C1871">
        <v>155.00579999999999</v>
      </c>
    </row>
    <row r="1872" spans="2:3">
      <c r="B1872" s="38">
        <v>40869</v>
      </c>
      <c r="C1872">
        <v>155.0129</v>
      </c>
    </row>
    <row r="1873" spans="2:3">
      <c r="B1873" s="38">
        <v>40870</v>
      </c>
      <c r="C1873">
        <v>154.42269999999999</v>
      </c>
    </row>
    <row r="1874" spans="2:3">
      <c r="B1874" s="38">
        <v>40872</v>
      </c>
      <c r="C1874">
        <v>153.94640000000001</v>
      </c>
    </row>
    <row r="1875" spans="2:3">
      <c r="B1875" s="38">
        <v>40875</v>
      </c>
      <c r="C1875">
        <v>155.10589999999999</v>
      </c>
    </row>
    <row r="1876" spans="2:3">
      <c r="B1876" s="38">
        <v>40876</v>
      </c>
      <c r="C1876">
        <v>155.13030000000001</v>
      </c>
    </row>
    <row r="1877" spans="2:3">
      <c r="B1877" s="38">
        <v>40877</v>
      </c>
      <c r="C1877">
        <v>156.52549999999999</v>
      </c>
    </row>
    <row r="1878" spans="2:3">
      <c r="B1878" s="38">
        <v>40878</v>
      </c>
      <c r="C1878">
        <v>156.23169999999999</v>
      </c>
    </row>
    <row r="1879" spans="2:3">
      <c r="B1879" s="38">
        <v>40879</v>
      </c>
      <c r="C1879">
        <v>156.53800000000001</v>
      </c>
    </row>
    <row r="1880" spans="2:3">
      <c r="B1880" s="38">
        <v>40882</v>
      </c>
      <c r="C1880">
        <v>156.95779999999999</v>
      </c>
    </row>
    <row r="1881" spans="2:3">
      <c r="B1881" s="38">
        <v>40883</v>
      </c>
      <c r="C1881">
        <v>156.85589999999999</v>
      </c>
    </row>
    <row r="1882" spans="2:3">
      <c r="B1882" s="38">
        <v>40884</v>
      </c>
      <c r="C1882">
        <v>157.3954</v>
      </c>
    </row>
    <row r="1883" spans="2:3">
      <c r="B1883" s="38">
        <v>40885</v>
      </c>
      <c r="C1883">
        <v>156.89769999999999</v>
      </c>
    </row>
    <row r="1884" spans="2:3">
      <c r="B1884" s="38">
        <v>40886</v>
      </c>
      <c r="C1884">
        <v>157.10290000000001</v>
      </c>
    </row>
    <row r="1885" spans="2:3">
      <c r="B1885" s="38">
        <v>40889</v>
      </c>
      <c r="C1885">
        <v>156.79079999999999</v>
      </c>
    </row>
    <row r="1886" spans="2:3">
      <c r="B1886" s="38">
        <v>40890</v>
      </c>
      <c r="C1886">
        <v>156.6635</v>
      </c>
    </row>
    <row r="1887" spans="2:3">
      <c r="B1887" s="38">
        <v>40891</v>
      </c>
      <c r="C1887">
        <v>156.50489999999999</v>
      </c>
    </row>
    <row r="1888" spans="2:3">
      <c r="B1888" s="38">
        <v>40892</v>
      </c>
      <c r="C1888">
        <v>156.51759999999999</v>
      </c>
    </row>
    <row r="1889" spans="2:3">
      <c r="B1889" s="38">
        <v>40893</v>
      </c>
      <c r="C1889">
        <v>156.78819999999999</v>
      </c>
    </row>
    <row r="1890" spans="2:3">
      <c r="B1890" s="38">
        <v>40896</v>
      </c>
      <c r="C1890">
        <v>156.50659999999999</v>
      </c>
    </row>
    <row r="1891" spans="2:3">
      <c r="B1891" s="38">
        <v>40897</v>
      </c>
      <c r="C1891">
        <v>157.21420000000001</v>
      </c>
    </row>
    <row r="1892" spans="2:3">
      <c r="B1892" s="38">
        <v>40898</v>
      </c>
      <c r="C1892">
        <v>157.08080000000001</v>
      </c>
    </row>
    <row r="1893" spans="2:3">
      <c r="B1893" s="38">
        <v>40899</v>
      </c>
      <c r="C1893">
        <v>157.48050000000001</v>
      </c>
    </row>
    <row r="1894" spans="2:3">
      <c r="B1894" s="38">
        <v>40900</v>
      </c>
      <c r="C1894">
        <v>157.38579999999999</v>
      </c>
    </row>
    <row r="1895" spans="2:3">
      <c r="B1895" s="38">
        <v>40904</v>
      </c>
      <c r="C1895">
        <v>157.57419999999999</v>
      </c>
    </row>
    <row r="1896" spans="2:3">
      <c r="B1896" s="38">
        <v>40905</v>
      </c>
      <c r="C1896">
        <v>157.61930000000001</v>
      </c>
    </row>
    <row r="1897" spans="2:3">
      <c r="B1897" s="38">
        <v>40906</v>
      </c>
      <c r="C1897">
        <v>158.102</v>
      </c>
    </row>
    <row r="1898" spans="2:3">
      <c r="B1898" s="38">
        <v>40907</v>
      </c>
      <c r="C1898">
        <v>158.09129999999999</v>
      </c>
    </row>
    <row r="1899" spans="2:3">
      <c r="B1899" s="38">
        <v>40911</v>
      </c>
      <c r="C1899">
        <v>158.33529999999999</v>
      </c>
    </row>
    <row r="1900" spans="2:3">
      <c r="B1900" s="38">
        <v>40912</v>
      </c>
      <c r="C1900">
        <v>158.22900000000001</v>
      </c>
    </row>
    <row r="1901" spans="2:3">
      <c r="B1901" s="38">
        <v>40913</v>
      </c>
      <c r="C1901">
        <v>158.3246</v>
      </c>
    </row>
    <row r="1902" spans="2:3">
      <c r="B1902" s="38">
        <v>40914</v>
      </c>
      <c r="C1902">
        <v>158.40610000000001</v>
      </c>
    </row>
    <row r="1903" spans="2:3">
      <c r="B1903" s="38">
        <v>40917</v>
      </c>
      <c r="C1903">
        <v>158.5549</v>
      </c>
    </row>
    <row r="1904" spans="2:3">
      <c r="B1904" s="38">
        <v>40918</v>
      </c>
      <c r="C1904">
        <v>158.88929999999999</v>
      </c>
    </row>
    <row r="1905" spans="2:3">
      <c r="B1905" s="38">
        <v>40919</v>
      </c>
      <c r="C1905">
        <v>159.19900000000001</v>
      </c>
    </row>
    <row r="1906" spans="2:3">
      <c r="B1906" s="38">
        <v>40920</v>
      </c>
      <c r="C1906">
        <v>159.27709999999999</v>
      </c>
    </row>
    <row r="1907" spans="2:3">
      <c r="B1907" s="38">
        <v>40921</v>
      </c>
      <c r="C1907">
        <v>159.3854</v>
      </c>
    </row>
    <row r="1908" spans="2:3">
      <c r="B1908" s="38">
        <v>40925</v>
      </c>
      <c r="C1908">
        <v>159.6285</v>
      </c>
    </row>
    <row r="1909" spans="2:3">
      <c r="B1909" s="38">
        <v>40926</v>
      </c>
      <c r="C1909">
        <v>159.87739999999999</v>
      </c>
    </row>
    <row r="1910" spans="2:3">
      <c r="B1910" s="38">
        <v>40927</v>
      </c>
      <c r="C1910">
        <v>159.8124</v>
      </c>
    </row>
    <row r="1911" spans="2:3">
      <c r="B1911" s="38">
        <v>40928</v>
      </c>
      <c r="C1911">
        <v>159.6207</v>
      </c>
    </row>
    <row r="1912" spans="2:3">
      <c r="B1912" s="38">
        <v>40931</v>
      </c>
      <c r="C1912">
        <v>159.58320000000001</v>
      </c>
    </row>
    <row r="1913" spans="2:3">
      <c r="B1913" s="38">
        <v>40932</v>
      </c>
      <c r="C1913">
        <v>159.5428</v>
      </c>
    </row>
    <row r="1914" spans="2:3">
      <c r="B1914" s="38">
        <v>40933</v>
      </c>
      <c r="C1914">
        <v>160.17400000000001</v>
      </c>
    </row>
    <row r="1915" spans="2:3">
      <c r="B1915" s="38">
        <v>40934</v>
      </c>
      <c r="C1915">
        <v>160.29249999999999</v>
      </c>
    </row>
    <row r="1916" spans="2:3">
      <c r="B1916" s="38">
        <v>40935</v>
      </c>
      <c r="C1916">
        <v>160.3329</v>
      </c>
    </row>
    <row r="1917" spans="2:3">
      <c r="B1917" s="38">
        <v>40938</v>
      </c>
      <c r="C1917">
        <v>160.4006</v>
      </c>
    </row>
    <row r="1918" spans="2:3">
      <c r="B1918" s="38">
        <v>40939</v>
      </c>
      <c r="C1918">
        <v>160.5865</v>
      </c>
    </row>
    <row r="1919" spans="2:3">
      <c r="B1919" s="38">
        <v>40940</v>
      </c>
      <c r="C1919">
        <v>160.88079999999999</v>
      </c>
    </row>
    <row r="1920" spans="2:3">
      <c r="B1920" s="38">
        <v>40941</v>
      </c>
      <c r="C1920">
        <v>161.01599999999999</v>
      </c>
    </row>
    <row r="1921" spans="2:3">
      <c r="B1921" s="38">
        <v>40942</v>
      </c>
      <c r="C1921">
        <v>161.54839999999999</v>
      </c>
    </row>
    <row r="1922" spans="2:3">
      <c r="B1922" s="38">
        <v>40945</v>
      </c>
      <c r="C1922">
        <v>161.71180000000001</v>
      </c>
    </row>
    <row r="1923" spans="2:3">
      <c r="B1923" s="38">
        <v>40946</v>
      </c>
      <c r="C1923">
        <v>161.61330000000001</v>
      </c>
    </row>
    <row r="1924" spans="2:3">
      <c r="B1924" s="38">
        <v>40947</v>
      </c>
      <c r="C1924">
        <v>161.75489999999999</v>
      </c>
    </row>
    <row r="1925" spans="2:3">
      <c r="B1925" s="38">
        <v>40948</v>
      </c>
      <c r="C1925">
        <v>161.66650000000001</v>
      </c>
    </row>
    <row r="1926" spans="2:3">
      <c r="B1926" s="38">
        <v>40949</v>
      </c>
      <c r="C1926">
        <v>161.39429999999999</v>
      </c>
    </row>
    <row r="1927" spans="2:3">
      <c r="B1927" s="38">
        <v>40952</v>
      </c>
      <c r="C1927">
        <v>161.8486</v>
      </c>
    </row>
    <row r="1928" spans="2:3">
      <c r="B1928" s="38">
        <v>40953</v>
      </c>
      <c r="C1928">
        <v>161.97829999999999</v>
      </c>
    </row>
    <row r="1929" spans="2:3">
      <c r="B1929" s="38">
        <v>40954</v>
      </c>
      <c r="C1929">
        <v>161.5504</v>
      </c>
    </row>
    <row r="1930" spans="2:3">
      <c r="B1930" s="38">
        <v>40955</v>
      </c>
      <c r="C1930">
        <v>162.14320000000001</v>
      </c>
    </row>
    <row r="1931" spans="2:3">
      <c r="B1931" s="38">
        <v>40956</v>
      </c>
      <c r="C1931">
        <v>162.26820000000001</v>
      </c>
    </row>
    <row r="1932" spans="2:3">
      <c r="B1932" s="38">
        <v>40960</v>
      </c>
      <c r="C1932">
        <v>162.2183</v>
      </c>
    </row>
    <row r="1933" spans="2:3">
      <c r="B1933" s="38">
        <v>40961</v>
      </c>
      <c r="C1933">
        <v>162.09819999999999</v>
      </c>
    </row>
    <row r="1934" spans="2:3">
      <c r="B1934" s="38">
        <v>40962</v>
      </c>
      <c r="C1934">
        <v>162.51560000000001</v>
      </c>
    </row>
    <row r="1935" spans="2:3">
      <c r="B1935" s="38">
        <v>40963</v>
      </c>
      <c r="C1935">
        <v>162.66290000000001</v>
      </c>
    </row>
    <row r="1936" spans="2:3">
      <c r="B1936" s="38">
        <v>40966</v>
      </c>
      <c r="C1936">
        <v>162.9512</v>
      </c>
    </row>
    <row r="1937" spans="2:3">
      <c r="B1937" s="38">
        <v>40967</v>
      </c>
      <c r="C1937">
        <v>163.27029999999999</v>
      </c>
    </row>
    <row r="1938" spans="2:3">
      <c r="B1938" s="38">
        <v>40968</v>
      </c>
      <c r="C1938">
        <v>162.73949999999999</v>
      </c>
    </row>
    <row r="1939" spans="2:3">
      <c r="B1939" s="38">
        <v>40969</v>
      </c>
      <c r="C1939">
        <v>163.227</v>
      </c>
    </row>
    <row r="1940" spans="2:3">
      <c r="B1940" s="38">
        <v>40970</v>
      </c>
      <c r="C1940">
        <v>163.01830000000001</v>
      </c>
    </row>
    <row r="1941" spans="2:3">
      <c r="B1941" s="38">
        <v>40973</v>
      </c>
      <c r="C1941">
        <v>162.5575</v>
      </c>
    </row>
    <row r="1942" spans="2:3">
      <c r="B1942" s="38">
        <v>40974</v>
      </c>
      <c r="C1942">
        <v>161.09289999999999</v>
      </c>
    </row>
    <row r="1943" spans="2:3">
      <c r="B1943" s="38">
        <v>40975</v>
      </c>
      <c r="C1943">
        <v>161.7422</v>
      </c>
    </row>
    <row r="1944" spans="2:3">
      <c r="B1944" s="38">
        <v>40976</v>
      </c>
      <c r="C1944">
        <v>162.65979999999999</v>
      </c>
    </row>
    <row r="1945" spans="2:3">
      <c r="B1945" s="38">
        <v>40977</v>
      </c>
      <c r="C1945">
        <v>162.9761</v>
      </c>
    </row>
    <row r="1946" spans="2:3">
      <c r="B1946" s="38">
        <v>40980</v>
      </c>
      <c r="C1946">
        <v>163.03440000000001</v>
      </c>
    </row>
    <row r="1947" spans="2:3">
      <c r="B1947" s="38">
        <v>40981</v>
      </c>
      <c r="C1947">
        <v>164.51339999999999</v>
      </c>
    </row>
    <row r="1948" spans="2:3">
      <c r="B1948" s="38">
        <v>40982</v>
      </c>
      <c r="C1948">
        <v>163.98820000000001</v>
      </c>
    </row>
    <row r="1949" spans="2:3">
      <c r="B1949" s="38">
        <v>40983</v>
      </c>
      <c r="C1949">
        <v>164.54730000000001</v>
      </c>
    </row>
    <row r="1950" spans="2:3">
      <c r="B1950" s="38">
        <v>40984</v>
      </c>
      <c r="C1950">
        <v>164.6557</v>
      </c>
    </row>
    <row r="1951" spans="2:3">
      <c r="B1951" s="38">
        <v>40987</v>
      </c>
      <c r="C1951">
        <v>164.7466</v>
      </c>
    </row>
    <row r="1952" spans="2:3">
      <c r="B1952" s="38">
        <v>40988</v>
      </c>
      <c r="C1952">
        <v>164.5342</v>
      </c>
    </row>
    <row r="1953" spans="2:3">
      <c r="B1953" s="38">
        <v>40989</v>
      </c>
      <c r="C1953">
        <v>164.64500000000001</v>
      </c>
    </row>
    <row r="1954" spans="2:3">
      <c r="B1954" s="38">
        <v>40990</v>
      </c>
      <c r="C1954">
        <v>164.0428</v>
      </c>
    </row>
    <row r="1955" spans="2:3">
      <c r="B1955" s="38">
        <v>40991</v>
      </c>
      <c r="C1955">
        <v>164.4049</v>
      </c>
    </row>
    <row r="1956" spans="2:3">
      <c r="B1956" s="38">
        <v>40994</v>
      </c>
      <c r="C1956">
        <v>165.60169999999999</v>
      </c>
    </row>
    <row r="1957" spans="2:3">
      <c r="B1957" s="38">
        <v>40995</v>
      </c>
      <c r="C1957">
        <v>165.54750000000001</v>
      </c>
    </row>
    <row r="1958" spans="2:3">
      <c r="B1958" s="38">
        <v>40996</v>
      </c>
      <c r="C1958">
        <v>165.1123</v>
      </c>
    </row>
    <row r="1959" spans="2:3">
      <c r="B1959" s="38">
        <v>40997</v>
      </c>
      <c r="C1959">
        <v>165.0754</v>
      </c>
    </row>
    <row r="1960" spans="2:3">
      <c r="B1960" s="38">
        <v>40998</v>
      </c>
      <c r="C1960">
        <v>165.17529999999999</v>
      </c>
    </row>
    <row r="1961" spans="2:3">
      <c r="B1961" s="38">
        <v>41001</v>
      </c>
      <c r="C1961">
        <v>165.83779999999999</v>
      </c>
    </row>
    <row r="1962" spans="2:3">
      <c r="B1962" s="38">
        <v>41002</v>
      </c>
      <c r="C1962">
        <v>165.20259999999999</v>
      </c>
    </row>
    <row r="1963" spans="2:3">
      <c r="B1963" s="38">
        <v>41003</v>
      </c>
      <c r="C1963">
        <v>164.5762</v>
      </c>
    </row>
    <row r="1964" spans="2:3">
      <c r="B1964" s="38">
        <v>41004</v>
      </c>
      <c r="C1964">
        <v>164.65129999999999</v>
      </c>
    </row>
    <row r="1965" spans="2:3">
      <c r="B1965" s="38">
        <v>41008</v>
      </c>
      <c r="C1965">
        <v>164.23599999999999</v>
      </c>
    </row>
    <row r="1966" spans="2:3">
      <c r="B1966" s="38">
        <v>41009</v>
      </c>
      <c r="C1966">
        <v>162.91640000000001</v>
      </c>
    </row>
    <row r="1967" spans="2:3">
      <c r="B1967" s="38">
        <v>41010</v>
      </c>
      <c r="C1967">
        <v>163.43469999999999</v>
      </c>
    </row>
    <row r="1968" spans="2:3">
      <c r="B1968" s="38">
        <v>41011</v>
      </c>
      <c r="C1968">
        <v>164.47829999999999</v>
      </c>
    </row>
    <row r="1969" spans="2:3">
      <c r="B1969" s="38">
        <v>41012</v>
      </c>
      <c r="C1969">
        <v>163.5985</v>
      </c>
    </row>
    <row r="1970" spans="2:3">
      <c r="B1970" s="38">
        <v>41015</v>
      </c>
      <c r="C1970">
        <v>163.67760000000001</v>
      </c>
    </row>
    <row r="1971" spans="2:3">
      <c r="B1971" s="38">
        <v>41016</v>
      </c>
      <c r="C1971">
        <v>164.6455</v>
      </c>
    </row>
    <row r="1972" spans="2:3">
      <c r="B1972" s="38">
        <v>41017</v>
      </c>
      <c r="C1972">
        <v>164.44499999999999</v>
      </c>
    </row>
    <row r="1973" spans="2:3">
      <c r="B1973" s="38">
        <v>41018</v>
      </c>
      <c r="C1973">
        <v>164.1532</v>
      </c>
    </row>
    <row r="1974" spans="2:3">
      <c r="B1974" s="38">
        <v>41019</v>
      </c>
      <c r="C1974">
        <v>164.1534</v>
      </c>
    </row>
    <row r="1975" spans="2:3">
      <c r="B1975" s="38">
        <v>41022</v>
      </c>
      <c r="C1975">
        <v>163.7687</v>
      </c>
    </row>
    <row r="1976" spans="2:3">
      <c r="B1976" s="38">
        <v>41023</v>
      </c>
      <c r="C1976">
        <v>163.911</v>
      </c>
    </row>
    <row r="1977" spans="2:3">
      <c r="B1977" s="38">
        <v>41024</v>
      </c>
      <c r="C1977">
        <v>164.7242</v>
      </c>
    </row>
    <row r="1978" spans="2:3">
      <c r="B1978" s="38">
        <v>41025</v>
      </c>
      <c r="C1978">
        <v>165.27090000000001</v>
      </c>
    </row>
    <row r="1979" spans="2:3">
      <c r="B1979" s="38">
        <v>41026</v>
      </c>
      <c r="C1979">
        <v>165.53059999999999</v>
      </c>
    </row>
    <row r="1980" spans="2:3">
      <c r="B1980" s="38">
        <v>41029</v>
      </c>
      <c r="C1980">
        <v>165.3639</v>
      </c>
    </row>
    <row r="1981" spans="2:3">
      <c r="B1981" s="38">
        <v>41030</v>
      </c>
      <c r="C1981">
        <v>165.59889999999999</v>
      </c>
    </row>
    <row r="1982" spans="2:3">
      <c r="B1982" s="38">
        <v>41031</v>
      </c>
      <c r="C1982">
        <v>165.57050000000001</v>
      </c>
    </row>
    <row r="1983" spans="2:3">
      <c r="B1983" s="38">
        <v>41032</v>
      </c>
      <c r="C1983">
        <v>165.08680000000001</v>
      </c>
    </row>
    <row r="1984" spans="2:3">
      <c r="B1984" s="38">
        <v>41033</v>
      </c>
      <c r="C1984">
        <v>164.1866</v>
      </c>
    </row>
    <row r="1985" spans="2:3">
      <c r="B1985" s="38">
        <v>41036</v>
      </c>
      <c r="C1985">
        <v>164.2193</v>
      </c>
    </row>
    <row r="1986" spans="2:3">
      <c r="B1986" s="38">
        <v>41037</v>
      </c>
      <c r="C1986">
        <v>164.0703</v>
      </c>
    </row>
    <row r="1987" spans="2:3">
      <c r="B1987" s="38">
        <v>41038</v>
      </c>
      <c r="C1987">
        <v>163.55959999999999</v>
      </c>
    </row>
    <row r="1988" spans="2:3">
      <c r="B1988" s="38">
        <v>41039</v>
      </c>
      <c r="C1988">
        <v>163.62520000000001</v>
      </c>
    </row>
    <row r="1989" spans="2:3">
      <c r="B1989" s="38">
        <v>41040</v>
      </c>
      <c r="C1989">
        <v>163.48419999999999</v>
      </c>
    </row>
    <row r="1990" spans="2:3">
      <c r="B1990" s="38">
        <v>41043</v>
      </c>
      <c r="C1990">
        <v>162.77860000000001</v>
      </c>
    </row>
    <row r="1991" spans="2:3">
      <c r="B1991" s="38">
        <v>41044</v>
      </c>
      <c r="C1991">
        <v>162.36259999999999</v>
      </c>
    </row>
    <row r="1992" spans="2:3">
      <c r="B1992" s="38">
        <v>41045</v>
      </c>
      <c r="C1992">
        <v>162.1147</v>
      </c>
    </row>
    <row r="1993" spans="2:3">
      <c r="B1993" s="38">
        <v>41046</v>
      </c>
      <c r="C1993">
        <v>161.26230000000001</v>
      </c>
    </row>
    <row r="1994" spans="2:3">
      <c r="B1994" s="38">
        <v>41047</v>
      </c>
      <c r="C1994">
        <v>160.76589999999999</v>
      </c>
    </row>
    <row r="1995" spans="2:3">
      <c r="B1995" s="38">
        <v>41050</v>
      </c>
      <c r="C1995">
        <v>161.8544</v>
      </c>
    </row>
    <row r="1996" spans="2:3">
      <c r="B1996" s="38">
        <v>41051</v>
      </c>
      <c r="C1996">
        <v>161.63079999999999</v>
      </c>
    </row>
    <row r="1997" spans="2:3">
      <c r="B1997" s="38">
        <v>41052</v>
      </c>
      <c r="C1997">
        <v>161.98699999999999</v>
      </c>
    </row>
    <row r="1998" spans="2:3">
      <c r="B1998" s="38">
        <v>41053</v>
      </c>
      <c r="C1998">
        <v>161.94139999999999</v>
      </c>
    </row>
    <row r="1999" spans="2:3">
      <c r="B1999" s="38">
        <v>41054</v>
      </c>
      <c r="C1999">
        <v>161.82689999999999</v>
      </c>
    </row>
    <row r="2000" spans="2:3">
      <c r="B2000" s="38">
        <v>41058</v>
      </c>
      <c r="C2000">
        <v>162.61080000000001</v>
      </c>
    </row>
    <row r="2001" spans="2:3">
      <c r="B2001" s="38">
        <v>41059</v>
      </c>
      <c r="C2001">
        <v>161.96010000000001</v>
      </c>
    </row>
    <row r="2002" spans="2:3">
      <c r="B2002" s="38">
        <v>41060</v>
      </c>
      <c r="C2002">
        <v>161.9307</v>
      </c>
    </row>
    <row r="2003" spans="2:3">
      <c r="B2003" s="38">
        <v>41061</v>
      </c>
      <c r="C2003">
        <v>160.63550000000001</v>
      </c>
    </row>
    <row r="2004" spans="2:3">
      <c r="B2004" s="38">
        <v>41064</v>
      </c>
      <c r="C2004">
        <v>160.4237</v>
      </c>
    </row>
    <row r="2005" spans="2:3">
      <c r="B2005" s="38">
        <v>41065</v>
      </c>
      <c r="C2005">
        <v>160.6566</v>
      </c>
    </row>
    <row r="2006" spans="2:3">
      <c r="B2006" s="38">
        <v>41066</v>
      </c>
      <c r="C2006">
        <v>161.8578</v>
      </c>
    </row>
    <row r="2007" spans="2:3">
      <c r="B2007" s="38">
        <v>41067</v>
      </c>
      <c r="C2007">
        <v>161.83340000000001</v>
      </c>
    </row>
    <row r="2008" spans="2:3">
      <c r="B2008" s="38">
        <v>41068</v>
      </c>
      <c r="C2008">
        <v>162.3058</v>
      </c>
    </row>
    <row r="2009" spans="2:3">
      <c r="B2009" s="38">
        <v>41071</v>
      </c>
      <c r="C2009">
        <v>161.73670000000001</v>
      </c>
    </row>
    <row r="2010" spans="2:3">
      <c r="B2010" s="38">
        <v>41072</v>
      </c>
      <c r="C2010">
        <v>162.19929999999999</v>
      </c>
    </row>
    <row r="2011" spans="2:3">
      <c r="B2011" s="38">
        <v>41073</v>
      </c>
      <c r="C2011">
        <v>162.0787</v>
      </c>
    </row>
    <row r="2012" spans="2:3">
      <c r="B2012" s="38">
        <v>41074</v>
      </c>
      <c r="C2012">
        <v>162.68279999999999</v>
      </c>
    </row>
    <row r="2013" spans="2:3">
      <c r="B2013" s="38">
        <v>41075</v>
      </c>
      <c r="C2013">
        <v>163.4119</v>
      </c>
    </row>
    <row r="2014" spans="2:3">
      <c r="B2014" s="38">
        <v>41078</v>
      </c>
      <c r="C2014">
        <v>163.49520000000001</v>
      </c>
    </row>
    <row r="2015" spans="2:3">
      <c r="B2015" s="38">
        <v>41079</v>
      </c>
      <c r="C2015">
        <v>163.9383</v>
      </c>
    </row>
    <row r="2016" spans="2:3">
      <c r="B2016" s="38">
        <v>41080</v>
      </c>
      <c r="C2016">
        <v>163.78370000000001</v>
      </c>
    </row>
    <row r="2017" spans="2:3">
      <c r="B2017" s="38">
        <v>41081</v>
      </c>
      <c r="C2017">
        <v>162.62960000000001</v>
      </c>
    </row>
    <row r="2018" spans="2:3">
      <c r="B2018" s="38">
        <v>41082</v>
      </c>
      <c r="C2018">
        <v>162.9024</v>
      </c>
    </row>
    <row r="2019" spans="2:3">
      <c r="B2019" s="38">
        <v>41085</v>
      </c>
      <c r="C2019">
        <v>162.3502</v>
      </c>
    </row>
    <row r="2020" spans="2:3">
      <c r="B2020" s="38">
        <v>41086</v>
      </c>
      <c r="C2020">
        <v>162.4915</v>
      </c>
    </row>
    <row r="2021" spans="2:3">
      <c r="B2021" s="38">
        <v>41087</v>
      </c>
      <c r="C2021">
        <v>162.97730000000001</v>
      </c>
    </row>
    <row r="2022" spans="2:3">
      <c r="B2022" s="38">
        <v>41088</v>
      </c>
      <c r="C2022">
        <v>163.02340000000001</v>
      </c>
    </row>
    <row r="2023" spans="2:3">
      <c r="B2023" s="38">
        <v>41089</v>
      </c>
      <c r="C2023">
        <v>164.0196</v>
      </c>
    </row>
    <row r="2024" spans="2:3">
      <c r="B2024" s="38">
        <v>41092</v>
      </c>
      <c r="C2024">
        <v>164.53309999999999</v>
      </c>
    </row>
    <row r="2025" spans="2:3">
      <c r="B2025" s="38">
        <v>41093</v>
      </c>
      <c r="C2025">
        <v>164.69139999999999</v>
      </c>
    </row>
    <row r="2026" spans="2:3">
      <c r="B2026" s="38">
        <v>41095</v>
      </c>
      <c r="C2026">
        <v>164.5626</v>
      </c>
    </row>
    <row r="2027" spans="2:3">
      <c r="B2027" s="38">
        <v>41096</v>
      </c>
      <c r="C2027">
        <v>164.25729999999999</v>
      </c>
    </row>
    <row r="2028" spans="2:3">
      <c r="B2028" s="38">
        <v>41099</v>
      </c>
      <c r="C2028">
        <v>164.38800000000001</v>
      </c>
    </row>
    <row r="2029" spans="2:3">
      <c r="B2029" s="38">
        <v>41100</v>
      </c>
      <c r="C2029">
        <v>164.06800000000001</v>
      </c>
    </row>
    <row r="2030" spans="2:3">
      <c r="B2030" s="38">
        <v>41101</v>
      </c>
      <c r="C2030">
        <v>164.1044</v>
      </c>
    </row>
    <row r="2031" spans="2:3">
      <c r="B2031" s="38">
        <v>41102</v>
      </c>
      <c r="C2031">
        <v>163.9049</v>
      </c>
    </row>
    <row r="2032" spans="2:3">
      <c r="B2032" s="38">
        <v>41103</v>
      </c>
      <c r="C2032">
        <v>164.73500000000001</v>
      </c>
    </row>
    <row r="2033" spans="2:3">
      <c r="B2033" s="38">
        <v>41106</v>
      </c>
      <c r="C2033">
        <v>164.70500000000001</v>
      </c>
    </row>
    <row r="2034" spans="2:3">
      <c r="B2034" s="38">
        <v>41107</v>
      </c>
      <c r="C2034">
        <v>164.9614</v>
      </c>
    </row>
    <row r="2035" spans="2:3">
      <c r="B2035" s="38">
        <v>41108</v>
      </c>
      <c r="C2035">
        <v>165.50890000000001</v>
      </c>
    </row>
    <row r="2036" spans="2:3">
      <c r="B2036" s="38">
        <v>41109</v>
      </c>
      <c r="C2036">
        <v>165.57939999999999</v>
      </c>
    </row>
    <row r="2037" spans="2:3">
      <c r="B2037" s="38">
        <v>41110</v>
      </c>
      <c r="C2037">
        <v>165.1763</v>
      </c>
    </row>
    <row r="2038" spans="2:3">
      <c r="B2038" s="38">
        <v>41113</v>
      </c>
      <c r="C2038">
        <v>164.75960000000001</v>
      </c>
    </row>
    <row r="2039" spans="2:3">
      <c r="B2039" s="38">
        <v>41114</v>
      </c>
      <c r="C2039">
        <v>164.29920000000001</v>
      </c>
    </row>
    <row r="2040" spans="2:3">
      <c r="B2040" s="38">
        <v>41115</v>
      </c>
      <c r="C2040">
        <v>164.3203</v>
      </c>
    </row>
    <row r="2041" spans="2:3">
      <c r="B2041" s="38">
        <v>41116</v>
      </c>
      <c r="C2041">
        <v>165.2406</v>
      </c>
    </row>
    <row r="2042" spans="2:3">
      <c r="B2042" s="38">
        <v>41117</v>
      </c>
      <c r="C2042">
        <v>165.91929999999999</v>
      </c>
    </row>
    <row r="2043" spans="2:3">
      <c r="B2043" s="38">
        <v>41120</v>
      </c>
      <c r="C2043">
        <v>166.1387</v>
      </c>
    </row>
    <row r="2044" spans="2:3">
      <c r="B2044" s="38">
        <v>41121</v>
      </c>
      <c r="C2044">
        <v>165.93209999999999</v>
      </c>
    </row>
    <row r="2045" spans="2:3">
      <c r="B2045" s="38">
        <v>41122</v>
      </c>
      <c r="C2045">
        <v>165.56219999999999</v>
      </c>
    </row>
    <row r="2046" spans="2:3">
      <c r="B2046" s="38">
        <v>41123</v>
      </c>
      <c r="C2046">
        <v>165.29050000000001</v>
      </c>
    </row>
    <row r="2047" spans="2:3">
      <c r="B2047" s="38">
        <v>41124</v>
      </c>
      <c r="C2047">
        <v>166.0779</v>
      </c>
    </row>
    <row r="2048" spans="2:3">
      <c r="B2048" s="38">
        <v>41127</v>
      </c>
      <c r="C2048">
        <v>166.35230000000001</v>
      </c>
    </row>
    <row r="2049" spans="2:3">
      <c r="B2049" s="38">
        <v>41128</v>
      </c>
      <c r="C2049">
        <v>166.32980000000001</v>
      </c>
    </row>
    <row r="2050" spans="2:3">
      <c r="B2050" s="38">
        <v>41129</v>
      </c>
      <c r="C2050">
        <v>166.31389999999999</v>
      </c>
    </row>
    <row r="2051" spans="2:3">
      <c r="B2051" s="38">
        <v>41130</v>
      </c>
      <c r="C2051">
        <v>166.30600000000001</v>
      </c>
    </row>
    <row r="2052" spans="2:3">
      <c r="B2052" s="38">
        <v>41131</v>
      </c>
      <c r="C2052">
        <v>166.57640000000001</v>
      </c>
    </row>
    <row r="2053" spans="2:3">
      <c r="B2053" s="38">
        <v>41134</v>
      </c>
      <c r="C2053">
        <v>166.4847</v>
      </c>
    </row>
    <row r="2054" spans="2:3">
      <c r="B2054" s="38">
        <v>41135</v>
      </c>
      <c r="C2054">
        <v>166.1859</v>
      </c>
    </row>
    <row r="2055" spans="2:3">
      <c r="B2055" s="38">
        <v>41136</v>
      </c>
      <c r="C2055">
        <v>165.90260000000001</v>
      </c>
    </row>
    <row r="2056" spans="2:3">
      <c r="B2056" s="38">
        <v>41137</v>
      </c>
      <c r="C2056">
        <v>166.23560000000001</v>
      </c>
    </row>
    <row r="2057" spans="2:3">
      <c r="B2057" s="38">
        <v>41138</v>
      </c>
      <c r="C2057">
        <v>166.47669999999999</v>
      </c>
    </row>
    <row r="2058" spans="2:3">
      <c r="B2058" s="38">
        <v>41141</v>
      </c>
      <c r="C2058">
        <v>166.5462</v>
      </c>
    </row>
    <row r="2059" spans="2:3">
      <c r="B2059" s="38">
        <v>41142</v>
      </c>
      <c r="C2059">
        <v>166.35659999999999</v>
      </c>
    </row>
    <row r="2060" spans="2:3">
      <c r="B2060" s="38">
        <v>41143</v>
      </c>
      <c r="C2060">
        <v>166.73330000000001</v>
      </c>
    </row>
    <row r="2061" spans="2:3">
      <c r="B2061" s="38">
        <v>41144</v>
      </c>
      <c r="C2061">
        <v>166.31729999999999</v>
      </c>
    </row>
    <row r="2062" spans="2:3">
      <c r="B2062" s="38">
        <v>41145</v>
      </c>
      <c r="C2062">
        <v>166.6944</v>
      </c>
    </row>
    <row r="2063" spans="2:3">
      <c r="B2063" s="38">
        <v>41148</v>
      </c>
      <c r="C2063">
        <v>166.80799999999999</v>
      </c>
    </row>
    <row r="2064" spans="2:3">
      <c r="B2064" s="38">
        <v>41149</v>
      </c>
      <c r="C2064">
        <v>166.80119999999999</v>
      </c>
    </row>
    <row r="2065" spans="2:3">
      <c r="B2065" s="38">
        <v>41150</v>
      </c>
      <c r="C2065">
        <v>166.77529999999999</v>
      </c>
    </row>
    <row r="2066" spans="2:3">
      <c r="B2066" s="38">
        <v>41151</v>
      </c>
      <c r="C2066">
        <v>166.2602</v>
      </c>
    </row>
    <row r="2067" spans="2:3">
      <c r="B2067" s="38">
        <v>41152</v>
      </c>
      <c r="C2067">
        <v>166.8817</v>
      </c>
    </row>
    <row r="2068" spans="2:3">
      <c r="B2068" s="38">
        <v>41156</v>
      </c>
      <c r="C2068">
        <v>166.76849999999999</v>
      </c>
    </row>
    <row r="2069" spans="2:3">
      <c r="B2069" s="38">
        <v>41157</v>
      </c>
      <c r="C2069">
        <v>166.68260000000001</v>
      </c>
    </row>
    <row r="2070" spans="2:3">
      <c r="B2070" s="38">
        <v>41158</v>
      </c>
      <c r="C2070">
        <v>168.07380000000001</v>
      </c>
    </row>
    <row r="2071" spans="2:3">
      <c r="B2071" s="38">
        <v>41159</v>
      </c>
      <c r="C2071">
        <v>168.45779999999999</v>
      </c>
    </row>
    <row r="2072" spans="2:3">
      <c r="B2072" s="38">
        <v>41162</v>
      </c>
      <c r="C2072">
        <v>167.904</v>
      </c>
    </row>
    <row r="2073" spans="2:3">
      <c r="B2073" s="38">
        <v>41163</v>
      </c>
      <c r="C2073">
        <v>168.12719999999999</v>
      </c>
    </row>
    <row r="2074" spans="2:3">
      <c r="B2074" s="38">
        <v>41164</v>
      </c>
      <c r="C2074">
        <v>168.1301</v>
      </c>
    </row>
    <row r="2075" spans="2:3">
      <c r="B2075" s="38">
        <v>41165</v>
      </c>
      <c r="C2075">
        <v>169.59520000000001</v>
      </c>
    </row>
    <row r="2076" spans="2:3">
      <c r="B2076" s="38">
        <v>41166</v>
      </c>
      <c r="C2076">
        <v>169.6592</v>
      </c>
    </row>
    <row r="2077" spans="2:3">
      <c r="B2077" s="38">
        <v>41169</v>
      </c>
      <c r="C2077">
        <v>169.49770000000001</v>
      </c>
    </row>
    <row r="2078" spans="2:3">
      <c r="B2078" s="38">
        <v>41170</v>
      </c>
      <c r="C2078">
        <v>169.4631</v>
      </c>
    </row>
    <row r="2079" spans="2:3">
      <c r="B2079" s="38">
        <v>41171</v>
      </c>
      <c r="C2079">
        <v>169.56399999999999</v>
      </c>
    </row>
    <row r="2080" spans="2:3">
      <c r="B2080" s="38">
        <v>41172</v>
      </c>
      <c r="C2080">
        <v>169.5735</v>
      </c>
    </row>
    <row r="2081" spans="2:3">
      <c r="B2081" s="38">
        <v>41173</v>
      </c>
      <c r="C2081">
        <v>169.70480000000001</v>
      </c>
    </row>
    <row r="2082" spans="2:3">
      <c r="B2082" s="38">
        <v>41176</v>
      </c>
      <c r="C2082">
        <v>169.6361</v>
      </c>
    </row>
    <row r="2083" spans="2:3">
      <c r="B2083" s="38">
        <v>41177</v>
      </c>
      <c r="C2083">
        <v>168.8058</v>
      </c>
    </row>
    <row r="2084" spans="2:3">
      <c r="B2084" s="38">
        <v>41178</v>
      </c>
      <c r="C2084">
        <v>168.47980000000001</v>
      </c>
    </row>
    <row r="2085" spans="2:3">
      <c r="B2085" s="38">
        <v>41179</v>
      </c>
      <c r="C2085">
        <v>169.19829999999999</v>
      </c>
    </row>
    <row r="2086" spans="2:3">
      <c r="B2086" s="38">
        <v>41180</v>
      </c>
      <c r="C2086">
        <v>168.81630000000001</v>
      </c>
    </row>
    <row r="2087" spans="2:3">
      <c r="B2087" s="38">
        <v>41183</v>
      </c>
      <c r="C2087">
        <v>169.0539</v>
      </c>
    </row>
    <row r="2088" spans="2:3">
      <c r="B2088" s="38">
        <v>41184</v>
      </c>
      <c r="C2088">
        <v>169.13480000000001</v>
      </c>
    </row>
    <row r="2089" spans="2:3">
      <c r="B2089" s="38">
        <v>41185</v>
      </c>
      <c r="C2089">
        <v>169.43469999999999</v>
      </c>
    </row>
    <row r="2090" spans="2:3">
      <c r="B2090" s="38">
        <v>41186</v>
      </c>
      <c r="C2090">
        <v>169.81460000000001</v>
      </c>
    </row>
    <row r="2091" spans="2:3">
      <c r="B2091" s="38">
        <v>41187</v>
      </c>
      <c r="C2091">
        <v>169.54769999999999</v>
      </c>
    </row>
    <row r="2092" spans="2:3">
      <c r="B2092" s="38">
        <v>41191</v>
      </c>
      <c r="C2092">
        <v>168.51349999999999</v>
      </c>
    </row>
    <row r="2093" spans="2:3">
      <c r="B2093" s="38">
        <v>41192</v>
      </c>
      <c r="C2093">
        <v>168.072</v>
      </c>
    </row>
    <row r="2094" spans="2:3">
      <c r="B2094" s="38">
        <v>41193</v>
      </c>
      <c r="C2094">
        <v>168.1952</v>
      </c>
    </row>
    <row r="2095" spans="2:3">
      <c r="B2095" s="38">
        <v>41194</v>
      </c>
      <c r="C2095">
        <v>167.95660000000001</v>
      </c>
    </row>
    <row r="2096" spans="2:3">
      <c r="B2096" s="38">
        <v>41197</v>
      </c>
      <c r="C2096">
        <v>168.6842</v>
      </c>
    </row>
    <row r="2097" spans="2:3">
      <c r="B2097" s="38">
        <v>41198</v>
      </c>
      <c r="C2097">
        <v>169.51</v>
      </c>
    </row>
    <row r="2098" spans="2:3">
      <c r="B2098" s="38">
        <v>41199</v>
      </c>
      <c r="C2098">
        <v>169.64750000000001</v>
      </c>
    </row>
    <row r="2099" spans="2:3">
      <c r="B2099" s="38">
        <v>41200</v>
      </c>
      <c r="C2099">
        <v>169.375</v>
      </c>
    </row>
    <row r="2100" spans="2:3">
      <c r="B2100" s="38">
        <v>41201</v>
      </c>
      <c r="C2100">
        <v>168.09460000000001</v>
      </c>
    </row>
    <row r="2101" spans="2:3">
      <c r="B2101" s="38">
        <v>41204</v>
      </c>
      <c r="C2101">
        <v>168.06290000000001</v>
      </c>
    </row>
    <row r="2102" spans="2:3">
      <c r="B2102" s="38">
        <v>41205</v>
      </c>
      <c r="C2102">
        <v>166.96709999999999</v>
      </c>
    </row>
    <row r="2103" spans="2:3">
      <c r="B2103" s="38">
        <v>41206</v>
      </c>
      <c r="C2103">
        <v>166.69649999999999</v>
      </c>
    </row>
    <row r="2104" spans="2:3">
      <c r="B2104" s="38">
        <v>41207</v>
      </c>
      <c r="C2104">
        <v>166.71719999999999</v>
      </c>
    </row>
    <row r="2105" spans="2:3">
      <c r="B2105" s="38">
        <v>41208</v>
      </c>
      <c r="C2105">
        <v>166.90110000000001</v>
      </c>
    </row>
    <row r="2106" spans="2:3">
      <c r="B2106" s="38">
        <v>41213</v>
      </c>
      <c r="C2106">
        <v>167.10810000000001</v>
      </c>
    </row>
    <row r="2107" spans="2:3">
      <c r="B2107" s="38">
        <v>41214</v>
      </c>
      <c r="C2107">
        <v>167.89850000000001</v>
      </c>
    </row>
    <row r="2108" spans="2:3">
      <c r="B2108" s="38">
        <v>41215</v>
      </c>
      <c r="C2108">
        <v>167.13669999999999</v>
      </c>
    </row>
    <row r="2109" spans="2:3">
      <c r="B2109" s="38">
        <v>41218</v>
      </c>
      <c r="C2109">
        <v>167.47499999999999</v>
      </c>
    </row>
    <row r="2110" spans="2:3">
      <c r="B2110" s="38">
        <v>41219</v>
      </c>
      <c r="C2110">
        <v>167.83619999999999</v>
      </c>
    </row>
    <row r="2111" spans="2:3">
      <c r="B2111" s="38">
        <v>41220</v>
      </c>
      <c r="C2111">
        <v>166.34010000000001</v>
      </c>
    </row>
    <row r="2112" spans="2:3">
      <c r="B2112" s="38">
        <v>41221</v>
      </c>
      <c r="C2112">
        <v>165.51730000000001</v>
      </c>
    </row>
    <row r="2113" spans="2:3">
      <c r="B2113" s="38">
        <v>41222</v>
      </c>
      <c r="C2113">
        <v>165.59649999999999</v>
      </c>
    </row>
    <row r="2114" spans="2:3">
      <c r="B2114" s="38">
        <v>41226</v>
      </c>
      <c r="C2114">
        <v>165.4023</v>
      </c>
    </row>
    <row r="2115" spans="2:3">
      <c r="B2115" s="38">
        <v>41227</v>
      </c>
      <c r="C2115">
        <v>164.49690000000001</v>
      </c>
    </row>
    <row r="2116" spans="2:3">
      <c r="B2116" s="38">
        <v>41228</v>
      </c>
      <c r="C2116">
        <v>164.37350000000001</v>
      </c>
    </row>
    <row r="2117" spans="2:3">
      <c r="B2117" s="38">
        <v>41229</v>
      </c>
      <c r="C2117">
        <v>164.7577</v>
      </c>
    </row>
    <row r="2118" spans="2:3">
      <c r="B2118" s="38">
        <v>41232</v>
      </c>
      <c r="C2118">
        <v>165.989</v>
      </c>
    </row>
    <row r="2119" spans="2:3">
      <c r="B2119" s="38">
        <v>41233</v>
      </c>
      <c r="C2119">
        <v>165.9041</v>
      </c>
    </row>
    <row r="2120" spans="2:3">
      <c r="B2120" s="38">
        <v>41234</v>
      </c>
      <c r="C2120">
        <v>165.94739999999999</v>
      </c>
    </row>
    <row r="2121" spans="2:3">
      <c r="B2121" s="38">
        <v>41236</v>
      </c>
      <c r="C2121">
        <v>166.71430000000001</v>
      </c>
    </row>
    <row r="2122" spans="2:3">
      <c r="B2122" s="38">
        <v>41239</v>
      </c>
      <c r="C2122">
        <v>166.68029999999999</v>
      </c>
    </row>
    <row r="2123" spans="2:3">
      <c r="B2123" s="38">
        <v>41240</v>
      </c>
      <c r="C2123">
        <v>166.42580000000001</v>
      </c>
    </row>
    <row r="2124" spans="2:3">
      <c r="B2124" s="38">
        <v>41241</v>
      </c>
      <c r="C2124">
        <v>166.99809999999999</v>
      </c>
    </row>
    <row r="2125" spans="2:3">
      <c r="B2125" s="38">
        <v>41242</v>
      </c>
      <c r="C2125">
        <v>167.2354</v>
      </c>
    </row>
    <row r="2126" spans="2:3">
      <c r="B2126" s="38">
        <v>41243</v>
      </c>
      <c r="C2126">
        <v>167.3032</v>
      </c>
    </row>
    <row r="2127" spans="2:3">
      <c r="B2127" s="38">
        <v>41246</v>
      </c>
      <c r="C2127">
        <v>166.9607</v>
      </c>
    </row>
    <row r="2128" spans="2:3">
      <c r="B2128" s="38">
        <v>41247</v>
      </c>
      <c r="C2128">
        <v>166.9486</v>
      </c>
    </row>
    <row r="2129" spans="2:3">
      <c r="B2129" s="38">
        <v>41248</v>
      </c>
      <c r="C2129">
        <v>167.1242</v>
      </c>
    </row>
    <row r="2130" spans="2:3">
      <c r="B2130" s="38">
        <v>41249</v>
      </c>
      <c r="C2130">
        <v>167.34350000000001</v>
      </c>
    </row>
    <row r="2131" spans="2:3">
      <c r="B2131" s="38">
        <v>41250</v>
      </c>
      <c r="C2131">
        <v>167.39080000000001</v>
      </c>
    </row>
    <row r="2132" spans="2:3">
      <c r="B2132" s="38">
        <v>41253</v>
      </c>
      <c r="C2132">
        <v>167.50280000000001</v>
      </c>
    </row>
    <row r="2133" spans="2:3">
      <c r="B2133" s="38">
        <v>41254</v>
      </c>
      <c r="C2133">
        <v>167.89359999999999</v>
      </c>
    </row>
    <row r="2134" spans="2:3">
      <c r="B2134" s="38">
        <v>41255</v>
      </c>
      <c r="C2134">
        <v>167.78489999999999</v>
      </c>
    </row>
    <row r="2135" spans="2:3">
      <c r="B2135" s="38">
        <v>41256</v>
      </c>
      <c r="C2135">
        <v>167.24799999999999</v>
      </c>
    </row>
    <row r="2136" spans="2:3">
      <c r="B2136" s="38">
        <v>41257</v>
      </c>
      <c r="C2136">
        <v>167.01759999999999</v>
      </c>
    </row>
    <row r="2137" spans="2:3">
      <c r="B2137" s="38">
        <v>41260</v>
      </c>
      <c r="C2137">
        <v>167.68379999999999</v>
      </c>
    </row>
    <row r="2138" spans="2:3">
      <c r="B2138" s="38">
        <v>41261</v>
      </c>
      <c r="C2138">
        <v>168.29939999999999</v>
      </c>
    </row>
    <row r="2139" spans="2:3">
      <c r="B2139" s="38">
        <v>41262</v>
      </c>
      <c r="C2139">
        <v>167.8964</v>
      </c>
    </row>
    <row r="2140" spans="2:3">
      <c r="B2140" s="38">
        <v>41263</v>
      </c>
      <c r="C2140">
        <v>168.27629999999999</v>
      </c>
    </row>
    <row r="2141" spans="2:3">
      <c r="B2141" s="38">
        <v>41264</v>
      </c>
      <c r="C2141">
        <v>167.7089</v>
      </c>
    </row>
    <row r="2142" spans="2:3">
      <c r="B2142" s="38">
        <v>41267</v>
      </c>
      <c r="C2142">
        <v>167.46</v>
      </c>
    </row>
    <row r="2143" spans="2:3">
      <c r="B2143" s="38">
        <v>41269</v>
      </c>
      <c r="C2143">
        <v>167.1474</v>
      </c>
    </row>
    <row r="2144" spans="2:3">
      <c r="B2144" s="38">
        <v>41270</v>
      </c>
      <c r="C2144">
        <v>167.21770000000001</v>
      </c>
    </row>
    <row r="2145" spans="2:3">
      <c r="B2145" s="38">
        <v>41271</v>
      </c>
      <c r="C2145">
        <v>166.42400000000001</v>
      </c>
    </row>
    <row r="2146" spans="2:3">
      <c r="B2146" s="38">
        <v>41274</v>
      </c>
      <c r="C2146">
        <v>167.56219999999999</v>
      </c>
    </row>
    <row r="2147" spans="2:3">
      <c r="B2147" s="38">
        <v>41276</v>
      </c>
      <c r="C2147">
        <v>169.2037</v>
      </c>
    </row>
    <row r="2148" spans="2:3">
      <c r="B2148" s="38">
        <v>41277</v>
      </c>
      <c r="C2148">
        <v>168.84549999999999</v>
      </c>
    </row>
    <row r="2149" spans="2:3">
      <c r="B2149" s="38">
        <v>41278</v>
      </c>
      <c r="C2149">
        <v>169.1275</v>
      </c>
    </row>
    <row r="2150" spans="2:3">
      <c r="B2150" s="38">
        <v>41281</v>
      </c>
      <c r="C2150">
        <v>168.99889999999999</v>
      </c>
    </row>
    <row r="2151" spans="2:3">
      <c r="B2151" s="38">
        <v>41282</v>
      </c>
      <c r="C2151">
        <v>168.88749999999999</v>
      </c>
    </row>
    <row r="2152" spans="2:3">
      <c r="B2152" s="38">
        <v>41283</v>
      </c>
      <c r="C2152">
        <v>169.12799999999999</v>
      </c>
    </row>
    <row r="2153" spans="2:3">
      <c r="B2153" s="38">
        <v>41284</v>
      </c>
      <c r="C2153">
        <v>169.4496</v>
      </c>
    </row>
    <row r="2154" spans="2:3">
      <c r="B2154" s="38">
        <v>41285</v>
      </c>
      <c r="C2154">
        <v>169.51439999999999</v>
      </c>
    </row>
    <row r="2155" spans="2:3">
      <c r="B2155" s="38">
        <v>41288</v>
      </c>
      <c r="C2155">
        <v>169.4956</v>
      </c>
    </row>
    <row r="2156" spans="2:3">
      <c r="B2156" s="38">
        <v>41289</v>
      </c>
      <c r="C2156">
        <v>169.66550000000001</v>
      </c>
    </row>
    <row r="2157" spans="2:3">
      <c r="B2157" s="38">
        <v>41290</v>
      </c>
      <c r="C2157">
        <v>169.6849</v>
      </c>
    </row>
    <row r="2158" spans="2:3">
      <c r="B2158" s="38">
        <v>41291</v>
      </c>
      <c r="C2158">
        <v>169.81780000000001</v>
      </c>
    </row>
    <row r="2159" spans="2:3">
      <c r="B2159" s="38">
        <v>41292</v>
      </c>
      <c r="C2159">
        <v>170.14930000000001</v>
      </c>
    </row>
    <row r="2160" spans="2:3">
      <c r="B2160" s="38">
        <v>41296</v>
      </c>
      <c r="C2160">
        <v>170.52510000000001</v>
      </c>
    </row>
    <row r="2161" spans="2:3">
      <c r="B2161" s="38">
        <v>41297</v>
      </c>
      <c r="C2161">
        <v>170.63419999999999</v>
      </c>
    </row>
    <row r="2162" spans="2:3">
      <c r="B2162" s="38">
        <v>41298</v>
      </c>
      <c r="C2162">
        <v>170.57810000000001</v>
      </c>
    </row>
    <row r="2163" spans="2:3">
      <c r="B2163" s="38">
        <v>41299</v>
      </c>
      <c r="C2163">
        <v>170.57679999999999</v>
      </c>
    </row>
    <row r="2164" spans="2:3">
      <c r="B2164" s="38">
        <v>41302</v>
      </c>
      <c r="C2164">
        <v>170.34950000000001</v>
      </c>
    </row>
    <row r="2165" spans="2:3">
      <c r="B2165" s="38">
        <v>41303</v>
      </c>
      <c r="C2165">
        <v>170.66849999999999</v>
      </c>
    </row>
    <row r="2166" spans="2:3">
      <c r="B2166" s="38">
        <v>41304</v>
      </c>
      <c r="C2166">
        <v>170.2415</v>
      </c>
    </row>
    <row r="2167" spans="2:3">
      <c r="B2167" s="38">
        <v>41305</v>
      </c>
      <c r="C2167">
        <v>170.16290000000001</v>
      </c>
    </row>
    <row r="2168" spans="2:3">
      <c r="B2168" s="38">
        <v>41306</v>
      </c>
      <c r="C2168">
        <v>170.9134</v>
      </c>
    </row>
    <row r="2169" spans="2:3">
      <c r="B2169" s="38">
        <v>41309</v>
      </c>
      <c r="C2169">
        <v>170.03659999999999</v>
      </c>
    </row>
    <row r="2170" spans="2:3">
      <c r="B2170" s="38">
        <v>41310</v>
      </c>
      <c r="C2170">
        <v>170.76339999999999</v>
      </c>
    </row>
    <row r="2171" spans="2:3">
      <c r="B2171" s="38">
        <v>41311</v>
      </c>
      <c r="C2171">
        <v>170.95599999999999</v>
      </c>
    </row>
    <row r="2172" spans="2:3">
      <c r="B2172" s="38">
        <v>41312</v>
      </c>
      <c r="C2172">
        <v>170.86330000000001</v>
      </c>
    </row>
    <row r="2173" spans="2:3">
      <c r="B2173" s="38">
        <v>41313</v>
      </c>
      <c r="C2173">
        <v>171.2688</v>
      </c>
    </row>
    <row r="2174" spans="2:3">
      <c r="B2174" s="38">
        <v>41316</v>
      </c>
      <c r="C2174">
        <v>171.25739999999999</v>
      </c>
    </row>
    <row r="2175" spans="2:3">
      <c r="B2175" s="38">
        <v>41317</v>
      </c>
      <c r="C2175">
        <v>171.26920000000001</v>
      </c>
    </row>
    <row r="2176" spans="2:3">
      <c r="B2176" s="38">
        <v>41318</v>
      </c>
      <c r="C2176">
        <v>171.2252</v>
      </c>
    </row>
    <row r="2177" spans="2:3">
      <c r="B2177" s="38">
        <v>41319</v>
      </c>
      <c r="C2177">
        <v>171.44929999999999</v>
      </c>
    </row>
    <row r="2178" spans="2:3">
      <c r="B2178" s="38">
        <v>41320</v>
      </c>
      <c r="C2178">
        <v>171.3203</v>
      </c>
    </row>
    <row r="2179" spans="2:3">
      <c r="B2179" s="38">
        <v>41324</v>
      </c>
      <c r="C2179">
        <v>171.87530000000001</v>
      </c>
    </row>
    <row r="2180" spans="2:3">
      <c r="B2180" s="38">
        <v>41325</v>
      </c>
      <c r="C2180">
        <v>170.82679999999999</v>
      </c>
    </row>
    <row r="2181" spans="2:3">
      <c r="B2181" s="38">
        <v>41326</v>
      </c>
      <c r="C2181">
        <v>170.42670000000001</v>
      </c>
    </row>
    <row r="2182" spans="2:3">
      <c r="B2182" s="38">
        <v>41327</v>
      </c>
      <c r="C2182">
        <v>171.18700000000001</v>
      </c>
    </row>
    <row r="2183" spans="2:3">
      <c r="B2183" s="38">
        <v>41330</v>
      </c>
      <c r="C2183">
        <v>169.89519999999999</v>
      </c>
    </row>
    <row r="2184" spans="2:3">
      <c r="B2184" s="38">
        <v>41331</v>
      </c>
      <c r="C2184">
        <v>170.44380000000001</v>
      </c>
    </row>
    <row r="2185" spans="2:3">
      <c r="B2185" s="38">
        <v>41332</v>
      </c>
      <c r="C2185">
        <v>171.35730000000001</v>
      </c>
    </row>
    <row r="2186" spans="2:3">
      <c r="B2186" s="38">
        <v>41333</v>
      </c>
      <c r="C2186">
        <v>171.3485</v>
      </c>
    </row>
    <row r="2187" spans="2:3">
      <c r="B2187" s="38">
        <v>41334</v>
      </c>
      <c r="C2187">
        <v>171.63509999999999</v>
      </c>
    </row>
    <row r="2188" spans="2:3">
      <c r="B2188" s="38">
        <v>41337</v>
      </c>
      <c r="C2188">
        <v>171.94909999999999</v>
      </c>
    </row>
    <row r="2189" spans="2:3">
      <c r="B2189" s="38">
        <v>41338</v>
      </c>
      <c r="C2189">
        <v>172.61189999999999</v>
      </c>
    </row>
    <row r="2190" spans="2:3">
      <c r="B2190" s="38">
        <v>41339</v>
      </c>
      <c r="C2190">
        <v>172.52699999999999</v>
      </c>
    </row>
    <row r="2191" spans="2:3">
      <c r="B2191" s="38">
        <v>41340</v>
      </c>
      <c r="C2191">
        <v>172.48759999999999</v>
      </c>
    </row>
    <row r="2192" spans="2:3">
      <c r="B2192" s="38">
        <v>41341</v>
      </c>
      <c r="C2192">
        <v>172.6756</v>
      </c>
    </row>
    <row r="2193" spans="2:3">
      <c r="B2193" s="38">
        <v>41344</v>
      </c>
      <c r="C2193">
        <v>172.9735</v>
      </c>
    </row>
    <row r="2194" spans="2:3">
      <c r="B2194" s="38">
        <v>41345</v>
      </c>
      <c r="C2194">
        <v>172.90170000000001</v>
      </c>
    </row>
    <row r="2195" spans="2:3">
      <c r="B2195" s="38">
        <v>41346</v>
      </c>
      <c r="C2195">
        <v>173.0402</v>
      </c>
    </row>
    <row r="2196" spans="2:3">
      <c r="B2196" s="38">
        <v>41347</v>
      </c>
      <c r="C2196">
        <v>173.4605</v>
      </c>
    </row>
    <row r="2197" spans="2:3">
      <c r="B2197" s="38">
        <v>41348</v>
      </c>
      <c r="C2197">
        <v>173.4435</v>
      </c>
    </row>
    <row r="2198" spans="2:3">
      <c r="B2198" s="38">
        <v>41351</v>
      </c>
      <c r="C2198">
        <v>173.10480000000001</v>
      </c>
    </row>
    <row r="2199" spans="2:3">
      <c r="B2199" s="38">
        <v>41352</v>
      </c>
      <c r="C2199">
        <v>173.0198</v>
      </c>
    </row>
    <row r="2200" spans="2:3">
      <c r="B2200" s="38">
        <v>41353</v>
      </c>
      <c r="C2200">
        <v>173.44450000000001</v>
      </c>
    </row>
    <row r="2201" spans="2:3">
      <c r="B2201" s="38">
        <v>41354</v>
      </c>
      <c r="C2201">
        <v>172.7654</v>
      </c>
    </row>
    <row r="2202" spans="2:3">
      <c r="B2202" s="38">
        <v>41355</v>
      </c>
      <c r="C2202">
        <v>173.4102</v>
      </c>
    </row>
    <row r="2203" spans="2:3">
      <c r="B2203" s="38">
        <v>41358</v>
      </c>
      <c r="C2203">
        <v>173.12809999999999</v>
      </c>
    </row>
    <row r="2204" spans="2:3">
      <c r="B2204" s="38">
        <v>41359</v>
      </c>
      <c r="C2204">
        <v>173.7876</v>
      </c>
    </row>
    <row r="2205" spans="2:3">
      <c r="B2205" s="38">
        <v>41360</v>
      </c>
      <c r="C2205">
        <v>173.8657</v>
      </c>
    </row>
    <row r="2206" spans="2:3">
      <c r="B2206" s="38">
        <v>41361</v>
      </c>
      <c r="C2206">
        <v>174.2062</v>
      </c>
    </row>
    <row r="2207" spans="2:3">
      <c r="B2207" s="38">
        <v>41365</v>
      </c>
      <c r="C2207">
        <v>173.92179999999999</v>
      </c>
    </row>
    <row r="2208" spans="2:3">
      <c r="B2208" s="38">
        <v>41366</v>
      </c>
      <c r="C2208">
        <v>174.34780000000001</v>
      </c>
    </row>
    <row r="2209" spans="2:3">
      <c r="B2209" s="38">
        <v>41367</v>
      </c>
      <c r="C2209">
        <v>173.56389999999999</v>
      </c>
    </row>
    <row r="2210" spans="2:3">
      <c r="B2210" s="38">
        <v>41368</v>
      </c>
      <c r="C2210">
        <v>174.14660000000001</v>
      </c>
    </row>
    <row r="2211" spans="2:3">
      <c r="B2211" s="38">
        <v>41369</v>
      </c>
      <c r="C2211">
        <v>174.01650000000001</v>
      </c>
    </row>
    <row r="2212" spans="2:3">
      <c r="B2212" s="38">
        <v>41372</v>
      </c>
      <c r="C2212">
        <v>174.44929999999999</v>
      </c>
    </row>
    <row r="2213" spans="2:3">
      <c r="B2213" s="38">
        <v>41373</v>
      </c>
      <c r="C2213">
        <v>174.74610000000001</v>
      </c>
    </row>
    <row r="2214" spans="2:3">
      <c r="B2214" s="38">
        <v>41374</v>
      </c>
      <c r="C2214">
        <v>175.71700000000001</v>
      </c>
    </row>
    <row r="2215" spans="2:3">
      <c r="B2215" s="38">
        <v>41375</v>
      </c>
      <c r="C2215">
        <v>176.0968</v>
      </c>
    </row>
    <row r="2216" spans="2:3">
      <c r="B2216" s="38">
        <v>41376</v>
      </c>
      <c r="C2216">
        <v>176.048</v>
      </c>
    </row>
    <row r="2217" spans="2:3">
      <c r="B2217" s="38">
        <v>41379</v>
      </c>
      <c r="C2217">
        <v>174.072</v>
      </c>
    </row>
    <row r="2218" spans="2:3">
      <c r="B2218" s="38">
        <v>41380</v>
      </c>
      <c r="C2218">
        <v>175.31120000000001</v>
      </c>
    </row>
    <row r="2219" spans="2:3">
      <c r="B2219" s="38">
        <v>41381</v>
      </c>
      <c r="C2219">
        <v>174.1456</v>
      </c>
    </row>
    <row r="2220" spans="2:3">
      <c r="B2220" s="38">
        <v>41382</v>
      </c>
      <c r="C2220">
        <v>173.6969</v>
      </c>
    </row>
    <row r="2221" spans="2:3">
      <c r="B2221" s="38">
        <v>41383</v>
      </c>
      <c r="C2221">
        <v>174.2808</v>
      </c>
    </row>
    <row r="2222" spans="2:3">
      <c r="B2222" s="38">
        <v>41386</v>
      </c>
      <c r="C2222">
        <v>174.6574</v>
      </c>
    </row>
    <row r="2223" spans="2:3">
      <c r="B2223" s="38">
        <v>41387</v>
      </c>
      <c r="C2223">
        <v>175.3349</v>
      </c>
    </row>
    <row r="2224" spans="2:3">
      <c r="B2224" s="38">
        <v>41388</v>
      </c>
      <c r="C2224">
        <v>175.3691</v>
      </c>
    </row>
    <row r="2225" spans="2:3">
      <c r="B2225" s="38">
        <v>41389</v>
      </c>
      <c r="C2225">
        <v>175.59399999999999</v>
      </c>
    </row>
    <row r="2226" spans="2:3">
      <c r="B2226" s="38">
        <v>41390</v>
      </c>
      <c r="C2226">
        <v>175.68790000000001</v>
      </c>
    </row>
    <row r="2227" spans="2:3">
      <c r="B2227" s="38">
        <v>41393</v>
      </c>
      <c r="C2227">
        <v>176.2003</v>
      </c>
    </row>
    <row r="2228" spans="2:3">
      <c r="B2228" s="38">
        <v>41394</v>
      </c>
      <c r="C2228">
        <v>176.35429999999999</v>
      </c>
    </row>
    <row r="2229" spans="2:3">
      <c r="B2229" s="38">
        <v>41395</v>
      </c>
      <c r="C2229">
        <v>175.8228</v>
      </c>
    </row>
    <row r="2230" spans="2:3">
      <c r="B2230" s="38">
        <v>41396</v>
      </c>
      <c r="C2230">
        <v>176.52789999999999</v>
      </c>
    </row>
    <row r="2231" spans="2:3">
      <c r="B2231" s="38">
        <v>41397</v>
      </c>
      <c r="C2231">
        <v>176.80439999999999</v>
      </c>
    </row>
    <row r="2232" spans="2:3">
      <c r="B2232" s="38">
        <v>41400</v>
      </c>
      <c r="C2232">
        <v>176.83580000000001</v>
      </c>
    </row>
    <row r="2233" spans="2:3">
      <c r="B2233" s="38">
        <v>41401</v>
      </c>
      <c r="C2233">
        <v>177.1549</v>
      </c>
    </row>
    <row r="2234" spans="2:3">
      <c r="B2234" s="38">
        <v>41402</v>
      </c>
      <c r="C2234">
        <v>177.5197</v>
      </c>
    </row>
    <row r="2235" spans="2:3">
      <c r="B2235" s="38">
        <v>41403</v>
      </c>
      <c r="C2235">
        <v>177.1653</v>
      </c>
    </row>
    <row r="2236" spans="2:3">
      <c r="B2236" s="38">
        <v>41404</v>
      </c>
      <c r="C2236">
        <v>177.05170000000001</v>
      </c>
    </row>
    <row r="2237" spans="2:3">
      <c r="B2237" s="38">
        <v>41407</v>
      </c>
      <c r="C2237">
        <v>176.9391</v>
      </c>
    </row>
    <row r="2238" spans="2:3">
      <c r="B2238" s="38">
        <v>41408</v>
      </c>
      <c r="C2238">
        <v>177.49029999999999</v>
      </c>
    </row>
    <row r="2239" spans="2:3">
      <c r="B2239" s="38">
        <v>41409</v>
      </c>
      <c r="C2239">
        <v>177.91329999999999</v>
      </c>
    </row>
    <row r="2240" spans="2:3">
      <c r="B2240" s="38">
        <v>41410</v>
      </c>
      <c r="C2240">
        <v>177.8672</v>
      </c>
    </row>
    <row r="2241" spans="2:3">
      <c r="B2241" s="38">
        <v>41411</v>
      </c>
      <c r="C2241">
        <v>178.29179999999999</v>
      </c>
    </row>
    <row r="2242" spans="2:3">
      <c r="B2242" s="38">
        <v>41414</v>
      </c>
      <c r="C2242">
        <v>178.1823</v>
      </c>
    </row>
    <row r="2243" spans="2:3">
      <c r="B2243" s="38">
        <v>41415</v>
      </c>
      <c r="C2243">
        <v>178.45050000000001</v>
      </c>
    </row>
    <row r="2244" spans="2:3">
      <c r="B2244" s="38">
        <v>41416</v>
      </c>
      <c r="C2244">
        <v>177.45330000000001</v>
      </c>
    </row>
    <row r="2245" spans="2:3">
      <c r="B2245" s="38">
        <v>41417</v>
      </c>
      <c r="C2245">
        <v>177.20179999999999</v>
      </c>
    </row>
    <row r="2246" spans="2:3">
      <c r="B2246" s="38">
        <v>41418</v>
      </c>
      <c r="C2246">
        <v>177.13910000000001</v>
      </c>
    </row>
    <row r="2247" spans="2:3">
      <c r="B2247" s="38">
        <v>41422</v>
      </c>
      <c r="C2247">
        <v>177.07730000000001</v>
      </c>
    </row>
    <row r="2248" spans="2:3">
      <c r="B2248" s="38">
        <v>41423</v>
      </c>
      <c r="C2248">
        <v>176.5539</v>
      </c>
    </row>
    <row r="2249" spans="2:3">
      <c r="B2249" s="38">
        <v>41424</v>
      </c>
      <c r="C2249">
        <v>176.8426</v>
      </c>
    </row>
    <row r="2250" spans="2:3">
      <c r="B2250" s="38">
        <v>41425</v>
      </c>
      <c r="C2250">
        <v>175.5377</v>
      </c>
    </row>
    <row r="2251" spans="2:3">
      <c r="B2251" s="38">
        <v>41428</v>
      </c>
      <c r="C2251">
        <v>176.07769999999999</v>
      </c>
    </row>
    <row r="2252" spans="2:3">
      <c r="B2252" s="38">
        <v>41429</v>
      </c>
      <c r="C2252">
        <v>175.49549999999999</v>
      </c>
    </row>
    <row r="2253" spans="2:3">
      <c r="B2253" s="38">
        <v>41430</v>
      </c>
      <c r="C2253">
        <v>174.57980000000001</v>
      </c>
    </row>
    <row r="2254" spans="2:3">
      <c r="B2254" s="38">
        <v>41431</v>
      </c>
      <c r="C2254">
        <v>175.3682</v>
      </c>
    </row>
    <row r="2255" spans="2:3">
      <c r="B2255" s="38">
        <v>41432</v>
      </c>
      <c r="C2255">
        <v>175.93469999999999</v>
      </c>
    </row>
    <row r="2256" spans="2:3">
      <c r="B2256" s="38">
        <v>41435</v>
      </c>
      <c r="C2256">
        <v>175.64850000000001</v>
      </c>
    </row>
    <row r="2257" spans="2:3">
      <c r="B2257" s="38">
        <v>41436</v>
      </c>
      <c r="C2257">
        <v>175.05629999999999</v>
      </c>
    </row>
    <row r="2258" spans="2:3">
      <c r="B2258" s="38">
        <v>41437</v>
      </c>
      <c r="C2258">
        <v>174.29730000000001</v>
      </c>
    </row>
    <row r="2259" spans="2:3">
      <c r="B2259" s="38">
        <v>41438</v>
      </c>
      <c r="C2259">
        <v>175.7398</v>
      </c>
    </row>
    <row r="2260" spans="2:3">
      <c r="B2260" s="38">
        <v>41439</v>
      </c>
      <c r="C2260">
        <v>175.55799999999999</v>
      </c>
    </row>
    <row r="2261" spans="2:3">
      <c r="B2261" s="38">
        <v>41442</v>
      </c>
      <c r="C2261">
        <v>175.92590000000001</v>
      </c>
    </row>
    <row r="2262" spans="2:3">
      <c r="B2262" s="38">
        <v>41443</v>
      </c>
      <c r="C2262">
        <v>176.38460000000001</v>
      </c>
    </row>
    <row r="2263" spans="2:3">
      <c r="B2263" s="38">
        <v>41444</v>
      </c>
      <c r="C2263">
        <v>174.69990000000001</v>
      </c>
    </row>
    <row r="2264" spans="2:3">
      <c r="B2264" s="38">
        <v>41445</v>
      </c>
      <c r="C2264">
        <v>172.47409999999999</v>
      </c>
    </row>
    <row r="2265" spans="2:3">
      <c r="B2265" s="38">
        <v>41446</v>
      </c>
      <c r="C2265">
        <v>172.06800000000001</v>
      </c>
    </row>
    <row r="2266" spans="2:3">
      <c r="B2266" s="38">
        <v>41449</v>
      </c>
      <c r="C2266">
        <v>171.2243</v>
      </c>
    </row>
    <row r="2267" spans="2:3">
      <c r="B2267" s="38">
        <v>41450</v>
      </c>
      <c r="C2267">
        <v>171.55439999999999</v>
      </c>
    </row>
    <row r="2268" spans="2:3">
      <c r="B2268" s="38">
        <v>41451</v>
      </c>
      <c r="C2268">
        <v>172.3364</v>
      </c>
    </row>
    <row r="2269" spans="2:3">
      <c r="B2269" s="38">
        <v>41452</v>
      </c>
      <c r="C2269">
        <v>173.1103</v>
      </c>
    </row>
    <row r="2270" spans="2:3">
      <c r="B2270" s="38">
        <v>41453</v>
      </c>
      <c r="C2270">
        <v>173.0247</v>
      </c>
    </row>
    <row r="2271" spans="2:3">
      <c r="B2271" s="38">
        <v>41456</v>
      </c>
      <c r="C2271">
        <v>173.2473</v>
      </c>
    </row>
    <row r="2272" spans="2:3">
      <c r="B2272" s="38">
        <v>41457</v>
      </c>
      <c r="C2272">
        <v>173.2482</v>
      </c>
    </row>
    <row r="2273" spans="2:3">
      <c r="B2273" s="38">
        <v>41458</v>
      </c>
      <c r="C2273">
        <v>172.9529</v>
      </c>
    </row>
    <row r="2274" spans="2:3">
      <c r="B2274" s="38">
        <v>41460</v>
      </c>
      <c r="C2274">
        <v>171.2679</v>
      </c>
    </row>
    <row r="2275" spans="2:3">
      <c r="B2275" s="38">
        <v>41463</v>
      </c>
      <c r="C2275">
        <v>172.1207</v>
      </c>
    </row>
    <row r="2276" spans="2:3">
      <c r="B2276" s="38">
        <v>41464</v>
      </c>
      <c r="C2276">
        <v>172.4659</v>
      </c>
    </row>
    <row r="2277" spans="2:3">
      <c r="B2277" s="38">
        <v>41465</v>
      </c>
      <c r="C2277">
        <v>172.0943</v>
      </c>
    </row>
    <row r="2278" spans="2:3">
      <c r="B2278" s="38">
        <v>41466</v>
      </c>
      <c r="C2278">
        <v>173.17769999999999</v>
      </c>
    </row>
    <row r="2279" spans="2:3">
      <c r="B2279" s="38">
        <v>41467</v>
      </c>
      <c r="C2279">
        <v>173.02350000000001</v>
      </c>
    </row>
    <row r="2280" spans="2:3">
      <c r="B2280" s="38">
        <v>41470</v>
      </c>
      <c r="C2280">
        <v>173.48220000000001</v>
      </c>
    </row>
    <row r="2281" spans="2:3">
      <c r="B2281" s="38">
        <v>41471</v>
      </c>
      <c r="C2281">
        <v>173.5925</v>
      </c>
    </row>
    <row r="2282" spans="2:3">
      <c r="B2282" s="38">
        <v>41472</v>
      </c>
      <c r="C2282">
        <v>173.98910000000001</v>
      </c>
    </row>
    <row r="2283" spans="2:3">
      <c r="B2283" s="38">
        <v>41473</v>
      </c>
      <c r="C2283">
        <v>173.77260000000001</v>
      </c>
    </row>
    <row r="2284" spans="2:3">
      <c r="B2284" s="38">
        <v>41474</v>
      </c>
      <c r="C2284">
        <v>174.23480000000001</v>
      </c>
    </row>
    <row r="2285" spans="2:3">
      <c r="B2285" s="38">
        <v>41477</v>
      </c>
      <c r="C2285">
        <v>174.31399999999999</v>
      </c>
    </row>
    <row r="2286" spans="2:3">
      <c r="B2286" s="38">
        <v>41478</v>
      </c>
      <c r="C2286">
        <v>174.05860000000001</v>
      </c>
    </row>
    <row r="2287" spans="2:3">
      <c r="B2287" s="38">
        <v>41479</v>
      </c>
      <c r="C2287">
        <v>173.4863</v>
      </c>
    </row>
    <row r="2288" spans="2:3">
      <c r="B2288" s="38">
        <v>41480</v>
      </c>
      <c r="C2288">
        <v>173.4213</v>
      </c>
    </row>
    <row r="2289" spans="2:3">
      <c r="B2289" s="38">
        <v>41481</v>
      </c>
      <c r="C2289">
        <v>173.9015</v>
      </c>
    </row>
    <row r="2290" spans="2:3">
      <c r="B2290" s="38">
        <v>41484</v>
      </c>
      <c r="C2290">
        <v>173.68539999999999</v>
      </c>
    </row>
    <row r="2291" spans="2:3">
      <c r="B2291" s="38">
        <v>41485</v>
      </c>
      <c r="C2291">
        <v>173.5933</v>
      </c>
    </row>
    <row r="2292" spans="2:3">
      <c r="B2292" s="38">
        <v>41486</v>
      </c>
      <c r="C2292">
        <v>173.76169999999999</v>
      </c>
    </row>
    <row r="2293" spans="2:3">
      <c r="B2293" s="38">
        <v>41487</v>
      </c>
      <c r="C2293">
        <v>172.88470000000001</v>
      </c>
    </row>
    <row r="2294" spans="2:3">
      <c r="B2294" s="38">
        <v>41488</v>
      </c>
      <c r="C2294">
        <v>173.92259999999999</v>
      </c>
    </row>
    <row r="2295" spans="2:3">
      <c r="B2295" s="38">
        <v>41491</v>
      </c>
      <c r="C2295">
        <v>173.68299999999999</v>
      </c>
    </row>
    <row r="2296" spans="2:3">
      <c r="B2296" s="38">
        <v>41492</v>
      </c>
      <c r="C2296">
        <v>173.5188</v>
      </c>
    </row>
    <row r="2297" spans="2:3">
      <c r="B2297" s="38">
        <v>41493</v>
      </c>
      <c r="C2297">
        <v>173.7355</v>
      </c>
    </row>
    <row r="2298" spans="2:3">
      <c r="B2298" s="38">
        <v>41494</v>
      </c>
      <c r="C2298">
        <v>173.9453</v>
      </c>
    </row>
    <row r="2299" spans="2:3">
      <c r="B2299" s="38">
        <v>41495</v>
      </c>
      <c r="C2299">
        <v>173.99039999999999</v>
      </c>
    </row>
    <row r="2300" spans="2:3">
      <c r="B2300" s="38">
        <v>41498</v>
      </c>
      <c r="C2300">
        <v>173.8186</v>
      </c>
    </row>
    <row r="2301" spans="2:3">
      <c r="B2301" s="38">
        <v>41499</v>
      </c>
      <c r="C2301">
        <v>173.12629999999999</v>
      </c>
    </row>
    <row r="2302" spans="2:3">
      <c r="B2302" s="38">
        <v>41500</v>
      </c>
      <c r="C2302">
        <v>173.1105</v>
      </c>
    </row>
    <row r="2303" spans="2:3">
      <c r="B2303" s="38">
        <v>41501</v>
      </c>
      <c r="C2303">
        <v>172.4084</v>
      </c>
    </row>
    <row r="2304" spans="2:3">
      <c r="B2304" s="38">
        <v>41502</v>
      </c>
      <c r="C2304">
        <v>171.76990000000001</v>
      </c>
    </row>
    <row r="2305" spans="2:3">
      <c r="B2305" s="38">
        <v>41505</v>
      </c>
      <c r="C2305">
        <v>171.1671</v>
      </c>
    </row>
    <row r="2306" spans="2:3">
      <c r="B2306" s="38">
        <v>41506</v>
      </c>
      <c r="C2306">
        <v>171.7723</v>
      </c>
    </row>
    <row r="2307" spans="2:3">
      <c r="B2307" s="38">
        <v>41507</v>
      </c>
      <c r="C2307">
        <v>171.28020000000001</v>
      </c>
    </row>
    <row r="2308" spans="2:3">
      <c r="B2308" s="38">
        <v>41508</v>
      </c>
      <c r="C2308">
        <v>171.3716</v>
      </c>
    </row>
    <row r="2309" spans="2:3">
      <c r="B2309" s="38">
        <v>41509</v>
      </c>
      <c r="C2309">
        <v>172.08439999999999</v>
      </c>
    </row>
    <row r="2310" spans="2:3">
      <c r="B2310" s="38">
        <v>41512</v>
      </c>
      <c r="C2310">
        <v>172.09549999999999</v>
      </c>
    </row>
    <row r="2311" spans="2:3">
      <c r="B2311" s="38">
        <v>41513</v>
      </c>
      <c r="C2311">
        <v>171.64259999999999</v>
      </c>
    </row>
    <row r="2312" spans="2:3">
      <c r="B2312" s="38">
        <v>41514</v>
      </c>
      <c r="C2312">
        <v>171.4539</v>
      </c>
    </row>
    <row r="2313" spans="2:3">
      <c r="B2313" s="38">
        <v>41515</v>
      </c>
      <c r="C2313">
        <v>171.80369999999999</v>
      </c>
    </row>
    <row r="2314" spans="2:3">
      <c r="B2314" s="38">
        <v>41516</v>
      </c>
      <c r="C2314">
        <v>171.59209999999999</v>
      </c>
    </row>
    <row r="2315" spans="2:3">
      <c r="B2315" s="38">
        <v>41520</v>
      </c>
      <c r="C2315">
        <v>171.4521</v>
      </c>
    </row>
    <row r="2316" spans="2:3">
      <c r="B2316" s="38">
        <v>41521</v>
      </c>
      <c r="C2316">
        <v>171.7894</v>
      </c>
    </row>
    <row r="2317" spans="2:3">
      <c r="B2317" s="38">
        <v>41522</v>
      </c>
      <c r="C2317">
        <v>171.37389999999999</v>
      </c>
    </row>
    <row r="2318" spans="2:3">
      <c r="B2318" s="38">
        <v>41523</v>
      </c>
      <c r="C2318">
        <v>171.66669999999999</v>
      </c>
    </row>
    <row r="2319" spans="2:3">
      <c r="B2319" s="38">
        <v>41526</v>
      </c>
      <c r="C2319">
        <v>172.7285</v>
      </c>
    </row>
    <row r="2320" spans="2:3">
      <c r="B2320" s="38">
        <v>41527</v>
      </c>
      <c r="C2320">
        <v>173.0206</v>
      </c>
    </row>
    <row r="2321" spans="2:3">
      <c r="B2321" s="38">
        <v>41528</v>
      </c>
      <c r="C2321">
        <v>173.49359999999999</v>
      </c>
    </row>
    <row r="2322" spans="2:3">
      <c r="B2322" s="38">
        <v>41529</v>
      </c>
      <c r="C2322">
        <v>173.3082</v>
      </c>
    </row>
    <row r="2323" spans="2:3">
      <c r="B2323" s="38">
        <v>41530</v>
      </c>
      <c r="C2323">
        <v>173.5223</v>
      </c>
    </row>
    <row r="2324" spans="2:3">
      <c r="B2324" s="38">
        <v>41533</v>
      </c>
      <c r="C2324">
        <v>174.14940000000001</v>
      </c>
    </row>
    <row r="2325" spans="2:3">
      <c r="B2325" s="38">
        <v>41534</v>
      </c>
      <c r="C2325">
        <v>174.5993</v>
      </c>
    </row>
    <row r="2326" spans="2:3">
      <c r="B2326" s="38">
        <v>41535</v>
      </c>
      <c r="C2326">
        <v>176.32599999999999</v>
      </c>
    </row>
    <row r="2327" spans="2:3">
      <c r="B2327" s="38">
        <v>41536</v>
      </c>
      <c r="C2327">
        <v>175.99600000000001</v>
      </c>
    </row>
    <row r="2328" spans="2:3">
      <c r="B2328" s="38">
        <v>41537</v>
      </c>
      <c r="C2328">
        <v>175.4864</v>
      </c>
    </row>
    <row r="2329" spans="2:3">
      <c r="B2329" s="38">
        <v>41540</v>
      </c>
      <c r="C2329">
        <v>175.2792</v>
      </c>
    </row>
    <row r="2330" spans="2:3">
      <c r="B2330" s="38">
        <v>41541</v>
      </c>
      <c r="C2330">
        <v>175.47790000000001</v>
      </c>
    </row>
    <row r="2331" spans="2:3">
      <c r="B2331" s="38">
        <v>41542</v>
      </c>
      <c r="C2331">
        <v>175.4837</v>
      </c>
    </row>
    <row r="2332" spans="2:3">
      <c r="B2332" s="38">
        <v>41543</v>
      </c>
      <c r="C2332">
        <v>175.5626</v>
      </c>
    </row>
    <row r="2333" spans="2:3">
      <c r="B2333" s="38">
        <v>41544</v>
      </c>
      <c r="C2333">
        <v>175.39760000000001</v>
      </c>
    </row>
    <row r="2334" spans="2:3">
      <c r="B2334" s="38">
        <v>41547</v>
      </c>
      <c r="C2334">
        <v>174.98060000000001</v>
      </c>
    </row>
    <row r="2335" spans="2:3">
      <c r="B2335" s="38">
        <v>41548</v>
      </c>
      <c r="C2335">
        <v>175.429</v>
      </c>
    </row>
    <row r="2336" spans="2:3">
      <c r="B2336" s="38">
        <v>41549</v>
      </c>
      <c r="C2336">
        <v>175.48099999999999</v>
      </c>
    </row>
    <row r="2337" spans="2:3">
      <c r="B2337" s="38">
        <v>41550</v>
      </c>
      <c r="C2337">
        <v>174.89619999999999</v>
      </c>
    </row>
    <row r="2338" spans="2:3">
      <c r="B2338" s="38">
        <v>41551</v>
      </c>
      <c r="C2338">
        <v>175.2704</v>
      </c>
    </row>
    <row r="2339" spans="2:3">
      <c r="B2339" s="38">
        <v>41554</v>
      </c>
      <c r="C2339">
        <v>174.6927</v>
      </c>
    </row>
    <row r="2340" spans="2:3">
      <c r="B2340" s="38">
        <v>41555</v>
      </c>
      <c r="C2340">
        <v>173.7672</v>
      </c>
    </row>
    <row r="2341" spans="2:3">
      <c r="B2341" s="38">
        <v>41556</v>
      </c>
      <c r="C2341">
        <v>173.7792</v>
      </c>
    </row>
    <row r="2342" spans="2:3">
      <c r="B2342" s="38">
        <v>41557</v>
      </c>
      <c r="C2342">
        <v>175.19630000000001</v>
      </c>
    </row>
    <row r="2343" spans="2:3">
      <c r="B2343" s="38">
        <v>41558</v>
      </c>
      <c r="C2343">
        <v>175.68879999999999</v>
      </c>
    </row>
    <row r="2344" spans="2:3">
      <c r="B2344" s="38">
        <v>41562</v>
      </c>
      <c r="C2344">
        <v>175.34</v>
      </c>
    </row>
    <row r="2345" spans="2:3">
      <c r="B2345" s="38">
        <v>41563</v>
      </c>
      <c r="C2345">
        <v>176.4751</v>
      </c>
    </row>
    <row r="2346" spans="2:3">
      <c r="B2346" s="38">
        <v>41564</v>
      </c>
      <c r="C2346">
        <v>177.36449999999999</v>
      </c>
    </row>
    <row r="2347" spans="2:3">
      <c r="B2347" s="38">
        <v>41565</v>
      </c>
      <c r="C2347">
        <v>177.709</v>
      </c>
    </row>
    <row r="2348" spans="2:3">
      <c r="B2348" s="38">
        <v>41568</v>
      </c>
      <c r="C2348">
        <v>177.59450000000001</v>
      </c>
    </row>
    <row r="2349" spans="2:3">
      <c r="B2349" s="38">
        <v>41569</v>
      </c>
      <c r="C2349">
        <v>178.45959999999999</v>
      </c>
    </row>
    <row r="2350" spans="2:3">
      <c r="B2350" s="38">
        <v>41570</v>
      </c>
      <c r="C2350">
        <v>178.26679999999999</v>
      </c>
    </row>
    <row r="2351" spans="2:3">
      <c r="B2351" s="38">
        <v>41571</v>
      </c>
      <c r="C2351">
        <v>178.28299999999999</v>
      </c>
    </row>
    <row r="2352" spans="2:3">
      <c r="B2352" s="38">
        <v>41572</v>
      </c>
      <c r="C2352">
        <v>178.66820000000001</v>
      </c>
    </row>
    <row r="2353" spans="2:3">
      <c r="B2353" s="38">
        <v>41575</v>
      </c>
      <c r="C2353">
        <v>178.73580000000001</v>
      </c>
    </row>
    <row r="2354" spans="2:3">
      <c r="B2354" s="38">
        <v>41576</v>
      </c>
      <c r="C2354">
        <v>179.06469999999999</v>
      </c>
    </row>
    <row r="2355" spans="2:3">
      <c r="B2355" s="38">
        <v>41577</v>
      </c>
      <c r="C2355">
        <v>178.67189999999999</v>
      </c>
    </row>
    <row r="2356" spans="2:3">
      <c r="B2356" s="38">
        <v>41578</v>
      </c>
      <c r="C2356">
        <v>178.43620000000001</v>
      </c>
    </row>
    <row r="2357" spans="2:3">
      <c r="B2357" s="38">
        <v>41579</v>
      </c>
      <c r="C2357">
        <v>178.22200000000001</v>
      </c>
    </row>
    <row r="2358" spans="2:3">
      <c r="B2358" s="38">
        <v>41582</v>
      </c>
      <c r="C2358">
        <v>178.5487</v>
      </c>
    </row>
    <row r="2359" spans="2:3">
      <c r="B2359" s="38">
        <v>41583</v>
      </c>
      <c r="C2359">
        <v>178.0411</v>
      </c>
    </row>
    <row r="2360" spans="2:3">
      <c r="B2360" s="38">
        <v>41584</v>
      </c>
      <c r="C2360">
        <v>178.47980000000001</v>
      </c>
    </row>
    <row r="2361" spans="2:3">
      <c r="B2361" s="38">
        <v>41585</v>
      </c>
      <c r="C2361">
        <v>177.79159999999999</v>
      </c>
    </row>
    <row r="2362" spans="2:3">
      <c r="B2362" s="38">
        <v>41586</v>
      </c>
      <c r="C2362">
        <v>177.97380000000001</v>
      </c>
    </row>
    <row r="2363" spans="2:3">
      <c r="B2363" s="38">
        <v>41590</v>
      </c>
      <c r="C2363">
        <v>177.774</v>
      </c>
    </row>
    <row r="2364" spans="2:3">
      <c r="B2364" s="38">
        <v>41591</v>
      </c>
      <c r="C2364">
        <v>178.55869999999999</v>
      </c>
    </row>
    <row r="2365" spans="2:3">
      <c r="B2365" s="38">
        <v>41592</v>
      </c>
      <c r="C2365">
        <v>179.148</v>
      </c>
    </row>
    <row r="2366" spans="2:3">
      <c r="B2366" s="38">
        <v>41593</v>
      </c>
      <c r="C2366">
        <v>179.51169999999999</v>
      </c>
    </row>
    <row r="2367" spans="2:3">
      <c r="B2367" s="38">
        <v>41596</v>
      </c>
      <c r="C2367">
        <v>179.4599</v>
      </c>
    </row>
    <row r="2368" spans="2:3">
      <c r="B2368" s="38">
        <v>41597</v>
      </c>
      <c r="C2368">
        <v>179.13480000000001</v>
      </c>
    </row>
    <row r="2369" spans="2:3">
      <c r="B2369" s="38">
        <v>41598</v>
      </c>
      <c r="C2369">
        <v>178.6061</v>
      </c>
    </row>
    <row r="2370" spans="2:3">
      <c r="B2370" s="38">
        <v>41599</v>
      </c>
      <c r="C2370">
        <v>179.2704</v>
      </c>
    </row>
    <row r="2371" spans="2:3">
      <c r="B2371" s="38">
        <v>41600</v>
      </c>
      <c r="C2371">
        <v>179.72329999999999</v>
      </c>
    </row>
    <row r="2372" spans="2:3">
      <c r="B2372" s="38">
        <v>41603</v>
      </c>
      <c r="C2372">
        <v>179.68629999999999</v>
      </c>
    </row>
    <row r="2373" spans="2:3">
      <c r="B2373" s="38">
        <v>41604</v>
      </c>
      <c r="C2373">
        <v>179.8605</v>
      </c>
    </row>
    <row r="2374" spans="2:3">
      <c r="B2374" s="38">
        <v>41605</v>
      </c>
      <c r="C2374">
        <v>179.84010000000001</v>
      </c>
    </row>
    <row r="2375" spans="2:3">
      <c r="B2375" s="38">
        <v>41607</v>
      </c>
      <c r="C2375">
        <v>179.76609999999999</v>
      </c>
    </row>
    <row r="2376" spans="2:3">
      <c r="B2376" s="38">
        <v>41610</v>
      </c>
      <c r="C2376">
        <v>179.27369999999999</v>
      </c>
    </row>
    <row r="2377" spans="2:3">
      <c r="B2377" s="38">
        <v>41611</v>
      </c>
      <c r="C2377">
        <v>179.1155</v>
      </c>
    </row>
    <row r="2378" spans="2:3">
      <c r="B2378" s="38">
        <v>41612</v>
      </c>
      <c r="C2378">
        <v>178.73769999999999</v>
      </c>
    </row>
    <row r="2379" spans="2:3">
      <c r="B2379" s="38">
        <v>41613</v>
      </c>
      <c r="C2379">
        <v>178.3237</v>
      </c>
    </row>
    <row r="2380" spans="2:3">
      <c r="B2380" s="38">
        <v>41614</v>
      </c>
      <c r="C2380">
        <v>179.22569999999999</v>
      </c>
    </row>
    <row r="2381" spans="2:3">
      <c r="B2381" s="38">
        <v>41617</v>
      </c>
      <c r="C2381">
        <v>179.54560000000001</v>
      </c>
    </row>
    <row r="2382" spans="2:3">
      <c r="B2382" s="38">
        <v>41618</v>
      </c>
      <c r="C2382">
        <v>179.53149999999999</v>
      </c>
    </row>
    <row r="2383" spans="2:3">
      <c r="B2383" s="38">
        <v>41619</v>
      </c>
      <c r="C2383">
        <v>178.3107</v>
      </c>
    </row>
    <row r="2384" spans="2:3">
      <c r="B2384" s="38">
        <v>41620</v>
      </c>
      <c r="C2384">
        <v>177.84440000000001</v>
      </c>
    </row>
    <row r="2385" spans="2:3">
      <c r="B2385" s="38">
        <v>41621</v>
      </c>
      <c r="C2385">
        <v>177.89830000000001</v>
      </c>
    </row>
    <row r="2386" spans="2:3">
      <c r="B2386" s="38">
        <v>41624</v>
      </c>
      <c r="C2386">
        <v>178.44839999999999</v>
      </c>
    </row>
    <row r="2387" spans="2:3">
      <c r="B2387" s="38">
        <v>41625</v>
      </c>
      <c r="C2387">
        <v>178.30670000000001</v>
      </c>
    </row>
    <row r="2388" spans="2:3">
      <c r="B2388" s="38">
        <v>41626</v>
      </c>
      <c r="C2388">
        <v>179.81659999999999</v>
      </c>
    </row>
    <row r="2389" spans="2:3">
      <c r="B2389" s="38">
        <v>41627</v>
      </c>
      <c r="C2389">
        <v>179.61320000000001</v>
      </c>
    </row>
    <row r="2390" spans="2:3">
      <c r="B2390" s="38">
        <v>41628</v>
      </c>
      <c r="C2390">
        <v>180.23249999999999</v>
      </c>
    </row>
    <row r="2391" spans="2:3">
      <c r="B2391" s="38">
        <v>41631</v>
      </c>
      <c r="C2391">
        <v>180.6251</v>
      </c>
    </row>
    <row r="2392" spans="2:3">
      <c r="B2392" s="38">
        <v>41632</v>
      </c>
      <c r="C2392">
        <v>180.65790000000001</v>
      </c>
    </row>
    <row r="2393" spans="2:3">
      <c r="B2393" s="38">
        <v>41634</v>
      </c>
      <c r="C2393">
        <v>181.07509999999999</v>
      </c>
    </row>
    <row r="2394" spans="2:3">
      <c r="B2394" s="38">
        <v>41635</v>
      </c>
      <c r="C2394">
        <v>181.02420000000001</v>
      </c>
    </row>
    <row r="2395" spans="2:3">
      <c r="B2395" s="38">
        <v>41638</v>
      </c>
      <c r="C2395">
        <v>181.17160000000001</v>
      </c>
    </row>
    <row r="2396" spans="2:3">
      <c r="B2396" s="38">
        <v>41639</v>
      </c>
      <c r="C2396">
        <v>181.44069999999999</v>
      </c>
    </row>
    <row r="2397" spans="2:3">
      <c r="B2397" s="38">
        <v>41641</v>
      </c>
      <c r="C2397">
        <v>180.66970000000001</v>
      </c>
    </row>
    <row r="2398" spans="2:3">
      <c r="B2398" s="38">
        <v>41642</v>
      </c>
      <c r="C2398">
        <v>180.6095</v>
      </c>
    </row>
    <row r="2399" spans="2:3">
      <c r="B2399" s="38">
        <v>41645</v>
      </c>
      <c r="C2399">
        <v>180.55260000000001</v>
      </c>
    </row>
    <row r="2400" spans="2:3">
      <c r="B2400" s="38">
        <v>41646</v>
      </c>
      <c r="C2400">
        <v>181.17070000000001</v>
      </c>
    </row>
    <row r="2401" spans="2:3">
      <c r="B2401" s="38">
        <v>41647</v>
      </c>
      <c r="C2401">
        <v>180.87950000000001</v>
      </c>
    </row>
    <row r="2402" spans="2:3">
      <c r="B2402" s="38">
        <v>41648</v>
      </c>
      <c r="C2402">
        <v>181.00129999999999</v>
      </c>
    </row>
    <row r="2403" spans="2:3">
      <c r="B2403" s="38">
        <v>41649</v>
      </c>
      <c r="C2403">
        <v>181.70500000000001</v>
      </c>
    </row>
    <row r="2404" spans="2:3">
      <c r="B2404" s="38">
        <v>41652</v>
      </c>
      <c r="C2404">
        <v>180.7269</v>
      </c>
    </row>
    <row r="2405" spans="2:3">
      <c r="B2405" s="38">
        <v>41653</v>
      </c>
      <c r="C2405">
        <v>181.54480000000001</v>
      </c>
    </row>
    <row r="2406" spans="2:3">
      <c r="B2406" s="38">
        <v>41654</v>
      </c>
      <c r="C2406">
        <v>181.9572</v>
      </c>
    </row>
    <row r="2407" spans="2:3">
      <c r="B2407" s="38">
        <v>41655</v>
      </c>
      <c r="C2407">
        <v>181.99850000000001</v>
      </c>
    </row>
    <row r="2408" spans="2:3">
      <c r="B2408" s="38">
        <v>41656</v>
      </c>
      <c r="C2408">
        <v>181.73169999999999</v>
      </c>
    </row>
    <row r="2409" spans="2:3">
      <c r="B2409" s="38">
        <v>41660</v>
      </c>
      <c r="C2409">
        <v>182.01429999999999</v>
      </c>
    </row>
    <row r="2410" spans="2:3">
      <c r="B2410" s="38">
        <v>41661</v>
      </c>
      <c r="C2410">
        <v>181.88079999999999</v>
      </c>
    </row>
    <row r="2411" spans="2:3">
      <c r="B2411" s="38">
        <v>41662</v>
      </c>
      <c r="C2411">
        <v>181.3143</v>
      </c>
    </row>
    <row r="2412" spans="2:3">
      <c r="B2412" s="38">
        <v>41663</v>
      </c>
      <c r="C2412">
        <v>179.28200000000001</v>
      </c>
    </row>
    <row r="2413" spans="2:3">
      <c r="B2413" s="38">
        <v>41666</v>
      </c>
      <c r="C2413">
        <v>178.67959999999999</v>
      </c>
    </row>
    <row r="2414" spans="2:3">
      <c r="B2414" s="38">
        <v>41667</v>
      </c>
      <c r="C2414">
        <v>179.37729999999999</v>
      </c>
    </row>
    <row r="2415" spans="2:3">
      <c r="B2415" s="38">
        <v>41668</v>
      </c>
      <c r="C2415">
        <v>178.68719999999999</v>
      </c>
    </row>
    <row r="2416" spans="2:3">
      <c r="B2416" s="38">
        <v>41669</v>
      </c>
      <c r="C2416">
        <v>179.58009999999999</v>
      </c>
    </row>
    <row r="2417" spans="2:3">
      <c r="B2417" s="38">
        <v>41670</v>
      </c>
      <c r="C2417">
        <v>179.1901</v>
      </c>
    </row>
    <row r="2418" spans="2:3">
      <c r="B2418" s="38">
        <v>41673</v>
      </c>
      <c r="C2418">
        <v>177.8657</v>
      </c>
    </row>
    <row r="2419" spans="2:3">
      <c r="B2419" s="38">
        <v>41674</v>
      </c>
      <c r="C2419">
        <v>178.25239999999999</v>
      </c>
    </row>
    <row r="2420" spans="2:3">
      <c r="B2420" s="38">
        <v>41675</v>
      </c>
      <c r="C2420">
        <v>177.8991</v>
      </c>
    </row>
    <row r="2421" spans="2:3">
      <c r="B2421" s="38">
        <v>41676</v>
      </c>
      <c r="C2421">
        <v>178.61109999999999</v>
      </c>
    </row>
    <row r="2422" spans="2:3">
      <c r="B2422" s="38">
        <v>41677</v>
      </c>
      <c r="C2422">
        <v>179.73159999999999</v>
      </c>
    </row>
    <row r="2423" spans="2:3">
      <c r="B2423" s="38">
        <v>41680</v>
      </c>
      <c r="C2423">
        <v>179.8494</v>
      </c>
    </row>
    <row r="2424" spans="2:3">
      <c r="B2424" s="38">
        <v>41681</v>
      </c>
      <c r="C2424">
        <v>180.273</v>
      </c>
    </row>
    <row r="2425" spans="2:3">
      <c r="B2425" s="38">
        <v>41682</v>
      </c>
      <c r="C2425">
        <v>179.99189999999999</v>
      </c>
    </row>
    <row r="2426" spans="2:3">
      <c r="B2426" s="38">
        <v>41683</v>
      </c>
      <c r="C2426">
        <v>180.6645</v>
      </c>
    </row>
    <row r="2427" spans="2:3">
      <c r="B2427" s="38">
        <v>41684</v>
      </c>
      <c r="C2427">
        <v>180.86969999999999</v>
      </c>
    </row>
    <row r="2428" spans="2:3">
      <c r="B2428" s="38">
        <v>41688</v>
      </c>
      <c r="C2428">
        <v>181.13630000000001</v>
      </c>
    </row>
    <row r="2429" spans="2:3">
      <c r="B2429" s="38">
        <v>41689</v>
      </c>
      <c r="C2429">
        <v>180.55240000000001</v>
      </c>
    </row>
    <row r="2430" spans="2:3">
      <c r="B2430" s="38">
        <v>41690</v>
      </c>
      <c r="C2430">
        <v>180.8373</v>
      </c>
    </row>
    <row r="2431" spans="2:3">
      <c r="B2431" s="38">
        <v>41691</v>
      </c>
      <c r="C2431">
        <v>180.85300000000001</v>
      </c>
    </row>
    <row r="2432" spans="2:3">
      <c r="B2432" s="38">
        <v>41694</v>
      </c>
      <c r="C2432">
        <v>181.1944</v>
      </c>
    </row>
    <row r="2433" spans="2:3">
      <c r="B2433" s="38">
        <v>41695</v>
      </c>
      <c r="C2433">
        <v>181.41630000000001</v>
      </c>
    </row>
    <row r="2434" spans="2:3">
      <c r="B2434" s="38">
        <v>41696</v>
      </c>
      <c r="C2434">
        <v>181.5598</v>
      </c>
    </row>
    <row r="2435" spans="2:3">
      <c r="B2435" s="38">
        <v>41697</v>
      </c>
      <c r="C2435">
        <v>182.0813</v>
      </c>
    </row>
    <row r="2436" spans="2:3">
      <c r="B2436" s="38">
        <v>41698</v>
      </c>
      <c r="C2436">
        <v>182.1902</v>
      </c>
    </row>
    <row r="2437" spans="2:3">
      <c r="B2437" s="38">
        <v>41701</v>
      </c>
      <c r="C2437">
        <v>181.84880000000001</v>
      </c>
    </row>
    <row r="2438" spans="2:3">
      <c r="B2438" s="38">
        <v>41702</v>
      </c>
      <c r="C2438">
        <v>182.63749999999999</v>
      </c>
    </row>
    <row r="2439" spans="2:3">
      <c r="B2439" s="38">
        <v>41703</v>
      </c>
      <c r="C2439">
        <v>182.6431</v>
      </c>
    </row>
    <row r="2440" spans="2:3">
      <c r="B2440" s="38">
        <v>41704</v>
      </c>
      <c r="C2440">
        <v>182.58189999999999</v>
      </c>
    </row>
    <row r="2441" spans="2:3">
      <c r="B2441" s="38">
        <v>41705</v>
      </c>
      <c r="C2441">
        <v>182.34370000000001</v>
      </c>
    </row>
    <row r="2442" spans="2:3">
      <c r="B2442" s="38">
        <v>41708</v>
      </c>
      <c r="C2442">
        <v>182.37430000000001</v>
      </c>
    </row>
    <row r="2443" spans="2:3">
      <c r="B2443" s="38">
        <v>41709</v>
      </c>
      <c r="C2443">
        <v>182.05439999999999</v>
      </c>
    </row>
    <row r="2444" spans="2:3">
      <c r="B2444" s="38">
        <v>41710</v>
      </c>
      <c r="C2444">
        <v>182.2407</v>
      </c>
    </row>
    <row r="2445" spans="2:3">
      <c r="B2445" s="38">
        <v>41711</v>
      </c>
      <c r="C2445">
        <v>181.66929999999999</v>
      </c>
    </row>
    <row r="2446" spans="2:3">
      <c r="B2446" s="38">
        <v>41712</v>
      </c>
      <c r="C2446">
        <v>181.4427</v>
      </c>
    </row>
    <row r="2447" spans="2:3">
      <c r="B2447" s="38">
        <v>41715</v>
      </c>
      <c r="C2447">
        <v>181.9999</v>
      </c>
    </row>
    <row r="2448" spans="2:3">
      <c r="B2448" s="38">
        <v>41716</v>
      </c>
      <c r="C2448">
        <v>182.69579999999999</v>
      </c>
    </row>
    <row r="2449" spans="2:3">
      <c r="B2449" s="38">
        <v>41717</v>
      </c>
      <c r="C2449">
        <v>181.71209999999999</v>
      </c>
    </row>
    <row r="2450" spans="2:3">
      <c r="B2450" s="38">
        <v>41718</v>
      </c>
      <c r="C2450">
        <v>182.14099999999999</v>
      </c>
    </row>
    <row r="2451" spans="2:3">
      <c r="B2451" s="38">
        <v>41719</v>
      </c>
      <c r="C2451">
        <v>182.1199</v>
      </c>
    </row>
    <row r="2452" spans="2:3">
      <c r="B2452" s="38">
        <v>41722</v>
      </c>
      <c r="C2452">
        <v>181.78809999999999</v>
      </c>
    </row>
    <row r="2453" spans="2:3">
      <c r="B2453" s="38">
        <v>41723</v>
      </c>
      <c r="C2453">
        <v>182.14160000000001</v>
      </c>
    </row>
    <row r="2454" spans="2:3">
      <c r="B2454" s="38">
        <v>41724</v>
      </c>
      <c r="C2454">
        <v>181.76949999999999</v>
      </c>
    </row>
    <row r="2455" spans="2:3">
      <c r="B2455" s="38">
        <v>41725</v>
      </c>
      <c r="C2455">
        <v>181.7396</v>
      </c>
    </row>
    <row r="2456" spans="2:3">
      <c r="B2456" s="38">
        <v>41726</v>
      </c>
      <c r="C2456">
        <v>181.95249999999999</v>
      </c>
    </row>
    <row r="2457" spans="2:3">
      <c r="B2457" s="38">
        <v>41729</v>
      </c>
      <c r="C2457">
        <v>182.59020000000001</v>
      </c>
    </row>
    <row r="2458" spans="2:3">
      <c r="B2458" s="38">
        <v>41730</v>
      </c>
      <c r="C2458">
        <v>183.077</v>
      </c>
    </row>
    <row r="2459" spans="2:3">
      <c r="B2459" s="38">
        <v>41731</v>
      </c>
      <c r="C2459">
        <v>183.10169999999999</v>
      </c>
    </row>
    <row r="2460" spans="2:3">
      <c r="B2460" s="38">
        <v>41732</v>
      </c>
      <c r="C2460">
        <v>183.09299999999999</v>
      </c>
    </row>
    <row r="2461" spans="2:3">
      <c r="B2461" s="38">
        <v>41733</v>
      </c>
      <c r="C2461">
        <v>182.21559999999999</v>
      </c>
    </row>
    <row r="2462" spans="2:3">
      <c r="B2462" s="38">
        <v>41736</v>
      </c>
      <c r="C2462">
        <v>181.35140000000001</v>
      </c>
    </row>
    <row r="2463" spans="2:3">
      <c r="B2463" s="38">
        <v>41737</v>
      </c>
      <c r="C2463">
        <v>181.77459999999999</v>
      </c>
    </row>
    <row r="2464" spans="2:3">
      <c r="B2464" s="38">
        <v>41738</v>
      </c>
      <c r="C2464">
        <v>182.8527</v>
      </c>
    </row>
    <row r="2465" spans="2:3">
      <c r="B2465" s="38">
        <v>41739</v>
      </c>
      <c r="C2465">
        <v>181.14940000000001</v>
      </c>
    </row>
    <row r="2466" spans="2:3">
      <c r="B2466" s="38">
        <v>41740</v>
      </c>
      <c r="C2466">
        <v>180.3323</v>
      </c>
    </row>
    <row r="2467" spans="2:3">
      <c r="B2467" s="38">
        <v>41743</v>
      </c>
      <c r="C2467">
        <v>180.92019999999999</v>
      </c>
    </row>
    <row r="2468" spans="2:3">
      <c r="B2468" s="38">
        <v>41744</v>
      </c>
      <c r="C2468">
        <v>181.43940000000001</v>
      </c>
    </row>
    <row r="2469" spans="2:3">
      <c r="B2469" s="38">
        <v>41745</v>
      </c>
      <c r="C2469">
        <v>182.19980000000001</v>
      </c>
    </row>
    <row r="2470" spans="2:3">
      <c r="B2470" s="38">
        <v>41746</v>
      </c>
      <c r="C2470">
        <v>181.9684</v>
      </c>
    </row>
    <row r="2471" spans="2:3">
      <c r="B2471" s="38">
        <v>41750</v>
      </c>
      <c r="C2471">
        <v>182.2671</v>
      </c>
    </row>
    <row r="2472" spans="2:3">
      <c r="B2472" s="38">
        <v>41751</v>
      </c>
      <c r="C2472">
        <v>182.61959999999999</v>
      </c>
    </row>
    <row r="2473" spans="2:3">
      <c r="B2473" s="38">
        <v>41752</v>
      </c>
      <c r="C2473">
        <v>182.6703</v>
      </c>
    </row>
    <row r="2474" spans="2:3">
      <c r="B2474" s="38">
        <v>41753</v>
      </c>
      <c r="C2474">
        <v>182.8125</v>
      </c>
    </row>
    <row r="2475" spans="2:3">
      <c r="B2475" s="38">
        <v>41754</v>
      </c>
      <c r="C2475">
        <v>182.28309999999999</v>
      </c>
    </row>
    <row r="2476" spans="2:3">
      <c r="B2476" s="38">
        <v>41757</v>
      </c>
      <c r="C2476">
        <v>182.52420000000001</v>
      </c>
    </row>
    <row r="2477" spans="2:3">
      <c r="B2477" s="38">
        <v>41758</v>
      </c>
      <c r="C2477">
        <v>182.80240000000001</v>
      </c>
    </row>
    <row r="2478" spans="2:3">
      <c r="B2478" s="38">
        <v>41759</v>
      </c>
      <c r="C2478">
        <v>183.3229</v>
      </c>
    </row>
    <row r="2479" spans="2:3">
      <c r="B2479" s="38">
        <v>41760</v>
      </c>
      <c r="C2479">
        <v>183.52019999999999</v>
      </c>
    </row>
    <row r="2480" spans="2:3">
      <c r="B2480" s="38">
        <v>41761</v>
      </c>
      <c r="C2480">
        <v>183.45490000000001</v>
      </c>
    </row>
    <row r="2481" spans="2:3">
      <c r="B2481" s="38">
        <v>41764</v>
      </c>
      <c r="C2481">
        <v>183.51920000000001</v>
      </c>
    </row>
    <row r="2482" spans="2:3">
      <c r="B2482" s="38">
        <v>41765</v>
      </c>
      <c r="C2482">
        <v>182.90870000000001</v>
      </c>
    </row>
    <row r="2483" spans="2:3">
      <c r="B2483" s="38">
        <v>41766</v>
      </c>
      <c r="C2483">
        <v>183.4819</v>
      </c>
    </row>
    <row r="2484" spans="2:3">
      <c r="B2484" s="38">
        <v>41767</v>
      </c>
      <c r="C2484">
        <v>183.44329999999999</v>
      </c>
    </row>
    <row r="2485" spans="2:3">
      <c r="B2485" s="38">
        <v>41768</v>
      </c>
      <c r="C2485">
        <v>183.441</v>
      </c>
    </row>
    <row r="2486" spans="2:3">
      <c r="B2486" s="38">
        <v>41771</v>
      </c>
      <c r="C2486">
        <v>184.18170000000001</v>
      </c>
    </row>
    <row r="2487" spans="2:3">
      <c r="B2487" s="38">
        <v>41772</v>
      </c>
      <c r="C2487">
        <v>184.3801</v>
      </c>
    </row>
    <row r="2488" spans="2:3">
      <c r="B2488" s="38">
        <v>41773</v>
      </c>
      <c r="C2488">
        <v>184.31370000000001</v>
      </c>
    </row>
    <row r="2489" spans="2:3">
      <c r="B2489" s="38">
        <v>41774</v>
      </c>
      <c r="C2489">
        <v>183.5805</v>
      </c>
    </row>
    <row r="2490" spans="2:3">
      <c r="B2490" s="38">
        <v>41775</v>
      </c>
      <c r="C2490">
        <v>183.846</v>
      </c>
    </row>
    <row r="2491" spans="2:3">
      <c r="B2491" s="38">
        <v>41778</v>
      </c>
      <c r="C2491">
        <v>184.1361</v>
      </c>
    </row>
    <row r="2492" spans="2:3">
      <c r="B2492" s="38">
        <v>41779</v>
      </c>
      <c r="C2492">
        <v>183.6557</v>
      </c>
    </row>
    <row r="2493" spans="2:3">
      <c r="B2493" s="38">
        <v>41780</v>
      </c>
      <c r="C2493">
        <v>184.3449</v>
      </c>
    </row>
    <row r="2494" spans="2:3">
      <c r="B2494" s="38">
        <v>41781</v>
      </c>
      <c r="C2494">
        <v>184.5222</v>
      </c>
    </row>
    <row r="2495" spans="2:3">
      <c r="B2495" s="38">
        <v>41782</v>
      </c>
      <c r="C2495">
        <v>185.01439999999999</v>
      </c>
    </row>
    <row r="2496" spans="2:3">
      <c r="B2496" s="38">
        <v>41786</v>
      </c>
      <c r="C2496">
        <v>185.67769999999999</v>
      </c>
    </row>
    <row r="2497" spans="2:3">
      <c r="B2497" s="38">
        <v>41787</v>
      </c>
      <c r="C2497">
        <v>185.90969999999999</v>
      </c>
    </row>
    <row r="2498" spans="2:3">
      <c r="B2498" s="38">
        <v>41788</v>
      </c>
      <c r="C2498">
        <v>186.31559999999999</v>
      </c>
    </row>
    <row r="2499" spans="2:3">
      <c r="B2499" s="38">
        <v>41789</v>
      </c>
      <c r="C2499">
        <v>186.44839999999999</v>
      </c>
    </row>
    <row r="2500" spans="2:3">
      <c r="B2500" s="38">
        <v>41792</v>
      </c>
      <c r="C2500">
        <v>186.2045</v>
      </c>
    </row>
    <row r="2501" spans="2:3">
      <c r="B2501" s="38">
        <v>41793</v>
      </c>
      <c r="C2501">
        <v>185.93340000000001</v>
      </c>
    </row>
    <row r="2502" spans="2:3">
      <c r="B2502" s="38">
        <v>41794</v>
      </c>
      <c r="C2502">
        <v>186.07329999999999</v>
      </c>
    </row>
    <row r="2503" spans="2:3">
      <c r="B2503" s="38">
        <v>41795</v>
      </c>
      <c r="C2503">
        <v>186.84299999999999</v>
      </c>
    </row>
    <row r="2504" spans="2:3">
      <c r="B2504" s="38">
        <v>41796</v>
      </c>
      <c r="C2504">
        <v>187.29310000000001</v>
      </c>
    </row>
    <row r="2505" spans="2:3">
      <c r="B2505" s="38">
        <v>41799</v>
      </c>
      <c r="C2505">
        <v>187.3117</v>
      </c>
    </row>
    <row r="2506" spans="2:3">
      <c r="B2506" s="38">
        <v>41800</v>
      </c>
      <c r="C2506">
        <v>187.19470000000001</v>
      </c>
    </row>
    <row r="2507" spans="2:3">
      <c r="B2507" s="38">
        <v>41801</v>
      </c>
      <c r="C2507">
        <v>186.82769999999999</v>
      </c>
    </row>
    <row r="2508" spans="2:3">
      <c r="B2508" s="38">
        <v>41802</v>
      </c>
      <c r="C2508">
        <v>186.21</v>
      </c>
    </row>
    <row r="2509" spans="2:3">
      <c r="B2509" s="38">
        <v>41803</v>
      </c>
      <c r="C2509">
        <v>186.53469999999999</v>
      </c>
    </row>
    <row r="2510" spans="2:3">
      <c r="B2510" s="38">
        <v>41806</v>
      </c>
      <c r="C2510">
        <v>186.66229999999999</v>
      </c>
    </row>
    <row r="2511" spans="2:3">
      <c r="B2511" s="38">
        <v>41807</v>
      </c>
      <c r="C2511">
        <v>186.79580000000001</v>
      </c>
    </row>
    <row r="2512" spans="2:3">
      <c r="B2512" s="38">
        <v>41808</v>
      </c>
      <c r="C2512">
        <v>187.93809999999999</v>
      </c>
    </row>
    <row r="2513" spans="2:3">
      <c r="B2513" s="38">
        <v>41809</v>
      </c>
      <c r="C2513">
        <v>188.14279999999999</v>
      </c>
    </row>
    <row r="2514" spans="2:3">
      <c r="B2514" s="38">
        <v>41810</v>
      </c>
      <c r="C2514">
        <v>188.37649999999999</v>
      </c>
    </row>
    <row r="2515" spans="2:3">
      <c r="B2515" s="38">
        <v>41813</v>
      </c>
      <c r="C2515">
        <v>188.38589999999999</v>
      </c>
    </row>
    <row r="2516" spans="2:3">
      <c r="B2516" s="38">
        <v>41814</v>
      </c>
      <c r="C2516">
        <v>187.6139</v>
      </c>
    </row>
    <row r="2517" spans="2:3">
      <c r="B2517" s="38">
        <v>41815</v>
      </c>
      <c r="C2517">
        <v>188.35419999999999</v>
      </c>
    </row>
    <row r="2518" spans="2:3">
      <c r="B2518" s="38">
        <v>41816</v>
      </c>
      <c r="C2518">
        <v>188.28389999999999</v>
      </c>
    </row>
    <row r="2519" spans="2:3">
      <c r="B2519" s="38">
        <v>41817</v>
      </c>
      <c r="C2519">
        <v>188.51830000000001</v>
      </c>
    </row>
    <row r="2520" spans="2:3">
      <c r="B2520" s="38">
        <v>41820</v>
      </c>
      <c r="C2520">
        <v>188.52799999999999</v>
      </c>
    </row>
    <row r="2521" spans="2:3">
      <c r="B2521" s="38">
        <v>41821</v>
      </c>
      <c r="C2521">
        <v>189.2903</v>
      </c>
    </row>
    <row r="2522" spans="2:3">
      <c r="B2522" s="38">
        <v>41822</v>
      </c>
      <c r="C2522">
        <v>189.2089</v>
      </c>
    </row>
    <row r="2523" spans="2:3">
      <c r="B2523" s="38">
        <v>41823</v>
      </c>
      <c r="C2523">
        <v>189.87379999999999</v>
      </c>
    </row>
    <row r="2524" spans="2:3">
      <c r="B2524" s="38">
        <v>41827</v>
      </c>
      <c r="C2524">
        <v>189.39</v>
      </c>
    </row>
    <row r="2525" spans="2:3">
      <c r="B2525" s="38">
        <v>41828</v>
      </c>
      <c r="C2525">
        <v>188.52510000000001</v>
      </c>
    </row>
    <row r="2526" spans="2:3">
      <c r="B2526" s="38">
        <v>41829</v>
      </c>
      <c r="C2526">
        <v>189.21430000000001</v>
      </c>
    </row>
    <row r="2527" spans="2:3">
      <c r="B2527" s="38">
        <v>41830</v>
      </c>
      <c r="C2527">
        <v>188.6865</v>
      </c>
    </row>
    <row r="2528" spans="2:3">
      <c r="B2528" s="38">
        <v>41831</v>
      </c>
      <c r="C2528">
        <v>188.92660000000001</v>
      </c>
    </row>
    <row r="2529" spans="2:3">
      <c r="B2529" s="38">
        <v>41834</v>
      </c>
      <c r="C2529">
        <v>189.52719999999999</v>
      </c>
    </row>
    <row r="2530" spans="2:3">
      <c r="B2530" s="38">
        <v>41835</v>
      </c>
      <c r="C2530">
        <v>189.2311</v>
      </c>
    </row>
    <row r="2531" spans="2:3">
      <c r="B2531" s="38">
        <v>41836</v>
      </c>
      <c r="C2531">
        <v>189.8485</v>
      </c>
    </row>
    <row r="2532" spans="2:3">
      <c r="B2532" s="38">
        <v>41837</v>
      </c>
      <c r="C2532">
        <v>188.22980000000001</v>
      </c>
    </row>
    <row r="2533" spans="2:3">
      <c r="B2533" s="38">
        <v>41838</v>
      </c>
      <c r="C2533">
        <v>189.69550000000001</v>
      </c>
    </row>
    <row r="2534" spans="2:3">
      <c r="B2534" s="38">
        <v>41841</v>
      </c>
      <c r="C2534">
        <v>189.38140000000001</v>
      </c>
    </row>
    <row r="2535" spans="2:3">
      <c r="B2535" s="38">
        <v>41842</v>
      </c>
      <c r="C2535">
        <v>190.09899999999999</v>
      </c>
    </row>
    <row r="2536" spans="2:3">
      <c r="B2536" s="38">
        <v>41843</v>
      </c>
      <c r="C2536">
        <v>190.315</v>
      </c>
    </row>
    <row r="2537" spans="2:3">
      <c r="B2537" s="38">
        <v>41844</v>
      </c>
      <c r="C2537">
        <v>190.2193</v>
      </c>
    </row>
    <row r="2538" spans="2:3">
      <c r="B2538" s="38">
        <v>41845</v>
      </c>
      <c r="C2538">
        <v>189.76439999999999</v>
      </c>
    </row>
    <row r="2539" spans="2:3">
      <c r="B2539" s="38">
        <v>41848</v>
      </c>
      <c r="C2539">
        <v>189.74119999999999</v>
      </c>
    </row>
    <row r="2540" spans="2:3">
      <c r="B2540" s="38">
        <v>41849</v>
      </c>
      <c r="C2540">
        <v>189.28139999999999</v>
      </c>
    </row>
    <row r="2541" spans="2:3">
      <c r="B2541" s="38">
        <v>41850</v>
      </c>
      <c r="C2541">
        <v>188.99680000000001</v>
      </c>
    </row>
    <row r="2542" spans="2:3">
      <c r="B2542" s="38">
        <v>41851</v>
      </c>
      <c r="C2542">
        <v>186.57910000000001</v>
      </c>
    </row>
    <row r="2543" spans="2:3">
      <c r="B2543" s="38">
        <v>41852</v>
      </c>
      <c r="C2543">
        <v>186.39359999999999</v>
      </c>
    </row>
    <row r="2544" spans="2:3">
      <c r="B2544" s="38">
        <v>41855</v>
      </c>
      <c r="C2544">
        <v>187.31219999999999</v>
      </c>
    </row>
    <row r="2545" spans="2:3">
      <c r="B2545" s="38">
        <v>41856</v>
      </c>
      <c r="C2545">
        <v>186.23580000000001</v>
      </c>
    </row>
    <row r="2546" spans="2:3">
      <c r="B2546" s="38">
        <v>41857</v>
      </c>
      <c r="C2546">
        <v>186.25399999999999</v>
      </c>
    </row>
    <row r="2547" spans="2:3">
      <c r="B2547" s="38">
        <v>41858</v>
      </c>
      <c r="C2547">
        <v>185.8742</v>
      </c>
    </row>
    <row r="2548" spans="2:3">
      <c r="B2548" s="38">
        <v>41859</v>
      </c>
      <c r="C2548">
        <v>186.9862</v>
      </c>
    </row>
    <row r="2549" spans="2:3">
      <c r="B2549" s="38">
        <v>41862</v>
      </c>
      <c r="C2549">
        <v>187.2371</v>
      </c>
    </row>
    <row r="2550" spans="2:3">
      <c r="B2550" s="38">
        <v>41863</v>
      </c>
      <c r="C2550">
        <v>187.03890000000001</v>
      </c>
    </row>
    <row r="2551" spans="2:3">
      <c r="B2551" s="38">
        <v>41864</v>
      </c>
      <c r="C2551">
        <v>187.82550000000001</v>
      </c>
    </row>
    <row r="2552" spans="2:3">
      <c r="B2552" s="38">
        <v>41865</v>
      </c>
      <c r="C2552">
        <v>188.34200000000001</v>
      </c>
    </row>
    <row r="2553" spans="2:3">
      <c r="B2553" s="38">
        <v>41866</v>
      </c>
      <c r="C2553">
        <v>188.56559999999999</v>
      </c>
    </row>
    <row r="2554" spans="2:3">
      <c r="B2554" s="38">
        <v>41869</v>
      </c>
      <c r="C2554">
        <v>189.10810000000001</v>
      </c>
    </row>
    <row r="2555" spans="2:3">
      <c r="B2555" s="38">
        <v>41870</v>
      </c>
      <c r="C2555">
        <v>189.45179999999999</v>
      </c>
    </row>
    <row r="2556" spans="2:3">
      <c r="B2556" s="38">
        <v>41871</v>
      </c>
      <c r="C2556">
        <v>189.5438</v>
      </c>
    </row>
    <row r="2557" spans="2:3">
      <c r="B2557" s="38">
        <v>41872</v>
      </c>
      <c r="C2557">
        <v>189.95590000000001</v>
      </c>
    </row>
    <row r="2558" spans="2:3">
      <c r="B2558" s="38">
        <v>41873</v>
      </c>
      <c r="C2558">
        <v>189.77520000000001</v>
      </c>
    </row>
    <row r="2559" spans="2:3">
      <c r="B2559" s="38">
        <v>41876</v>
      </c>
      <c r="C2559">
        <v>190.29140000000001</v>
      </c>
    </row>
    <row r="2560" spans="2:3">
      <c r="B2560" s="38">
        <v>41877</v>
      </c>
      <c r="C2560">
        <v>190.38509999999999</v>
      </c>
    </row>
    <row r="2561" spans="2:3">
      <c r="B2561" s="38">
        <v>41878</v>
      </c>
      <c r="C2561">
        <v>190.52979999999999</v>
      </c>
    </row>
    <row r="2562" spans="2:3">
      <c r="B2562" s="38">
        <v>41879</v>
      </c>
      <c r="C2562">
        <v>190.4933</v>
      </c>
    </row>
    <row r="2563" spans="2:3">
      <c r="B2563" s="38">
        <v>41880</v>
      </c>
      <c r="C2563">
        <v>190.7852</v>
      </c>
    </row>
    <row r="2564" spans="2:3">
      <c r="B2564" s="38">
        <v>41884</v>
      </c>
      <c r="C2564">
        <v>190.4444</v>
      </c>
    </row>
    <row r="2565" spans="2:3">
      <c r="B2565" s="38">
        <v>41885</v>
      </c>
      <c r="C2565">
        <v>190.44220000000001</v>
      </c>
    </row>
    <row r="2566" spans="2:3">
      <c r="B2566" s="38">
        <v>41886</v>
      </c>
      <c r="C2566">
        <v>190.13630000000001</v>
      </c>
    </row>
    <row r="2567" spans="2:3">
      <c r="B2567" s="38">
        <v>41887</v>
      </c>
      <c r="C2567">
        <v>190.6379</v>
      </c>
    </row>
    <row r="2568" spans="2:3">
      <c r="B2568" s="38">
        <v>41890</v>
      </c>
      <c r="C2568">
        <v>190.29689999999999</v>
      </c>
    </row>
    <row r="2569" spans="2:3">
      <c r="B2569" s="38">
        <v>41891</v>
      </c>
      <c r="C2569">
        <v>189.43719999999999</v>
      </c>
    </row>
    <row r="2570" spans="2:3">
      <c r="B2570" s="38">
        <v>41892</v>
      </c>
      <c r="C2570">
        <v>189.6782</v>
      </c>
    </row>
    <row r="2571" spans="2:3">
      <c r="B2571" s="38">
        <v>41893</v>
      </c>
      <c r="C2571">
        <v>189.78749999999999</v>
      </c>
    </row>
    <row r="2572" spans="2:3">
      <c r="B2572" s="38">
        <v>41894</v>
      </c>
      <c r="C2572">
        <v>188.8742</v>
      </c>
    </row>
    <row r="2573" spans="2:3">
      <c r="B2573" s="38">
        <v>41897</v>
      </c>
      <c r="C2573">
        <v>188.85910000000001</v>
      </c>
    </row>
    <row r="2574" spans="2:3">
      <c r="B2574" s="38">
        <v>41898</v>
      </c>
      <c r="C2574">
        <v>189.6369</v>
      </c>
    </row>
    <row r="2575" spans="2:3">
      <c r="B2575" s="38">
        <v>41899</v>
      </c>
      <c r="C2575">
        <v>189.7236</v>
      </c>
    </row>
    <row r="2576" spans="2:3">
      <c r="B2576" s="38">
        <v>41900</v>
      </c>
      <c r="C2576">
        <v>190.18270000000001</v>
      </c>
    </row>
    <row r="2577" spans="2:3">
      <c r="B2577" s="38">
        <v>41901</v>
      </c>
      <c r="C2577">
        <v>190.3338</v>
      </c>
    </row>
    <row r="2578" spans="2:3">
      <c r="B2578" s="38">
        <v>41904</v>
      </c>
      <c r="C2578">
        <v>189.5943</v>
      </c>
    </row>
    <row r="2579" spans="2:3">
      <c r="B2579" s="38">
        <v>41905</v>
      </c>
      <c r="C2579">
        <v>189.11250000000001</v>
      </c>
    </row>
    <row r="2580" spans="2:3">
      <c r="B2580" s="38">
        <v>41906</v>
      </c>
      <c r="C2580">
        <v>189.77520000000001</v>
      </c>
    </row>
    <row r="2581" spans="2:3">
      <c r="B2581" s="38">
        <v>41907</v>
      </c>
      <c r="C2581">
        <v>188.35730000000001</v>
      </c>
    </row>
    <row r="2582" spans="2:3">
      <c r="B2582" s="38">
        <v>41908</v>
      </c>
      <c r="C2582">
        <v>189.0651</v>
      </c>
    </row>
    <row r="2583" spans="2:3">
      <c r="B2583" s="38">
        <v>41911</v>
      </c>
      <c r="C2583">
        <v>188.9041</v>
      </c>
    </row>
    <row r="2584" spans="2:3">
      <c r="B2584" s="38">
        <v>41912</v>
      </c>
      <c r="C2584">
        <v>188.6163</v>
      </c>
    </row>
    <row r="2585" spans="2:3">
      <c r="B2585" s="38">
        <v>41913</v>
      </c>
      <c r="C2585">
        <v>187.74979999999999</v>
      </c>
    </row>
    <row r="2586" spans="2:3">
      <c r="B2586" s="38">
        <v>41914</v>
      </c>
      <c r="C2586">
        <v>187.67140000000001</v>
      </c>
    </row>
    <row r="2587" spans="2:3">
      <c r="B2587" s="38">
        <v>41915</v>
      </c>
      <c r="C2587">
        <v>188.7345</v>
      </c>
    </row>
    <row r="2588" spans="2:3">
      <c r="B2588" s="38">
        <v>41918</v>
      </c>
      <c r="C2588">
        <v>188.70939999999999</v>
      </c>
    </row>
    <row r="2589" spans="2:3">
      <c r="B2589" s="38">
        <v>41919</v>
      </c>
      <c r="C2589">
        <v>187.6721</v>
      </c>
    </row>
    <row r="2590" spans="2:3">
      <c r="B2590" s="38">
        <v>41920</v>
      </c>
      <c r="C2590">
        <v>189.45699999999999</v>
      </c>
    </row>
    <row r="2591" spans="2:3">
      <c r="B2591" s="38">
        <v>41921</v>
      </c>
      <c r="C2591">
        <v>187.66810000000001</v>
      </c>
    </row>
    <row r="2592" spans="2:3">
      <c r="B2592" s="38">
        <v>41922</v>
      </c>
      <c r="C2592">
        <v>186.84719999999999</v>
      </c>
    </row>
    <row r="2593" spans="2:3">
      <c r="B2593" s="38">
        <v>41926</v>
      </c>
      <c r="C2593">
        <v>186.2961</v>
      </c>
    </row>
    <row r="2594" spans="2:3">
      <c r="B2594" s="38">
        <v>41927</v>
      </c>
      <c r="C2594">
        <v>186.36160000000001</v>
      </c>
    </row>
    <row r="2595" spans="2:3">
      <c r="B2595" s="38">
        <v>41928</v>
      </c>
      <c r="C2595">
        <v>185.99039999999999</v>
      </c>
    </row>
    <row r="2596" spans="2:3">
      <c r="B2596" s="38">
        <v>41929</v>
      </c>
      <c r="C2596">
        <v>186.63990000000001</v>
      </c>
    </row>
    <row r="2597" spans="2:3">
      <c r="B2597" s="38">
        <v>41932</v>
      </c>
      <c r="C2597">
        <v>187.35640000000001</v>
      </c>
    </row>
    <row r="2598" spans="2:3">
      <c r="B2598" s="38">
        <v>41933</v>
      </c>
      <c r="C2598">
        <v>188.4359</v>
      </c>
    </row>
    <row r="2599" spans="2:3">
      <c r="B2599" s="38">
        <v>41934</v>
      </c>
      <c r="C2599">
        <v>187.8689</v>
      </c>
    </row>
    <row r="2600" spans="2:3">
      <c r="B2600" s="38">
        <v>41935</v>
      </c>
      <c r="C2600">
        <v>188.25309999999999</v>
      </c>
    </row>
    <row r="2601" spans="2:3">
      <c r="B2601" s="38">
        <v>41936</v>
      </c>
      <c r="C2601">
        <v>188.63310000000001</v>
      </c>
    </row>
    <row r="2602" spans="2:3">
      <c r="B2602" s="38">
        <v>41939</v>
      </c>
      <c r="C2602">
        <v>188.68389999999999</v>
      </c>
    </row>
    <row r="2603" spans="2:3">
      <c r="B2603" s="38">
        <v>41940</v>
      </c>
      <c r="C2603">
        <v>189.20150000000001</v>
      </c>
    </row>
    <row r="2604" spans="2:3">
      <c r="B2604" s="38">
        <v>41941</v>
      </c>
      <c r="C2604">
        <v>188.84739999999999</v>
      </c>
    </row>
    <row r="2605" spans="2:3">
      <c r="B2605" s="38">
        <v>41942</v>
      </c>
      <c r="C2605">
        <v>189.29949999999999</v>
      </c>
    </row>
    <row r="2606" spans="2:3">
      <c r="B2606" s="38">
        <v>41943</v>
      </c>
      <c r="C2606">
        <v>189.81299999999999</v>
      </c>
    </row>
    <row r="2607" spans="2:3">
      <c r="B2607" s="38">
        <v>41946</v>
      </c>
      <c r="C2607">
        <v>189.71889999999999</v>
      </c>
    </row>
    <row r="2608" spans="2:3">
      <c r="B2608" s="38">
        <v>41947</v>
      </c>
      <c r="C2608">
        <v>189.58179999999999</v>
      </c>
    </row>
    <row r="2609" spans="2:3">
      <c r="B2609" s="38">
        <v>41948</v>
      </c>
      <c r="C2609">
        <v>189.86070000000001</v>
      </c>
    </row>
    <row r="2610" spans="2:3">
      <c r="B2610" s="38">
        <v>41949</v>
      </c>
      <c r="C2610">
        <v>189.9486</v>
      </c>
    </row>
    <row r="2611" spans="2:3">
      <c r="B2611" s="38">
        <v>41950</v>
      </c>
      <c r="C2611">
        <v>190.3186</v>
      </c>
    </row>
    <row r="2612" spans="2:3">
      <c r="B2612" s="38">
        <v>41953</v>
      </c>
      <c r="C2612">
        <v>190.30940000000001</v>
      </c>
    </row>
    <row r="2613" spans="2:3">
      <c r="B2613" s="38">
        <v>41955</v>
      </c>
      <c r="C2613">
        <v>190.37700000000001</v>
      </c>
    </row>
    <row r="2614" spans="2:3">
      <c r="B2614" s="38">
        <v>41956</v>
      </c>
      <c r="C2614">
        <v>190.48990000000001</v>
      </c>
    </row>
    <row r="2615" spans="2:3">
      <c r="B2615" s="38">
        <v>41957</v>
      </c>
      <c r="C2615">
        <v>190.6414</v>
      </c>
    </row>
    <row r="2616" spans="2:3">
      <c r="B2616" s="38">
        <v>41960</v>
      </c>
      <c r="C2616">
        <v>190.61349999999999</v>
      </c>
    </row>
    <row r="2617" spans="2:3">
      <c r="B2617" s="38">
        <v>41961</v>
      </c>
      <c r="C2617">
        <v>191.06970000000001</v>
      </c>
    </row>
    <row r="2618" spans="2:3">
      <c r="B2618" s="38">
        <v>41962</v>
      </c>
      <c r="C2618">
        <v>190.82849999999999</v>
      </c>
    </row>
    <row r="2619" spans="2:3">
      <c r="B2619" s="38">
        <v>41963</v>
      </c>
      <c r="C2619">
        <v>191.10380000000001</v>
      </c>
    </row>
    <row r="2620" spans="2:3">
      <c r="B2620" s="38">
        <v>41964</v>
      </c>
      <c r="C2620">
        <v>191.65129999999999</v>
      </c>
    </row>
    <row r="2621" spans="2:3">
      <c r="B2621" s="38">
        <v>41967</v>
      </c>
      <c r="C2621">
        <v>191.97810000000001</v>
      </c>
    </row>
    <row r="2622" spans="2:3">
      <c r="B2622" s="38">
        <v>41968</v>
      </c>
      <c r="C2622">
        <v>192.13829999999999</v>
      </c>
    </row>
    <row r="2623" spans="2:3">
      <c r="B2623" s="38">
        <v>41969</v>
      </c>
      <c r="C2623">
        <v>192.46</v>
      </c>
    </row>
    <row r="2624" spans="2:3">
      <c r="B2624" s="38">
        <v>41971</v>
      </c>
      <c r="C2624">
        <v>192.47210000000001</v>
      </c>
    </row>
    <row r="2625" spans="2:3">
      <c r="B2625" s="38">
        <v>41974</v>
      </c>
      <c r="C2625">
        <v>191.84</v>
      </c>
    </row>
    <row r="2626" spans="2:3">
      <c r="B2626" s="38">
        <v>41975</v>
      </c>
      <c r="C2626">
        <v>191.96469999999999</v>
      </c>
    </row>
    <row r="2627" spans="2:3">
      <c r="B2627" s="38">
        <v>41976</v>
      </c>
      <c r="C2627">
        <v>192.24469999999999</v>
      </c>
    </row>
    <row r="2628" spans="2:3">
      <c r="B2628" s="38">
        <v>41977</v>
      </c>
      <c r="C2628">
        <v>192.351</v>
      </c>
    </row>
    <row r="2629" spans="2:3">
      <c r="B2629" s="38">
        <v>41978</v>
      </c>
      <c r="C2629">
        <v>192.16309999999999</v>
      </c>
    </row>
    <row r="2630" spans="2:3">
      <c r="B2630" s="38">
        <v>41981</v>
      </c>
      <c r="C2630">
        <v>191.7714</v>
      </c>
    </row>
    <row r="2631" spans="2:3">
      <c r="B2631" s="38">
        <v>41982</v>
      </c>
      <c r="C2631">
        <v>191.8956</v>
      </c>
    </row>
    <row r="2632" spans="2:3">
      <c r="B2632" s="38">
        <v>41983</v>
      </c>
      <c r="C2632">
        <v>190.58430000000001</v>
      </c>
    </row>
    <row r="2633" spans="2:3">
      <c r="B2633" s="38">
        <v>41984</v>
      </c>
      <c r="C2633">
        <v>190.94800000000001</v>
      </c>
    </row>
    <row r="2634" spans="2:3">
      <c r="B2634" s="38">
        <v>41985</v>
      </c>
      <c r="C2634">
        <v>189.68039999999999</v>
      </c>
    </row>
    <row r="2635" spans="2:3">
      <c r="B2635" s="38">
        <v>41988</v>
      </c>
      <c r="C2635">
        <v>188.95419999999999</v>
      </c>
    </row>
    <row r="2636" spans="2:3">
      <c r="B2636" s="38">
        <v>41989</v>
      </c>
      <c r="C2636">
        <v>188.4178</v>
      </c>
    </row>
    <row r="2637" spans="2:3">
      <c r="B2637" s="38">
        <v>41990</v>
      </c>
      <c r="C2637">
        <v>190.04169999999999</v>
      </c>
    </row>
    <row r="2638" spans="2:3">
      <c r="B2638" s="38">
        <v>41991</v>
      </c>
      <c r="C2638">
        <v>192.0848</v>
      </c>
    </row>
    <row r="2639" spans="2:3">
      <c r="B2639" s="38">
        <v>41992</v>
      </c>
      <c r="C2639">
        <v>192.60210000000001</v>
      </c>
    </row>
    <row r="2640" spans="2:3">
      <c r="B2640" s="38">
        <v>41995</v>
      </c>
      <c r="C2640">
        <v>192.95769999999999</v>
      </c>
    </row>
    <row r="2641" spans="2:3">
      <c r="B2641" s="38">
        <v>41996</v>
      </c>
      <c r="C2641">
        <v>192.64400000000001</v>
      </c>
    </row>
    <row r="2642" spans="2:3">
      <c r="B2642" s="38">
        <v>41997</v>
      </c>
      <c r="C2642">
        <v>192.65790000000001</v>
      </c>
    </row>
    <row r="2643" spans="2:3">
      <c r="B2643" s="38">
        <v>41999</v>
      </c>
      <c r="C2643">
        <v>192.9905</v>
      </c>
    </row>
    <row r="2644" spans="2:3">
      <c r="B2644" s="38">
        <v>42002</v>
      </c>
      <c r="C2644">
        <v>193.25399999999999</v>
      </c>
    </row>
    <row r="2645" spans="2:3">
      <c r="B2645" s="38">
        <v>42003</v>
      </c>
      <c r="C2645">
        <v>193.03720000000001</v>
      </c>
    </row>
    <row r="2646" spans="2:3">
      <c r="B2646" s="38">
        <v>42004</v>
      </c>
      <c r="C2646">
        <v>192.4573</v>
      </c>
    </row>
    <row r="2647" spans="2:3">
      <c r="B2647" s="38">
        <v>42006</v>
      </c>
      <c r="C2647">
        <v>192.68039999999999</v>
      </c>
    </row>
    <row r="2648" spans="2:3">
      <c r="B2648" s="38">
        <v>42009</v>
      </c>
      <c r="C2648">
        <v>191.82130000000001</v>
      </c>
    </row>
    <row r="2649" spans="2:3">
      <c r="B2649" s="38">
        <v>42010</v>
      </c>
      <c r="C2649">
        <v>191.63810000000001</v>
      </c>
    </row>
    <row r="2650" spans="2:3">
      <c r="B2650" s="38">
        <v>42011</v>
      </c>
      <c r="C2650">
        <v>192.4177</v>
      </c>
    </row>
    <row r="2651" spans="2:3">
      <c r="B2651" s="38">
        <v>42012</v>
      </c>
      <c r="C2651">
        <v>193.29150000000001</v>
      </c>
    </row>
    <row r="2652" spans="2:3">
      <c r="B2652" s="38">
        <v>42013</v>
      </c>
      <c r="C2652">
        <v>193.02629999999999</v>
      </c>
    </row>
    <row r="2653" spans="2:3">
      <c r="B2653" s="38">
        <v>42016</v>
      </c>
      <c r="C2653">
        <v>192.8629</v>
      </c>
    </row>
    <row r="2654" spans="2:3">
      <c r="B2654" s="38">
        <v>42017</v>
      </c>
      <c r="C2654">
        <v>192.83109999999999</v>
      </c>
    </row>
    <row r="2655" spans="2:3">
      <c r="B2655" s="38">
        <v>42018</v>
      </c>
      <c r="C2655">
        <v>192.77070000000001</v>
      </c>
    </row>
    <row r="2656" spans="2:3">
      <c r="B2656" s="38">
        <v>42019</v>
      </c>
      <c r="C2656">
        <v>192.4743</v>
      </c>
    </row>
    <row r="2657" spans="2:3">
      <c r="B2657" s="38">
        <v>42020</v>
      </c>
      <c r="C2657">
        <v>193.078</v>
      </c>
    </row>
    <row r="2658" spans="2:3">
      <c r="B2658" s="38">
        <v>42024</v>
      </c>
      <c r="C2658">
        <v>193.22389999999999</v>
      </c>
    </row>
    <row r="2659" spans="2:3">
      <c r="B2659" s="38">
        <v>42025</v>
      </c>
      <c r="C2659">
        <v>193.38</v>
      </c>
    </row>
    <row r="2660" spans="2:3">
      <c r="B2660" s="38">
        <v>42026</v>
      </c>
      <c r="C2660">
        <v>194.46709999999999</v>
      </c>
    </row>
    <row r="2661" spans="2:3">
      <c r="B2661" s="38">
        <v>42027</v>
      </c>
      <c r="C2661">
        <v>194.39080000000001</v>
      </c>
    </row>
    <row r="2662" spans="2:3">
      <c r="B2662" s="38">
        <v>42030</v>
      </c>
      <c r="C2662">
        <v>194.5446</v>
      </c>
    </row>
    <row r="2663" spans="2:3">
      <c r="B2663" s="38">
        <v>42031</v>
      </c>
      <c r="C2663">
        <v>193.53110000000001</v>
      </c>
    </row>
    <row r="2664" spans="2:3">
      <c r="B2664" s="38">
        <v>42032</v>
      </c>
      <c r="C2664">
        <v>192.99789999999999</v>
      </c>
    </row>
    <row r="2665" spans="2:3">
      <c r="B2665" s="38">
        <v>42033</v>
      </c>
      <c r="C2665">
        <v>193.59649999999999</v>
      </c>
    </row>
    <row r="2666" spans="2:3">
      <c r="B2666" s="38">
        <v>42034</v>
      </c>
      <c r="C2666">
        <v>193.0223</v>
      </c>
    </row>
    <row r="2667" spans="2:3">
      <c r="B2667" s="38">
        <v>42037</v>
      </c>
      <c r="C2667">
        <v>194.04490000000001</v>
      </c>
    </row>
    <row r="2668" spans="2:3">
      <c r="B2668" s="38">
        <v>42038</v>
      </c>
      <c r="C2668">
        <v>194.5993</v>
      </c>
    </row>
    <row r="2669" spans="2:3">
      <c r="B2669" s="38">
        <v>42039</v>
      </c>
      <c r="C2669">
        <v>194.15880000000001</v>
      </c>
    </row>
    <row r="2670" spans="2:3">
      <c r="B2670" s="38">
        <v>42040</v>
      </c>
      <c r="C2670">
        <v>194.88409999999999</v>
      </c>
    </row>
    <row r="2671" spans="2:3">
      <c r="B2671" s="38">
        <v>42041</v>
      </c>
      <c r="C2671">
        <v>193.9074</v>
      </c>
    </row>
    <row r="2672" spans="2:3">
      <c r="B2672" s="38">
        <v>42044</v>
      </c>
      <c r="C2672">
        <v>193.5822</v>
      </c>
    </row>
    <row r="2673" spans="2:3">
      <c r="B2673" s="38">
        <v>42045</v>
      </c>
      <c r="C2673">
        <v>194.0804</v>
      </c>
    </row>
    <row r="2674" spans="2:3">
      <c r="B2674" s="38">
        <v>42046</v>
      </c>
      <c r="C2674">
        <v>194.09010000000001</v>
      </c>
    </row>
    <row r="2675" spans="2:3">
      <c r="B2675" s="38">
        <v>42047</v>
      </c>
      <c r="C2675">
        <v>194.87610000000001</v>
      </c>
    </row>
    <row r="2676" spans="2:3">
      <c r="B2676" s="38">
        <v>42048</v>
      </c>
      <c r="C2676">
        <v>195.01240000000001</v>
      </c>
    </row>
    <row r="2677" spans="2:3">
      <c r="B2677" s="38">
        <v>42052</v>
      </c>
      <c r="C2677">
        <v>194.4555</v>
      </c>
    </row>
    <row r="2678" spans="2:3">
      <c r="B2678" s="38">
        <v>42053</v>
      </c>
      <c r="C2678">
        <v>194.8887</v>
      </c>
    </row>
    <row r="2679" spans="2:3">
      <c r="B2679" s="38">
        <v>42054</v>
      </c>
      <c r="C2679">
        <v>194.57650000000001</v>
      </c>
    </row>
    <row r="2680" spans="2:3">
      <c r="B2680" s="38">
        <v>42055</v>
      </c>
      <c r="C2680">
        <v>194.9768</v>
      </c>
    </row>
    <row r="2681" spans="2:3">
      <c r="B2681" s="38">
        <v>42058</v>
      </c>
      <c r="C2681">
        <v>195.3244</v>
      </c>
    </row>
    <row r="2682" spans="2:3">
      <c r="B2682" s="38">
        <v>42059</v>
      </c>
      <c r="C2682">
        <v>195.98849999999999</v>
      </c>
    </row>
    <row r="2683" spans="2:3">
      <c r="B2683" s="38">
        <v>42060</v>
      </c>
      <c r="C2683">
        <v>196.0197</v>
      </c>
    </row>
    <row r="2684" spans="2:3">
      <c r="B2684" s="38">
        <v>42061</v>
      </c>
      <c r="C2684">
        <v>195.66739999999999</v>
      </c>
    </row>
    <row r="2685" spans="2:3">
      <c r="B2685" s="38">
        <v>42062</v>
      </c>
      <c r="C2685">
        <v>195.59299999999999</v>
      </c>
    </row>
    <row r="2686" spans="2:3">
      <c r="B2686" s="38">
        <v>42065</v>
      </c>
      <c r="C2686">
        <v>195.66659999999999</v>
      </c>
    </row>
    <row r="2687" spans="2:3">
      <c r="B2687" s="38">
        <v>42066</v>
      </c>
      <c r="C2687">
        <v>195.08690000000001</v>
      </c>
    </row>
    <row r="2688" spans="2:3">
      <c r="B2688" s="38">
        <v>42067</v>
      </c>
      <c r="C2688">
        <v>194.76920000000001</v>
      </c>
    </row>
    <row r="2689" spans="2:3">
      <c r="B2689" s="38">
        <v>42068</v>
      </c>
      <c r="C2689">
        <v>195.0042</v>
      </c>
    </row>
    <row r="2690" spans="2:3">
      <c r="B2690" s="38">
        <v>42069</v>
      </c>
      <c r="C2690">
        <v>193.11600000000001</v>
      </c>
    </row>
    <row r="2691" spans="2:3">
      <c r="B2691" s="38">
        <v>42072</v>
      </c>
      <c r="C2691">
        <v>193.64840000000001</v>
      </c>
    </row>
    <row r="2692" spans="2:3">
      <c r="B2692" s="38">
        <v>42073</v>
      </c>
      <c r="C2692">
        <v>192.67269999999999</v>
      </c>
    </row>
    <row r="2693" spans="2:3">
      <c r="B2693" s="38">
        <v>42074</v>
      </c>
      <c r="C2693">
        <v>192.63319999999999</v>
      </c>
    </row>
    <row r="2694" spans="2:3">
      <c r="B2694" s="38">
        <v>42075</v>
      </c>
      <c r="C2694">
        <v>193.72120000000001</v>
      </c>
    </row>
    <row r="2695" spans="2:3">
      <c r="B2695" s="38">
        <v>42076</v>
      </c>
      <c r="C2695">
        <v>193.14830000000001</v>
      </c>
    </row>
    <row r="2696" spans="2:3">
      <c r="B2696" s="38">
        <v>42079</v>
      </c>
      <c r="C2696">
        <v>194.24619999999999</v>
      </c>
    </row>
    <row r="2697" spans="2:3">
      <c r="B2697" s="38">
        <v>42080</v>
      </c>
      <c r="C2697">
        <v>194.2259</v>
      </c>
    </row>
    <row r="2698" spans="2:3">
      <c r="B2698" s="38">
        <v>42081</v>
      </c>
      <c r="C2698">
        <v>195.85169999999999</v>
      </c>
    </row>
    <row r="2699" spans="2:3">
      <c r="B2699" s="38">
        <v>42082</v>
      </c>
      <c r="C2699">
        <v>195.35290000000001</v>
      </c>
    </row>
    <row r="2700" spans="2:3">
      <c r="B2700" s="38">
        <v>42083</v>
      </c>
      <c r="C2700">
        <v>196.19390000000001</v>
      </c>
    </row>
    <row r="2701" spans="2:3">
      <c r="B2701" s="38">
        <v>42086</v>
      </c>
      <c r="C2701">
        <v>196.19479999999999</v>
      </c>
    </row>
    <row r="2702" spans="2:3">
      <c r="B2702" s="38">
        <v>42087</v>
      </c>
      <c r="C2702">
        <v>196.0566</v>
      </c>
    </row>
    <row r="2703" spans="2:3">
      <c r="B2703" s="38">
        <v>42088</v>
      </c>
      <c r="C2703">
        <v>194.90299999999999</v>
      </c>
    </row>
    <row r="2704" spans="2:3">
      <c r="B2704" s="38">
        <v>42089</v>
      </c>
      <c r="C2704">
        <v>194.23429999999999</v>
      </c>
    </row>
    <row r="2705" spans="2:3">
      <c r="B2705" s="38">
        <v>42090</v>
      </c>
      <c r="C2705">
        <v>194.79130000000001</v>
      </c>
    </row>
    <row r="2706" spans="2:3">
      <c r="B2706" s="38">
        <v>42093</v>
      </c>
      <c r="C2706">
        <v>195.33609999999999</v>
      </c>
    </row>
    <row r="2707" spans="2:3">
      <c r="B2707" s="38">
        <v>42094</v>
      </c>
      <c r="C2707">
        <v>195.1508</v>
      </c>
    </row>
    <row r="2708" spans="2:3">
      <c r="B2708" s="38">
        <v>42095</v>
      </c>
      <c r="C2708">
        <v>195.42230000000001</v>
      </c>
    </row>
    <row r="2709" spans="2:3">
      <c r="B2709" s="38">
        <v>42096</v>
      </c>
      <c r="C2709">
        <v>195.33340000000001</v>
      </c>
    </row>
    <row r="2710" spans="2:3">
      <c r="B2710" s="38">
        <v>42100</v>
      </c>
      <c r="C2710">
        <v>195.67179999999999</v>
      </c>
    </row>
    <row r="2711" spans="2:3">
      <c r="B2711" s="38">
        <v>42101</v>
      </c>
      <c r="C2711">
        <v>195.7209</v>
      </c>
    </row>
    <row r="2712" spans="2:3">
      <c r="B2712" s="38">
        <v>42102</v>
      </c>
      <c r="C2712">
        <v>195.8672</v>
      </c>
    </row>
    <row r="2713" spans="2:3">
      <c r="B2713" s="38">
        <v>42103</v>
      </c>
      <c r="C2713">
        <v>195.70419999999999</v>
      </c>
    </row>
    <row r="2714" spans="2:3">
      <c r="B2714" s="38">
        <v>42104</v>
      </c>
      <c r="C2714">
        <v>195.99889999999999</v>
      </c>
    </row>
    <row r="2715" spans="2:3">
      <c r="B2715" s="38">
        <v>42107</v>
      </c>
      <c r="C2715">
        <v>195.87729999999999</v>
      </c>
    </row>
    <row r="2716" spans="2:3">
      <c r="B2716" s="38">
        <v>42108</v>
      </c>
      <c r="C2716">
        <v>196.2131</v>
      </c>
    </row>
    <row r="2717" spans="2:3">
      <c r="B2717" s="38">
        <v>42109</v>
      </c>
      <c r="C2717">
        <v>196.6635</v>
      </c>
    </row>
    <row r="2718" spans="2:3">
      <c r="B2718" s="38">
        <v>42110</v>
      </c>
      <c r="C2718">
        <v>196.6412</v>
      </c>
    </row>
    <row r="2719" spans="2:3">
      <c r="B2719" s="38">
        <v>42111</v>
      </c>
      <c r="C2719">
        <v>195.98169999999999</v>
      </c>
    </row>
    <row r="2720" spans="2:3">
      <c r="B2720" s="38">
        <v>42114</v>
      </c>
      <c r="C2720">
        <v>196.35640000000001</v>
      </c>
    </row>
    <row r="2721" spans="2:3">
      <c r="B2721" s="38">
        <v>42115</v>
      </c>
      <c r="C2721">
        <v>196.23050000000001</v>
      </c>
    </row>
    <row r="2722" spans="2:3">
      <c r="B2722" s="38">
        <v>42116</v>
      </c>
      <c r="C2722">
        <v>196.245</v>
      </c>
    </row>
    <row r="2723" spans="2:3">
      <c r="B2723" s="38">
        <v>42117</v>
      </c>
      <c r="C2723">
        <v>196.5806</v>
      </c>
    </row>
    <row r="2724" spans="2:3">
      <c r="B2724" s="38">
        <v>42118</v>
      </c>
      <c r="C2724">
        <v>196.88669999999999</v>
      </c>
    </row>
    <row r="2725" spans="2:3">
      <c r="B2725" s="38">
        <v>42121</v>
      </c>
      <c r="C2725">
        <v>196.56379999999999</v>
      </c>
    </row>
    <row r="2726" spans="2:3">
      <c r="B2726" s="38">
        <v>42122</v>
      </c>
      <c r="C2726">
        <v>196.44800000000001</v>
      </c>
    </row>
    <row r="2727" spans="2:3">
      <c r="B2727" s="38">
        <v>42123</v>
      </c>
      <c r="C2727">
        <v>195.86590000000001</v>
      </c>
    </row>
    <row r="2728" spans="2:3">
      <c r="B2728" s="38">
        <v>42124</v>
      </c>
      <c r="C2728">
        <v>195.09520000000001</v>
      </c>
    </row>
    <row r="2729" spans="2:3">
      <c r="B2729" s="38">
        <v>42125</v>
      </c>
      <c r="C2729">
        <v>195.38740000000001</v>
      </c>
    </row>
    <row r="2730" spans="2:3">
      <c r="B2730" s="38">
        <v>42128</v>
      </c>
      <c r="C2730">
        <v>195.44909999999999</v>
      </c>
    </row>
    <row r="2731" spans="2:3">
      <c r="B2731" s="38">
        <v>42129</v>
      </c>
      <c r="C2731">
        <v>194.40639999999999</v>
      </c>
    </row>
    <row r="2732" spans="2:3">
      <c r="B2732" s="38">
        <v>42130</v>
      </c>
      <c r="C2732">
        <v>193.71619999999999</v>
      </c>
    </row>
    <row r="2733" spans="2:3">
      <c r="B2733" s="38">
        <v>42131</v>
      </c>
      <c r="C2733">
        <v>194.309</v>
      </c>
    </row>
    <row r="2734" spans="2:3">
      <c r="B2734" s="38">
        <v>42132</v>
      </c>
      <c r="C2734">
        <v>195.61320000000001</v>
      </c>
    </row>
    <row r="2735" spans="2:3">
      <c r="B2735" s="38">
        <v>42135</v>
      </c>
      <c r="C2735">
        <v>194.50020000000001</v>
      </c>
    </row>
    <row r="2736" spans="2:3">
      <c r="B2736" s="38">
        <v>42136</v>
      </c>
      <c r="C2736">
        <v>194.38550000000001</v>
      </c>
    </row>
    <row r="2737" spans="2:3">
      <c r="B2737" s="38">
        <v>42137</v>
      </c>
      <c r="C2737">
        <v>194.2723</v>
      </c>
    </row>
    <row r="2738" spans="2:3">
      <c r="B2738" s="38">
        <v>42138</v>
      </c>
      <c r="C2738">
        <v>195.32640000000001</v>
      </c>
    </row>
    <row r="2739" spans="2:3">
      <c r="B2739" s="38">
        <v>42139</v>
      </c>
      <c r="C2739">
        <v>195.93940000000001</v>
      </c>
    </row>
    <row r="2740" spans="2:3">
      <c r="B2740" s="38">
        <v>42142</v>
      </c>
      <c r="C2740">
        <v>195.6533</v>
      </c>
    </row>
    <row r="2741" spans="2:3">
      <c r="B2741" s="38">
        <v>42143</v>
      </c>
      <c r="C2741">
        <v>195.4288</v>
      </c>
    </row>
    <row r="2742" spans="2:3">
      <c r="B2742" s="38">
        <v>42144</v>
      </c>
      <c r="C2742">
        <v>195.41730000000001</v>
      </c>
    </row>
    <row r="2743" spans="2:3">
      <c r="B2743" s="38">
        <v>42145</v>
      </c>
      <c r="C2743">
        <v>195.9211</v>
      </c>
    </row>
    <row r="2744" spans="2:3">
      <c r="B2744" s="38">
        <v>42146</v>
      </c>
      <c r="C2744">
        <v>195.45269999999999</v>
      </c>
    </row>
    <row r="2745" spans="2:3">
      <c r="B2745" s="38">
        <v>42150</v>
      </c>
      <c r="C2745">
        <v>195.05869999999999</v>
      </c>
    </row>
    <row r="2746" spans="2:3">
      <c r="B2746" s="38">
        <v>42151</v>
      </c>
      <c r="C2746">
        <v>195.84700000000001</v>
      </c>
    </row>
    <row r="2747" spans="2:3">
      <c r="B2747" s="38">
        <v>42152</v>
      </c>
      <c r="C2747">
        <v>195.76750000000001</v>
      </c>
    </row>
    <row r="2748" spans="2:3">
      <c r="B2748" s="38">
        <v>42153</v>
      </c>
      <c r="C2748">
        <v>195.5138</v>
      </c>
    </row>
    <row r="2749" spans="2:3">
      <c r="B2749" s="38">
        <v>42156</v>
      </c>
      <c r="C2749">
        <v>195.1403</v>
      </c>
    </row>
    <row r="2750" spans="2:3">
      <c r="B2750" s="38">
        <v>42157</v>
      </c>
      <c r="C2750">
        <v>194.6891</v>
      </c>
    </row>
    <row r="2751" spans="2:3">
      <c r="B2751" s="38">
        <v>42158</v>
      </c>
      <c r="C2751">
        <v>194.29400000000001</v>
      </c>
    </row>
    <row r="2752" spans="2:3">
      <c r="B2752" s="38">
        <v>42159</v>
      </c>
      <c r="C2752">
        <v>193.8903</v>
      </c>
    </row>
    <row r="2753" spans="2:3">
      <c r="B2753" s="38">
        <v>42160</v>
      </c>
      <c r="C2753">
        <v>193.2465</v>
      </c>
    </row>
    <row r="2754" spans="2:3">
      <c r="B2754" s="38">
        <v>42163</v>
      </c>
      <c r="C2754">
        <v>192.78280000000001</v>
      </c>
    </row>
    <row r="2755" spans="2:3">
      <c r="B2755" s="38">
        <v>42164</v>
      </c>
      <c r="C2755">
        <v>192.63849999999999</v>
      </c>
    </row>
    <row r="2756" spans="2:3">
      <c r="B2756" s="38">
        <v>42165</v>
      </c>
      <c r="C2756">
        <v>193.47550000000001</v>
      </c>
    </row>
    <row r="2757" spans="2:3">
      <c r="B2757" s="38">
        <v>42166</v>
      </c>
      <c r="C2757">
        <v>194.10220000000001</v>
      </c>
    </row>
    <row r="2758" spans="2:3">
      <c r="B2758" s="38">
        <v>42167</v>
      </c>
      <c r="C2758">
        <v>193.40620000000001</v>
      </c>
    </row>
    <row r="2759" spans="2:3">
      <c r="B2759" s="38">
        <v>42170</v>
      </c>
      <c r="C2759">
        <v>193.06</v>
      </c>
    </row>
    <row r="2760" spans="2:3">
      <c r="B2760" s="38">
        <v>42171</v>
      </c>
      <c r="C2760">
        <v>193.75810000000001</v>
      </c>
    </row>
    <row r="2761" spans="2:3">
      <c r="B2761" s="38">
        <v>42172</v>
      </c>
      <c r="C2761">
        <v>193.99930000000001</v>
      </c>
    </row>
    <row r="2762" spans="2:3">
      <c r="B2762" s="38">
        <v>42173</v>
      </c>
      <c r="C2762">
        <v>194.78039999999999</v>
      </c>
    </row>
    <row r="2763" spans="2:3">
      <c r="B2763" s="38">
        <v>42174</v>
      </c>
      <c r="C2763">
        <v>194.7165</v>
      </c>
    </row>
    <row r="2764" spans="2:3">
      <c r="B2764" s="38">
        <v>42177</v>
      </c>
      <c r="C2764">
        <v>194.83349999999999</v>
      </c>
    </row>
    <row r="2765" spans="2:3">
      <c r="B2765" s="38">
        <v>42178</v>
      </c>
      <c r="C2765">
        <v>194.6345</v>
      </c>
    </row>
    <row r="2766" spans="2:3">
      <c r="B2766" s="38">
        <v>42179</v>
      </c>
      <c r="C2766">
        <v>194.1592</v>
      </c>
    </row>
    <row r="2767" spans="2:3">
      <c r="B2767" s="38">
        <v>42180</v>
      </c>
      <c r="C2767">
        <v>193.79239999999999</v>
      </c>
    </row>
    <row r="2768" spans="2:3">
      <c r="B2768" s="38">
        <v>42181</v>
      </c>
      <c r="C2768">
        <v>193.321</v>
      </c>
    </row>
    <row r="2769" spans="2:3">
      <c r="B2769" s="38">
        <v>42184</v>
      </c>
      <c r="C2769">
        <v>192.0986</v>
      </c>
    </row>
    <row r="2770" spans="2:3">
      <c r="B2770" s="38">
        <v>42185</v>
      </c>
      <c r="C2770">
        <v>192.38810000000001</v>
      </c>
    </row>
    <row r="2771" spans="2:3">
      <c r="B2771" s="38">
        <v>42186</v>
      </c>
      <c r="C2771">
        <v>192.56100000000001</v>
      </c>
    </row>
    <row r="2772" spans="2:3">
      <c r="B2772" s="38">
        <v>42187</v>
      </c>
      <c r="C2772">
        <v>192.71770000000001</v>
      </c>
    </row>
    <row r="2773" spans="2:3">
      <c r="B2773" s="38">
        <v>42191</v>
      </c>
      <c r="C2773">
        <v>192.92250000000001</v>
      </c>
    </row>
    <row r="2774" spans="2:3">
      <c r="B2774" s="38">
        <v>42192</v>
      </c>
      <c r="C2774">
        <v>193.6728</v>
      </c>
    </row>
    <row r="2775" spans="2:3">
      <c r="B2775" s="38">
        <v>42193</v>
      </c>
      <c r="C2775">
        <v>192.36770000000001</v>
      </c>
    </row>
    <row r="2776" spans="2:3">
      <c r="B2776" s="38">
        <v>42194</v>
      </c>
      <c r="C2776">
        <v>192.13669999999999</v>
      </c>
    </row>
    <row r="2777" spans="2:3">
      <c r="B2777" s="38">
        <v>42195</v>
      </c>
      <c r="C2777">
        <v>192.66739999999999</v>
      </c>
    </row>
    <row r="2778" spans="2:3">
      <c r="B2778" s="38">
        <v>42198</v>
      </c>
      <c r="C2778">
        <v>193.62370000000001</v>
      </c>
    </row>
    <row r="2779" spans="2:3">
      <c r="B2779" s="38">
        <v>42199</v>
      </c>
      <c r="C2779">
        <v>194.21619999999999</v>
      </c>
    </row>
    <row r="2780" spans="2:3">
      <c r="B2780" s="38">
        <v>42200</v>
      </c>
      <c r="C2780">
        <v>194.43129999999999</v>
      </c>
    </row>
    <row r="2781" spans="2:3">
      <c r="B2781" s="38">
        <v>42201</v>
      </c>
      <c r="C2781">
        <v>195.12639999999999</v>
      </c>
    </row>
    <row r="2782" spans="2:3">
      <c r="B2782" s="38">
        <v>42202</v>
      </c>
      <c r="C2782">
        <v>195.2396</v>
      </c>
    </row>
    <row r="2783" spans="2:3">
      <c r="B2783" s="38">
        <v>42205</v>
      </c>
      <c r="C2783">
        <v>195.15119999999999</v>
      </c>
    </row>
    <row r="2784" spans="2:3">
      <c r="B2784" s="38">
        <v>42206</v>
      </c>
      <c r="C2784">
        <v>194.97329999999999</v>
      </c>
    </row>
    <row r="2785" spans="2:3">
      <c r="B2785" s="38">
        <v>42207</v>
      </c>
      <c r="C2785">
        <v>194.8058</v>
      </c>
    </row>
    <row r="2786" spans="2:3">
      <c r="B2786" s="38">
        <v>42208</v>
      </c>
      <c r="C2786">
        <v>194.5067</v>
      </c>
    </row>
    <row r="2787" spans="2:3">
      <c r="B2787" s="38">
        <v>42209</v>
      </c>
      <c r="C2787">
        <v>193.57079999999999</v>
      </c>
    </row>
    <row r="2788" spans="2:3">
      <c r="B2788" s="38">
        <v>42212</v>
      </c>
      <c r="C2788">
        <v>193.24420000000001</v>
      </c>
    </row>
    <row r="2789" spans="2:3">
      <c r="B2789" s="38">
        <v>42213</v>
      </c>
      <c r="C2789">
        <v>194.26240000000001</v>
      </c>
    </row>
    <row r="2790" spans="2:3">
      <c r="B2790" s="38">
        <v>42214</v>
      </c>
      <c r="C2790">
        <v>194.75569999999999</v>
      </c>
    </row>
    <row r="2791" spans="2:3">
      <c r="B2791" s="38">
        <v>42215</v>
      </c>
      <c r="C2791">
        <v>194.7747</v>
      </c>
    </row>
    <row r="2792" spans="2:3">
      <c r="B2792" s="38">
        <v>42216</v>
      </c>
      <c r="C2792">
        <v>194.9075</v>
      </c>
    </row>
    <row r="2793" spans="2:3">
      <c r="B2793" s="38">
        <v>42219</v>
      </c>
      <c r="C2793">
        <v>194.88079999999999</v>
      </c>
    </row>
    <row r="2794" spans="2:3">
      <c r="B2794" s="38">
        <v>42220</v>
      </c>
      <c r="C2794">
        <v>194.32380000000001</v>
      </c>
    </row>
    <row r="2795" spans="2:3">
      <c r="B2795" s="38">
        <v>42221</v>
      </c>
      <c r="C2795">
        <v>194.35740000000001</v>
      </c>
    </row>
    <row r="2796" spans="2:3">
      <c r="B2796" s="38">
        <v>42222</v>
      </c>
      <c r="C2796">
        <v>193.77850000000001</v>
      </c>
    </row>
    <row r="2797" spans="2:3">
      <c r="B2797" s="38">
        <v>42223</v>
      </c>
      <c r="C2797">
        <v>193.72909999999999</v>
      </c>
    </row>
    <row r="2798" spans="2:3">
      <c r="B2798" s="38">
        <v>42226</v>
      </c>
      <c r="C2798">
        <v>194.74780000000001</v>
      </c>
    </row>
    <row r="2799" spans="2:3">
      <c r="B2799" s="38">
        <v>42227</v>
      </c>
      <c r="C2799">
        <v>194.2567</v>
      </c>
    </row>
    <row r="2800" spans="2:3">
      <c r="B2800" s="38">
        <v>42228</v>
      </c>
      <c r="C2800">
        <v>194.375</v>
      </c>
    </row>
    <row r="2801" spans="2:3">
      <c r="B2801" s="38">
        <v>42229</v>
      </c>
      <c r="C2801">
        <v>193.98</v>
      </c>
    </row>
    <row r="2802" spans="2:3">
      <c r="B2802" s="38">
        <v>42230</v>
      </c>
      <c r="C2802">
        <v>194.3133</v>
      </c>
    </row>
    <row r="2803" spans="2:3">
      <c r="B2803" s="38">
        <v>42233</v>
      </c>
      <c r="C2803">
        <v>195.00919999999999</v>
      </c>
    </row>
    <row r="2804" spans="2:3">
      <c r="B2804" s="38">
        <v>42234</v>
      </c>
      <c r="C2804">
        <v>194.547</v>
      </c>
    </row>
    <row r="2805" spans="2:3">
      <c r="B2805" s="38">
        <v>42235</v>
      </c>
      <c r="C2805">
        <v>194.0625</v>
      </c>
    </row>
    <row r="2806" spans="2:3">
      <c r="B2806" s="38">
        <v>42236</v>
      </c>
      <c r="C2806">
        <v>192.16309999999999</v>
      </c>
    </row>
    <row r="2807" spans="2:3">
      <c r="B2807" s="38">
        <v>42237</v>
      </c>
      <c r="C2807">
        <v>189.25649999999999</v>
      </c>
    </row>
    <row r="2808" spans="2:3">
      <c r="B2808" s="38">
        <v>42240</v>
      </c>
      <c r="C2808">
        <v>185.9622</v>
      </c>
    </row>
    <row r="2809" spans="2:3">
      <c r="B2809" s="38">
        <v>42241</v>
      </c>
      <c r="C2809">
        <v>184.24469999999999</v>
      </c>
    </row>
    <row r="2810" spans="2:3">
      <c r="B2810" s="38">
        <v>42242</v>
      </c>
      <c r="C2810">
        <v>187.13319999999999</v>
      </c>
    </row>
    <row r="2811" spans="2:3">
      <c r="B2811" s="38">
        <v>42243</v>
      </c>
      <c r="C2811">
        <v>188.95320000000001</v>
      </c>
    </row>
    <row r="2812" spans="2:3">
      <c r="B2812" s="38">
        <v>42244</v>
      </c>
      <c r="C2812">
        <v>188.8527</v>
      </c>
    </row>
    <row r="2813" spans="2:3">
      <c r="B2813" s="38">
        <v>42247</v>
      </c>
      <c r="C2813">
        <v>188.21889999999999</v>
      </c>
    </row>
    <row r="2814" spans="2:3">
      <c r="B2814" s="38">
        <v>42248</v>
      </c>
      <c r="C2814">
        <v>186.7552</v>
      </c>
    </row>
    <row r="2815" spans="2:3">
      <c r="B2815" s="38">
        <v>42249</v>
      </c>
      <c r="C2815">
        <v>187.4956</v>
      </c>
    </row>
    <row r="2816" spans="2:3">
      <c r="B2816" s="38">
        <v>42250</v>
      </c>
      <c r="C2816">
        <v>187.7586</v>
      </c>
    </row>
    <row r="2817" spans="2:3">
      <c r="B2817" s="38">
        <v>42251</v>
      </c>
      <c r="C2817">
        <v>187.45330000000001</v>
      </c>
    </row>
    <row r="2818" spans="2:3">
      <c r="B2818" s="38">
        <v>42255</v>
      </c>
      <c r="C2818">
        <v>187.95240000000001</v>
      </c>
    </row>
    <row r="2819" spans="2:3">
      <c r="B2819" s="38">
        <v>42256</v>
      </c>
      <c r="C2819">
        <v>187.72710000000001</v>
      </c>
    </row>
    <row r="2820" spans="2:3">
      <c r="B2820" s="38">
        <v>42257</v>
      </c>
      <c r="C2820">
        <v>187.679</v>
      </c>
    </row>
    <row r="2821" spans="2:3">
      <c r="B2821" s="38">
        <v>42258</v>
      </c>
      <c r="C2821">
        <v>188.07210000000001</v>
      </c>
    </row>
    <row r="2822" spans="2:3">
      <c r="B2822" s="38">
        <v>42261</v>
      </c>
      <c r="C2822">
        <v>187.9485</v>
      </c>
    </row>
    <row r="2823" spans="2:3">
      <c r="B2823" s="38">
        <v>42262</v>
      </c>
      <c r="C2823">
        <v>187.58949999999999</v>
      </c>
    </row>
    <row r="2824" spans="2:3">
      <c r="B2824" s="38">
        <v>42263</v>
      </c>
      <c r="C2824">
        <v>187.78970000000001</v>
      </c>
    </row>
    <row r="2825" spans="2:3">
      <c r="B2825" s="38">
        <v>42264</v>
      </c>
      <c r="C2825">
        <v>188.47620000000001</v>
      </c>
    </row>
    <row r="2826" spans="2:3">
      <c r="B2826" s="38">
        <v>42265</v>
      </c>
      <c r="C2826">
        <v>188.55770000000001</v>
      </c>
    </row>
    <row r="2827" spans="2:3">
      <c r="B2827" s="38">
        <v>42268</v>
      </c>
      <c r="C2827">
        <v>188.13929999999999</v>
      </c>
    </row>
    <row r="2828" spans="2:3">
      <c r="B2828" s="38">
        <v>42269</v>
      </c>
      <c r="C2828">
        <v>188.37620000000001</v>
      </c>
    </row>
    <row r="2829" spans="2:3">
      <c r="B2829" s="38">
        <v>42270</v>
      </c>
      <c r="C2829">
        <v>188.20169999999999</v>
      </c>
    </row>
    <row r="2830" spans="2:3">
      <c r="B2830" s="38">
        <v>42271</v>
      </c>
      <c r="C2830">
        <v>188.20840000000001</v>
      </c>
    </row>
    <row r="2831" spans="2:3">
      <c r="B2831" s="38">
        <v>42272</v>
      </c>
      <c r="C2831">
        <v>187.85120000000001</v>
      </c>
    </row>
    <row r="2832" spans="2:3">
      <c r="B2832" s="38">
        <v>42275</v>
      </c>
      <c r="C2832">
        <v>187.25829999999999</v>
      </c>
    </row>
    <row r="2833" spans="2:3">
      <c r="B2833" s="38">
        <v>42276</v>
      </c>
      <c r="C2833">
        <v>187.60130000000001</v>
      </c>
    </row>
    <row r="2834" spans="2:3">
      <c r="B2834" s="38">
        <v>42277</v>
      </c>
      <c r="C2834">
        <v>188.29679999999999</v>
      </c>
    </row>
    <row r="2835" spans="2:3">
      <c r="B2835" s="38">
        <v>42278</v>
      </c>
      <c r="C2835">
        <v>188.3535</v>
      </c>
    </row>
    <row r="2836" spans="2:3">
      <c r="B2836" s="38">
        <v>42279</v>
      </c>
      <c r="C2836">
        <v>189.40989999999999</v>
      </c>
    </row>
    <row r="2837" spans="2:3">
      <c r="B2837" s="38">
        <v>42282</v>
      </c>
      <c r="C2837">
        <v>189.84719999999999</v>
      </c>
    </row>
    <row r="2838" spans="2:3">
      <c r="B2838" s="38">
        <v>42283</v>
      </c>
      <c r="C2838">
        <v>189.89940000000001</v>
      </c>
    </row>
    <row r="2839" spans="2:3">
      <c r="B2839" s="38">
        <v>42284</v>
      </c>
      <c r="C2839">
        <v>190.19929999999999</v>
      </c>
    </row>
    <row r="2840" spans="2:3">
      <c r="B2840" s="38">
        <v>42285</v>
      </c>
      <c r="C2840">
        <v>190.25399999999999</v>
      </c>
    </row>
    <row r="2841" spans="2:3">
      <c r="B2841" s="38">
        <v>42286</v>
      </c>
      <c r="C2841">
        <v>190.32820000000001</v>
      </c>
    </row>
    <row r="2842" spans="2:3">
      <c r="B2842" s="38">
        <v>42290</v>
      </c>
      <c r="C2842">
        <v>190.39750000000001</v>
      </c>
    </row>
    <row r="2843" spans="2:3">
      <c r="B2843" s="38">
        <v>42291</v>
      </c>
      <c r="C2843">
        <v>190.8073</v>
      </c>
    </row>
    <row r="2844" spans="2:3">
      <c r="B2844" s="38">
        <v>42292</v>
      </c>
      <c r="C2844">
        <v>191.15770000000001</v>
      </c>
    </row>
    <row r="2845" spans="2:3">
      <c r="B2845" s="38">
        <v>42293</v>
      </c>
      <c r="C2845">
        <v>191.35749999999999</v>
      </c>
    </row>
    <row r="2846" spans="2:3">
      <c r="B2846" s="38">
        <v>42296</v>
      </c>
      <c r="C2846">
        <v>191.37280000000001</v>
      </c>
    </row>
    <row r="2847" spans="2:3">
      <c r="B2847" s="38">
        <v>42297</v>
      </c>
      <c r="C2847">
        <v>190.99850000000001</v>
      </c>
    </row>
    <row r="2848" spans="2:3">
      <c r="B2848" s="38">
        <v>42298</v>
      </c>
      <c r="C2848">
        <v>190.9958</v>
      </c>
    </row>
    <row r="2849" spans="2:3">
      <c r="B2849" s="38">
        <v>42299</v>
      </c>
      <c r="C2849">
        <v>191.91810000000001</v>
      </c>
    </row>
    <row r="2850" spans="2:3">
      <c r="B2850" s="38">
        <v>42300</v>
      </c>
      <c r="C2850">
        <v>192.1662</v>
      </c>
    </row>
    <row r="2851" spans="2:3">
      <c r="B2851" s="38">
        <v>42303</v>
      </c>
      <c r="C2851">
        <v>192.2628</v>
      </c>
    </row>
    <row r="2852" spans="2:3">
      <c r="B2852" s="38">
        <v>42304</v>
      </c>
      <c r="C2852">
        <v>192.2835</v>
      </c>
    </row>
    <row r="2853" spans="2:3">
      <c r="B2853" s="38">
        <v>42305</v>
      </c>
      <c r="C2853">
        <v>192.5883</v>
      </c>
    </row>
    <row r="2854" spans="2:3">
      <c r="B2854" s="38">
        <v>42306</v>
      </c>
      <c r="C2854">
        <v>192.04390000000001</v>
      </c>
    </row>
    <row r="2855" spans="2:3">
      <c r="B2855" s="38">
        <v>42307</v>
      </c>
      <c r="C2855">
        <v>191.9033</v>
      </c>
    </row>
    <row r="2856" spans="2:3">
      <c r="B2856" s="38">
        <v>42310</v>
      </c>
      <c r="C2856">
        <v>192.56909999999999</v>
      </c>
    </row>
    <row r="2857" spans="2:3">
      <c r="B2857" s="38">
        <v>42311</v>
      </c>
      <c r="C2857">
        <v>192.59649999999999</v>
      </c>
    </row>
    <row r="2858" spans="2:3">
      <c r="B2858" s="38">
        <v>42312</v>
      </c>
      <c r="C2858">
        <v>192.2364</v>
      </c>
    </row>
    <row r="2859" spans="2:3">
      <c r="B2859" s="38">
        <v>42313</v>
      </c>
      <c r="C2859">
        <v>192.12020000000001</v>
      </c>
    </row>
    <row r="2860" spans="2:3">
      <c r="B2860" s="38">
        <v>42314</v>
      </c>
      <c r="C2860">
        <v>191.4597</v>
      </c>
    </row>
    <row r="2861" spans="2:3">
      <c r="B2861" s="38">
        <v>42317</v>
      </c>
      <c r="C2861">
        <v>190.68549999999999</v>
      </c>
    </row>
    <row r="2862" spans="2:3">
      <c r="B2862" s="38">
        <v>42318</v>
      </c>
      <c r="C2862">
        <v>190.9178</v>
      </c>
    </row>
    <row r="2863" spans="2:3">
      <c r="B2863" s="38">
        <v>42320</v>
      </c>
      <c r="C2863">
        <v>189.64850000000001</v>
      </c>
    </row>
    <row r="2864" spans="2:3">
      <c r="B2864" s="38">
        <v>42321</v>
      </c>
      <c r="C2864">
        <v>189.04230000000001</v>
      </c>
    </row>
    <row r="2865" spans="2:3">
      <c r="B2865" s="38">
        <v>42324</v>
      </c>
      <c r="C2865">
        <v>190.15219999999999</v>
      </c>
    </row>
    <row r="2866" spans="2:3">
      <c r="B2866" s="38">
        <v>42325</v>
      </c>
      <c r="C2866">
        <v>190.1628</v>
      </c>
    </row>
    <row r="2867" spans="2:3">
      <c r="B2867" s="38">
        <v>42326</v>
      </c>
      <c r="C2867">
        <v>191.3064</v>
      </c>
    </row>
    <row r="2868" spans="2:3">
      <c r="B2868" s="38">
        <v>42327</v>
      </c>
      <c r="C2868">
        <v>191.35980000000001</v>
      </c>
    </row>
    <row r="2869" spans="2:3">
      <c r="B2869" s="38">
        <v>42328</v>
      </c>
      <c r="C2869">
        <v>191.5223</v>
      </c>
    </row>
    <row r="2870" spans="2:3">
      <c r="B2870" s="38">
        <v>42331</v>
      </c>
      <c r="C2870">
        <v>191.43219999999999</v>
      </c>
    </row>
    <row r="2871" spans="2:3">
      <c r="B2871" s="38">
        <v>42332</v>
      </c>
      <c r="C2871">
        <v>191.5027</v>
      </c>
    </row>
    <row r="2872" spans="2:3">
      <c r="B2872" s="38">
        <v>42333</v>
      </c>
      <c r="C2872">
        <v>191.5772</v>
      </c>
    </row>
    <row r="2873" spans="2:3">
      <c r="B2873" s="38">
        <v>42335</v>
      </c>
      <c r="C2873">
        <v>191.66159999999999</v>
      </c>
    </row>
    <row r="2874" spans="2:3">
      <c r="B2874" s="38">
        <v>42338</v>
      </c>
      <c r="C2874">
        <v>191.4204</v>
      </c>
    </row>
    <row r="2875" spans="2:3">
      <c r="B2875" s="38">
        <v>42339</v>
      </c>
      <c r="C2875">
        <v>192.61600000000001</v>
      </c>
    </row>
    <row r="2876" spans="2:3">
      <c r="B2876" s="38">
        <v>42340</v>
      </c>
      <c r="C2876">
        <v>191.6035</v>
      </c>
    </row>
    <row r="2877" spans="2:3">
      <c r="B2877" s="38">
        <v>42341</v>
      </c>
      <c r="C2877">
        <v>189.6643</v>
      </c>
    </row>
    <row r="2878" spans="2:3">
      <c r="B2878" s="38">
        <v>42342</v>
      </c>
      <c r="C2878">
        <v>191.5789</v>
      </c>
    </row>
    <row r="2879" spans="2:3">
      <c r="B2879" s="38">
        <v>42345</v>
      </c>
      <c r="C2879">
        <v>191.3519</v>
      </c>
    </row>
    <row r="2880" spans="2:3">
      <c r="B2880" s="38">
        <v>42346</v>
      </c>
      <c r="C2880">
        <v>190.73490000000001</v>
      </c>
    </row>
    <row r="2881" spans="2:3">
      <c r="B2881" s="38">
        <v>42347</v>
      </c>
      <c r="C2881">
        <v>190.43260000000001</v>
      </c>
    </row>
    <row r="2882" spans="2:3">
      <c r="B2882" s="38">
        <v>42348</v>
      </c>
      <c r="C2882">
        <v>190.22489999999999</v>
      </c>
    </row>
    <row r="2883" spans="2:3">
      <c r="B2883" s="38">
        <v>42349</v>
      </c>
      <c r="C2883">
        <v>189.64169999999999</v>
      </c>
    </row>
    <row r="2884" spans="2:3">
      <c r="B2884" s="38">
        <v>42352</v>
      </c>
      <c r="C2884">
        <v>189.52719999999999</v>
      </c>
    </row>
    <row r="2885" spans="2:3">
      <c r="B2885" s="38">
        <v>42353</v>
      </c>
      <c r="C2885">
        <v>189.82429999999999</v>
      </c>
    </row>
    <row r="2886" spans="2:3">
      <c r="B2886" s="38">
        <v>42354</v>
      </c>
      <c r="C2886">
        <v>190.34229999999999</v>
      </c>
    </row>
    <row r="2887" spans="2:3">
      <c r="B2887" s="38">
        <v>42355</v>
      </c>
      <c r="C2887">
        <v>189.7894</v>
      </c>
    </row>
    <row r="2888" spans="2:3">
      <c r="B2888" s="38">
        <v>42356</v>
      </c>
      <c r="C2888">
        <v>189.108</v>
      </c>
    </row>
    <row r="2889" spans="2:3">
      <c r="B2889" s="38">
        <v>42359</v>
      </c>
      <c r="C2889">
        <v>189.4777</v>
      </c>
    </row>
    <row r="2890" spans="2:3">
      <c r="B2890" s="38">
        <v>42360</v>
      </c>
      <c r="C2890">
        <v>189.66079999999999</v>
      </c>
    </row>
    <row r="2891" spans="2:3">
      <c r="B2891" s="38">
        <v>42361</v>
      </c>
      <c r="C2891">
        <v>190.1635</v>
      </c>
    </row>
    <row r="2892" spans="2:3">
      <c r="B2892" s="38">
        <v>42362</v>
      </c>
      <c r="C2892">
        <v>190.25299999999999</v>
      </c>
    </row>
    <row r="2893" spans="2:3">
      <c r="B2893" s="38">
        <v>42366</v>
      </c>
      <c r="C2893">
        <v>190.251</v>
      </c>
    </row>
    <row r="2894" spans="2:3">
      <c r="B2894" s="38">
        <v>42367</v>
      </c>
      <c r="C2894">
        <v>190.24440000000001</v>
      </c>
    </row>
    <row r="2895" spans="2:3">
      <c r="B2895" s="38">
        <v>42368</v>
      </c>
      <c r="C2895">
        <v>190.02860000000001</v>
      </c>
    </row>
    <row r="2896" spans="2:3">
      <c r="B2896" s="38">
        <v>42369</v>
      </c>
      <c r="C2896">
        <v>189.9051</v>
      </c>
    </row>
    <row r="2897" spans="2:3">
      <c r="B2897" s="38">
        <v>42373</v>
      </c>
      <c r="C2897">
        <v>189.40260000000001</v>
      </c>
    </row>
    <row r="2898" spans="2:3">
      <c r="B2898" s="38">
        <v>42374</v>
      </c>
      <c r="C2898">
        <v>189.48859999999999</v>
      </c>
    </row>
    <row r="2899" spans="2:3">
      <c r="B2899" s="38">
        <v>42375</v>
      </c>
      <c r="C2899">
        <v>189.3603</v>
      </c>
    </row>
    <row r="2900" spans="2:3">
      <c r="B2900" s="38">
        <v>42376</v>
      </c>
      <c r="C2900">
        <v>188.23519999999999</v>
      </c>
    </row>
    <row r="2901" spans="2:3">
      <c r="B2901" s="38">
        <v>42377</v>
      </c>
      <c r="C2901">
        <v>187.80199999999999</v>
      </c>
    </row>
    <row r="2902" spans="2:3">
      <c r="B2902" s="38">
        <v>42380</v>
      </c>
      <c r="C2902">
        <v>187.828</v>
      </c>
    </row>
    <row r="2903" spans="2:3">
      <c r="B2903" s="38">
        <v>42381</v>
      </c>
      <c r="C2903">
        <v>188.6044</v>
      </c>
    </row>
    <row r="2904" spans="2:3">
      <c r="B2904" s="38">
        <v>42382</v>
      </c>
      <c r="C2904">
        <v>187.4239</v>
      </c>
    </row>
    <row r="2905" spans="2:3">
      <c r="B2905" s="38">
        <v>42383</v>
      </c>
      <c r="C2905">
        <v>188.15719999999999</v>
      </c>
    </row>
    <row r="2906" spans="2:3">
      <c r="B2906" s="38">
        <v>42384</v>
      </c>
      <c r="C2906">
        <v>187.50829999999999</v>
      </c>
    </row>
    <row r="2907" spans="2:3">
      <c r="B2907" s="38">
        <v>42388</v>
      </c>
      <c r="C2907">
        <v>187.50190000000001</v>
      </c>
    </row>
    <row r="2908" spans="2:3">
      <c r="B2908" s="38">
        <v>42389</v>
      </c>
      <c r="C2908">
        <v>187.33690000000001</v>
      </c>
    </row>
    <row r="2909" spans="2:3">
      <c r="B2909" s="38">
        <v>42390</v>
      </c>
      <c r="C2909">
        <v>187.3869</v>
      </c>
    </row>
    <row r="2910" spans="2:3">
      <c r="B2910" s="38">
        <v>42391</v>
      </c>
      <c r="C2910">
        <v>188.30109999999999</v>
      </c>
    </row>
    <row r="2911" spans="2:3">
      <c r="B2911" s="38">
        <v>42394</v>
      </c>
      <c r="C2911">
        <v>187.63210000000001</v>
      </c>
    </row>
    <row r="2912" spans="2:3">
      <c r="B2912" s="38">
        <v>42395</v>
      </c>
      <c r="C2912">
        <v>188.54580000000001</v>
      </c>
    </row>
    <row r="2913" spans="2:3">
      <c r="B2913" s="38">
        <v>42396</v>
      </c>
      <c r="C2913">
        <v>187.99709999999999</v>
      </c>
    </row>
    <row r="2914" spans="2:3">
      <c r="B2914" s="38">
        <v>42397</v>
      </c>
      <c r="C2914">
        <v>188.4572</v>
      </c>
    </row>
    <row r="2915" spans="2:3">
      <c r="B2915" s="38">
        <v>42398</v>
      </c>
      <c r="C2915">
        <v>189.9914</v>
      </c>
    </row>
    <row r="2916" spans="2:3">
      <c r="B2916" s="38">
        <v>42401</v>
      </c>
      <c r="C2916">
        <v>189.57579999999999</v>
      </c>
    </row>
    <row r="2917" spans="2:3">
      <c r="B2917" s="38">
        <v>42402</v>
      </c>
      <c r="C2917">
        <v>189.50059999999999</v>
      </c>
    </row>
    <row r="2918" spans="2:3">
      <c r="B2918" s="38">
        <v>42403</v>
      </c>
      <c r="C2918">
        <v>189.68020000000001</v>
      </c>
    </row>
    <row r="2919" spans="2:3">
      <c r="B2919" s="38">
        <v>42404</v>
      </c>
      <c r="C2919">
        <v>189.721</v>
      </c>
    </row>
    <row r="2920" spans="2:3">
      <c r="B2920" s="38">
        <v>42405</v>
      </c>
      <c r="C2920">
        <v>188.77959999999999</v>
      </c>
    </row>
    <row r="2921" spans="2:3">
      <c r="B2921" s="38">
        <v>42408</v>
      </c>
      <c r="C2921">
        <v>188.6756</v>
      </c>
    </row>
    <row r="2922" spans="2:3">
      <c r="B2922" s="38">
        <v>42409</v>
      </c>
      <c r="C2922">
        <v>188.798</v>
      </c>
    </row>
    <row r="2923" spans="2:3">
      <c r="B2923" s="38">
        <v>42410</v>
      </c>
      <c r="C2923">
        <v>188.97149999999999</v>
      </c>
    </row>
    <row r="2924" spans="2:3">
      <c r="B2924" s="38">
        <v>42411</v>
      </c>
      <c r="C2924">
        <v>188.79220000000001</v>
      </c>
    </row>
    <row r="2925" spans="2:3">
      <c r="B2925" s="38">
        <v>42412</v>
      </c>
      <c r="C2925">
        <v>189.0085</v>
      </c>
    </row>
    <row r="2926" spans="2:3">
      <c r="B2926" s="38">
        <v>42416</v>
      </c>
      <c r="C2926">
        <v>189.73400000000001</v>
      </c>
    </row>
    <row r="2927" spans="2:3">
      <c r="B2927" s="38">
        <v>42417</v>
      </c>
      <c r="C2927">
        <v>190.36709999999999</v>
      </c>
    </row>
    <row r="2928" spans="2:3">
      <c r="B2928" s="38">
        <v>42418</v>
      </c>
      <c r="C2928">
        <v>190.4769</v>
      </c>
    </row>
    <row r="2929" spans="2:3">
      <c r="B2929" s="38">
        <v>42419</v>
      </c>
      <c r="C2929">
        <v>190.4922</v>
      </c>
    </row>
    <row r="2930" spans="2:3">
      <c r="B2930" s="38">
        <v>42422</v>
      </c>
      <c r="C2930">
        <v>191.2568</v>
      </c>
    </row>
    <row r="2931" spans="2:3">
      <c r="B2931" s="38">
        <v>42423</v>
      </c>
      <c r="C2931">
        <v>190.76859999999999</v>
      </c>
    </row>
    <row r="2932" spans="2:3">
      <c r="B2932" s="38">
        <v>42424</v>
      </c>
      <c r="C2932">
        <v>191.02869999999999</v>
      </c>
    </row>
    <row r="2933" spans="2:3">
      <c r="B2933" s="38">
        <v>42425</v>
      </c>
      <c r="C2933">
        <v>191.9853</v>
      </c>
    </row>
    <row r="2934" spans="2:3">
      <c r="B2934" s="38">
        <v>42426</v>
      </c>
      <c r="C2934">
        <v>191.44970000000001</v>
      </c>
    </row>
    <row r="2935" spans="2:3">
      <c r="B2935" s="38">
        <v>42429</v>
      </c>
      <c r="C2935">
        <v>191.28139999999999</v>
      </c>
    </row>
    <row r="2936" spans="2:3">
      <c r="B2936" s="38">
        <v>42430</v>
      </c>
      <c r="C2936">
        <v>191.92939999999999</v>
      </c>
    </row>
    <row r="2937" spans="2:3">
      <c r="B2937" s="38">
        <v>42431</v>
      </c>
      <c r="C2937">
        <v>192.1113</v>
      </c>
    </row>
    <row r="2938" spans="2:3">
      <c r="B2938" s="38">
        <v>42432</v>
      </c>
      <c r="C2938">
        <v>192.53139999999999</v>
      </c>
    </row>
    <row r="2939" spans="2:3">
      <c r="B2939" s="38">
        <v>42433</v>
      </c>
      <c r="C2939">
        <v>192.42429999999999</v>
      </c>
    </row>
    <row r="2940" spans="2:3">
      <c r="B2940" s="38">
        <v>42436</v>
      </c>
      <c r="C2940">
        <v>192.38</v>
      </c>
    </row>
    <row r="2941" spans="2:3">
      <c r="B2941" s="38">
        <v>42437</v>
      </c>
      <c r="C2941">
        <v>192.14340000000001</v>
      </c>
    </row>
    <row r="2942" spans="2:3">
      <c r="B2942" s="38">
        <v>42438</v>
      </c>
      <c r="C2942">
        <v>192.12039999999999</v>
      </c>
    </row>
    <row r="2943" spans="2:3">
      <c r="B2943" s="38">
        <v>42439</v>
      </c>
      <c r="C2943">
        <v>192.10890000000001</v>
      </c>
    </row>
    <row r="2944" spans="2:3">
      <c r="B2944" s="38">
        <v>42440</v>
      </c>
      <c r="C2944">
        <v>192.86709999999999</v>
      </c>
    </row>
    <row r="2945" spans="2:3">
      <c r="B2945" s="38">
        <v>42443</v>
      </c>
      <c r="C2945">
        <v>192.79750000000001</v>
      </c>
    </row>
    <row r="2946" spans="2:3">
      <c r="B2946" s="38">
        <v>42444</v>
      </c>
      <c r="C2946">
        <v>192.5745</v>
      </c>
    </row>
    <row r="2947" spans="2:3">
      <c r="B2947" s="38">
        <v>42445</v>
      </c>
      <c r="C2947">
        <v>193.22149999999999</v>
      </c>
    </row>
    <row r="2948" spans="2:3">
      <c r="B2948" s="38">
        <v>42446</v>
      </c>
      <c r="C2948">
        <v>193.9419</v>
      </c>
    </row>
    <row r="2949" spans="2:3">
      <c r="B2949" s="38">
        <v>42447</v>
      </c>
      <c r="C2949">
        <v>194.31649999999999</v>
      </c>
    </row>
    <row r="2950" spans="2:3">
      <c r="B2950" s="38">
        <v>42450</v>
      </c>
      <c r="C2950">
        <v>193.97980000000001</v>
      </c>
    </row>
    <row r="2951" spans="2:3">
      <c r="B2951" s="38">
        <v>42451</v>
      </c>
      <c r="C2951">
        <v>193.7296</v>
      </c>
    </row>
    <row r="2952" spans="2:3">
      <c r="B2952" s="38">
        <v>42452</v>
      </c>
      <c r="C2952">
        <v>193.6979</v>
      </c>
    </row>
    <row r="2953" spans="2:3">
      <c r="B2953" s="38">
        <v>42453</v>
      </c>
      <c r="C2953">
        <v>193.40430000000001</v>
      </c>
    </row>
    <row r="2954" spans="2:3">
      <c r="B2954" s="38">
        <v>42457</v>
      </c>
      <c r="C2954">
        <v>193.58099999999999</v>
      </c>
    </row>
    <row r="2955" spans="2:3">
      <c r="B2955" s="38">
        <v>42458</v>
      </c>
      <c r="C2955">
        <v>194.5317</v>
      </c>
    </row>
    <row r="2956" spans="2:3">
      <c r="B2956" s="38">
        <v>42459</v>
      </c>
      <c r="C2956">
        <v>194.9331</v>
      </c>
    </row>
    <row r="2957" spans="2:3">
      <c r="B2957" s="38">
        <v>42460</v>
      </c>
      <c r="C2957">
        <v>195.05539999999999</v>
      </c>
    </row>
    <row r="2958" spans="2:3">
      <c r="B2958" s="38">
        <v>42461</v>
      </c>
      <c r="C2958">
        <v>195.45099999999999</v>
      </c>
    </row>
    <row r="2959" spans="2:3">
      <c r="B2959" s="38">
        <v>42464</v>
      </c>
      <c r="C2959">
        <v>195.31809999999999</v>
      </c>
    </row>
    <row r="2960" spans="2:3">
      <c r="B2960" s="38">
        <v>42465</v>
      </c>
      <c r="C2960">
        <v>194.8485</v>
      </c>
    </row>
    <row r="2961" spans="2:3">
      <c r="B2961" s="38">
        <v>42466</v>
      </c>
      <c r="C2961">
        <v>195.43620000000001</v>
      </c>
    </row>
    <row r="2962" spans="2:3">
      <c r="B2962" s="38">
        <v>42467</v>
      </c>
      <c r="C2962">
        <v>194.8364</v>
      </c>
    </row>
    <row r="2963" spans="2:3">
      <c r="B2963" s="38">
        <v>42468</v>
      </c>
      <c r="C2963">
        <v>194.82069999999999</v>
      </c>
    </row>
    <row r="2964" spans="2:3">
      <c r="B2964" s="38">
        <v>42471</v>
      </c>
      <c r="C2964">
        <v>194.70240000000001</v>
      </c>
    </row>
    <row r="2965" spans="2:3">
      <c r="B2965" s="38">
        <v>42472</v>
      </c>
      <c r="C2965">
        <v>195.16069999999999</v>
      </c>
    </row>
    <row r="2966" spans="2:3">
      <c r="B2966" s="38">
        <v>42473</v>
      </c>
      <c r="C2966">
        <v>196.03</v>
      </c>
    </row>
    <row r="2967" spans="2:3">
      <c r="B2967" s="38">
        <v>42474</v>
      </c>
      <c r="C2967">
        <v>195.93870000000001</v>
      </c>
    </row>
    <row r="2968" spans="2:3">
      <c r="B2968" s="38">
        <v>42475</v>
      </c>
      <c r="C2968">
        <v>196.0059</v>
      </c>
    </row>
    <row r="2969" spans="2:3">
      <c r="B2969" s="38">
        <v>42478</v>
      </c>
      <c r="C2969">
        <v>196.50720000000001</v>
      </c>
    </row>
    <row r="2970" spans="2:3">
      <c r="B2970" s="38">
        <v>42479</v>
      </c>
      <c r="C2970">
        <v>196.69649999999999</v>
      </c>
    </row>
    <row r="2971" spans="2:3">
      <c r="B2971" s="38">
        <v>42480</v>
      </c>
      <c r="C2971">
        <v>196.4298</v>
      </c>
    </row>
    <row r="2972" spans="2:3">
      <c r="B2972" s="38">
        <v>42481</v>
      </c>
      <c r="C2972">
        <v>195.86590000000001</v>
      </c>
    </row>
    <row r="2973" spans="2:3">
      <c r="B2973" s="38">
        <v>42482</v>
      </c>
      <c r="C2973">
        <v>195.8107</v>
      </c>
    </row>
    <row r="2974" spans="2:3">
      <c r="B2974" s="38">
        <v>42485</v>
      </c>
      <c r="C2974">
        <v>195.54750000000001</v>
      </c>
    </row>
    <row r="2975" spans="2:3">
      <c r="B2975" s="38">
        <v>42486</v>
      </c>
      <c r="C2975">
        <v>195.59700000000001</v>
      </c>
    </row>
    <row r="2976" spans="2:3">
      <c r="B2976" s="38">
        <v>42487</v>
      </c>
      <c r="C2976">
        <v>196.04990000000001</v>
      </c>
    </row>
    <row r="2977" spans="2:3">
      <c r="B2977" s="38">
        <v>42488</v>
      </c>
      <c r="C2977">
        <v>195.29060000000001</v>
      </c>
    </row>
    <row r="2978" spans="2:3">
      <c r="B2978" s="38">
        <v>42489</v>
      </c>
      <c r="C2978">
        <v>194.8905</v>
      </c>
    </row>
    <row r="2979" spans="2:3">
      <c r="B2979" s="38">
        <v>42492</v>
      </c>
      <c r="C2979">
        <v>195.4212</v>
      </c>
    </row>
    <row r="2980" spans="2:3">
      <c r="B2980" s="38">
        <v>42493</v>
      </c>
      <c r="C2980">
        <v>194.78229999999999</v>
      </c>
    </row>
    <row r="2981" spans="2:3">
      <c r="B2981" s="38">
        <v>42494</v>
      </c>
      <c r="C2981">
        <v>194.24449999999999</v>
      </c>
    </row>
    <row r="2982" spans="2:3">
      <c r="B2982" s="38">
        <v>42495</v>
      </c>
      <c r="C2982">
        <v>194.3947</v>
      </c>
    </row>
    <row r="2983" spans="2:3">
      <c r="B2983" s="38">
        <v>42496</v>
      </c>
      <c r="C2983">
        <v>194.62309999999999</v>
      </c>
    </row>
    <row r="2984" spans="2:3">
      <c r="B2984" s="38">
        <v>42499</v>
      </c>
      <c r="C2984">
        <v>194.8451</v>
      </c>
    </row>
    <row r="2985" spans="2:3">
      <c r="B2985" s="38">
        <v>42500</v>
      </c>
      <c r="C2985">
        <v>196.18369999999999</v>
      </c>
    </row>
    <row r="2986" spans="2:3">
      <c r="B2986" s="38">
        <v>42501</v>
      </c>
      <c r="C2986">
        <v>195.20150000000001</v>
      </c>
    </row>
    <row r="2987" spans="2:3">
      <c r="B2987" s="38">
        <v>42502</v>
      </c>
      <c r="C2987">
        <v>195.0581</v>
      </c>
    </row>
    <row r="2988" spans="2:3">
      <c r="B2988" s="38">
        <v>42503</v>
      </c>
      <c r="C2988">
        <v>194.34129999999999</v>
      </c>
    </row>
    <row r="2989" spans="2:3">
      <c r="B2989" s="38">
        <v>42506</v>
      </c>
      <c r="C2989">
        <v>195.20769999999999</v>
      </c>
    </row>
    <row r="2990" spans="2:3">
      <c r="B2990" s="38">
        <v>42507</v>
      </c>
      <c r="C2990">
        <v>194.1463</v>
      </c>
    </row>
    <row r="2991" spans="2:3">
      <c r="B2991" s="38">
        <v>42508</v>
      </c>
      <c r="C2991">
        <v>193.6524</v>
      </c>
    </row>
    <row r="2992" spans="2:3">
      <c r="B2992" s="38">
        <v>42509</v>
      </c>
      <c r="C2992">
        <v>193.46199999999999</v>
      </c>
    </row>
    <row r="2993" spans="2:3">
      <c r="B2993" s="38">
        <v>42510</v>
      </c>
      <c r="C2993">
        <v>194.06970000000001</v>
      </c>
    </row>
    <row r="2994" spans="2:3">
      <c r="B2994" s="38">
        <v>42513</v>
      </c>
      <c r="C2994">
        <v>193.88659999999999</v>
      </c>
    </row>
    <row r="2995" spans="2:3">
      <c r="B2995" s="38">
        <v>42514</v>
      </c>
      <c r="C2995">
        <v>195.2329</v>
      </c>
    </row>
    <row r="2996" spans="2:3">
      <c r="B2996" s="38">
        <v>42515</v>
      </c>
      <c r="C2996">
        <v>195.90700000000001</v>
      </c>
    </row>
    <row r="2997" spans="2:3">
      <c r="B2997" s="38">
        <v>42516</v>
      </c>
      <c r="C2997">
        <v>196.1439</v>
      </c>
    </row>
    <row r="2998" spans="2:3">
      <c r="B2998" s="38">
        <v>42517</v>
      </c>
      <c r="C2998">
        <v>196.48679999999999</v>
      </c>
    </row>
    <row r="2999" spans="2:3">
      <c r="B2999" s="38">
        <v>42521</v>
      </c>
      <c r="C2999">
        <v>196.43799999999999</v>
      </c>
    </row>
    <row r="3000" spans="2:3">
      <c r="B3000" s="38">
        <v>42522</v>
      </c>
      <c r="C3000">
        <v>196.45769999999999</v>
      </c>
    </row>
    <row r="3001" spans="2:3">
      <c r="B3001" s="38">
        <v>42523</v>
      </c>
      <c r="C3001">
        <v>196.88720000000001</v>
      </c>
    </row>
    <row r="3002" spans="2:3">
      <c r="B3002" s="38">
        <v>42524</v>
      </c>
      <c r="C3002">
        <v>197.125</v>
      </c>
    </row>
    <row r="3003" spans="2:3">
      <c r="B3003" s="38">
        <v>42527</v>
      </c>
      <c r="C3003">
        <v>197.57570000000001</v>
      </c>
    </row>
    <row r="3004" spans="2:3">
      <c r="B3004" s="38">
        <v>42528</v>
      </c>
      <c r="C3004">
        <v>197.7955</v>
      </c>
    </row>
    <row r="3005" spans="2:3">
      <c r="B3005" s="38">
        <v>42529</v>
      </c>
      <c r="C3005">
        <v>198.17670000000001</v>
      </c>
    </row>
    <row r="3006" spans="2:3">
      <c r="B3006" s="38">
        <v>42530</v>
      </c>
      <c r="C3006">
        <v>198.11250000000001</v>
      </c>
    </row>
    <row r="3007" spans="2:3">
      <c r="B3007" s="38">
        <v>42531</v>
      </c>
      <c r="C3007">
        <v>197.2628</v>
      </c>
    </row>
    <row r="3008" spans="2:3">
      <c r="B3008" s="38">
        <v>42534</v>
      </c>
      <c r="C3008">
        <v>196.4308</v>
      </c>
    </row>
    <row r="3009" spans="2:3">
      <c r="B3009" s="38">
        <v>42535</v>
      </c>
      <c r="C3009">
        <v>196.2116</v>
      </c>
    </row>
    <row r="3010" spans="2:3">
      <c r="B3010" s="38">
        <v>42536</v>
      </c>
      <c r="C3010">
        <v>196.09200000000001</v>
      </c>
    </row>
    <row r="3011" spans="2:3">
      <c r="B3011" s="38">
        <v>42537</v>
      </c>
      <c r="C3011">
        <v>196.60820000000001</v>
      </c>
    </row>
    <row r="3012" spans="2:3">
      <c r="B3012" s="38">
        <v>42538</v>
      </c>
      <c r="C3012">
        <v>196.03540000000001</v>
      </c>
    </row>
    <row r="3013" spans="2:3">
      <c r="B3013" s="38">
        <v>42541</v>
      </c>
      <c r="C3013">
        <v>196.53129999999999</v>
      </c>
    </row>
    <row r="3014" spans="2:3">
      <c r="B3014" s="38">
        <v>42542</v>
      </c>
      <c r="C3014">
        <v>196.74520000000001</v>
      </c>
    </row>
    <row r="3015" spans="2:3">
      <c r="B3015" s="38">
        <v>42543</v>
      </c>
      <c r="C3015">
        <v>196.59229999999999</v>
      </c>
    </row>
    <row r="3016" spans="2:3">
      <c r="B3016" s="38">
        <v>42544</v>
      </c>
      <c r="C3016">
        <v>197.87469999999999</v>
      </c>
    </row>
    <row r="3017" spans="2:3">
      <c r="B3017" s="38">
        <v>42545</v>
      </c>
      <c r="C3017">
        <v>194.3877</v>
      </c>
    </row>
    <row r="3018" spans="2:3">
      <c r="B3018" s="38">
        <v>42548</v>
      </c>
      <c r="C3018">
        <v>192.97989999999999</v>
      </c>
    </row>
    <row r="3019" spans="2:3">
      <c r="B3019" s="38">
        <v>42549</v>
      </c>
      <c r="C3019">
        <v>194.8098</v>
      </c>
    </row>
    <row r="3020" spans="2:3">
      <c r="B3020" s="38">
        <v>42550</v>
      </c>
      <c r="C3020">
        <v>196.38480000000001</v>
      </c>
    </row>
    <row r="3021" spans="2:3">
      <c r="B3021" s="38">
        <v>42551</v>
      </c>
      <c r="C3021">
        <v>197.6103</v>
      </c>
    </row>
    <row r="3022" spans="2:3">
      <c r="B3022" s="38">
        <v>42552</v>
      </c>
      <c r="C3022">
        <v>197.90700000000001</v>
      </c>
    </row>
    <row r="3023" spans="2:3">
      <c r="B3023" s="38">
        <v>42556</v>
      </c>
      <c r="C3023">
        <v>197.8972</v>
      </c>
    </row>
    <row r="3024" spans="2:3">
      <c r="B3024" s="38">
        <v>42557</v>
      </c>
      <c r="C3024">
        <v>198.19399999999999</v>
      </c>
    </row>
    <row r="3025" spans="2:3">
      <c r="B3025" s="38">
        <v>42558</v>
      </c>
      <c r="C3025">
        <v>198.18780000000001</v>
      </c>
    </row>
    <row r="3026" spans="2:3">
      <c r="B3026" s="38">
        <v>42559</v>
      </c>
      <c r="C3026">
        <v>199.3656</v>
      </c>
    </row>
    <row r="3027" spans="2:3">
      <c r="B3027" s="38">
        <v>42562</v>
      </c>
      <c r="C3027">
        <v>199.18969999999999</v>
      </c>
    </row>
    <row r="3028" spans="2:3">
      <c r="B3028" s="38">
        <v>42563</v>
      </c>
      <c r="C3028">
        <v>199.1071</v>
      </c>
    </row>
    <row r="3029" spans="2:3">
      <c r="B3029" s="38">
        <v>42564</v>
      </c>
      <c r="C3029">
        <v>199.46809999999999</v>
      </c>
    </row>
    <row r="3030" spans="2:3">
      <c r="B3030" s="38">
        <v>42565</v>
      </c>
      <c r="C3030">
        <v>199.35759999999999</v>
      </c>
    </row>
    <row r="3031" spans="2:3">
      <c r="B3031" s="38">
        <v>42566</v>
      </c>
      <c r="C3031">
        <v>198.8588</v>
      </c>
    </row>
    <row r="3032" spans="2:3">
      <c r="B3032" s="38">
        <v>42569</v>
      </c>
      <c r="C3032">
        <v>199.0958</v>
      </c>
    </row>
    <row r="3033" spans="2:3">
      <c r="B3033" s="38">
        <v>42570</v>
      </c>
      <c r="C3033">
        <v>199.14340000000001</v>
      </c>
    </row>
    <row r="3034" spans="2:3">
      <c r="B3034" s="38">
        <v>42571</v>
      </c>
      <c r="C3034">
        <v>199.2501</v>
      </c>
    </row>
    <row r="3035" spans="2:3">
      <c r="B3035" s="38">
        <v>42572</v>
      </c>
      <c r="C3035">
        <v>199.00040000000001</v>
      </c>
    </row>
    <row r="3036" spans="2:3">
      <c r="B3036" s="38">
        <v>42573</v>
      </c>
      <c r="C3036">
        <v>199.23</v>
      </c>
    </row>
    <row r="3037" spans="2:3">
      <c r="B3037" s="38">
        <v>42576</v>
      </c>
      <c r="C3037">
        <v>198.91120000000001</v>
      </c>
    </row>
    <row r="3038" spans="2:3">
      <c r="B3038" s="38">
        <v>42577</v>
      </c>
      <c r="C3038">
        <v>198.9717</v>
      </c>
    </row>
    <row r="3039" spans="2:3">
      <c r="B3039" s="38">
        <v>42578</v>
      </c>
      <c r="C3039">
        <v>199.2379</v>
      </c>
    </row>
    <row r="3040" spans="2:3">
      <c r="B3040" s="38">
        <v>42579</v>
      </c>
      <c r="C3040">
        <v>199.42660000000001</v>
      </c>
    </row>
    <row r="3041" spans="2:3">
      <c r="B3041" s="38">
        <v>42580</v>
      </c>
      <c r="C3041">
        <v>199.96170000000001</v>
      </c>
    </row>
    <row r="3042" spans="2:3">
      <c r="B3042" s="38">
        <v>42583</v>
      </c>
      <c r="C3042">
        <v>199.51599999999999</v>
      </c>
    </row>
    <row r="3043" spans="2:3">
      <c r="B3043" s="38">
        <v>42584</v>
      </c>
      <c r="C3043">
        <v>198.76830000000001</v>
      </c>
    </row>
    <row r="3044" spans="2:3">
      <c r="B3044" s="38">
        <v>42585</v>
      </c>
      <c r="C3044">
        <v>199.06190000000001</v>
      </c>
    </row>
    <row r="3045" spans="2:3">
      <c r="B3045" s="38">
        <v>42586</v>
      </c>
      <c r="C3045">
        <v>199.376</v>
      </c>
    </row>
    <row r="3046" spans="2:3">
      <c r="B3046" s="38">
        <v>42587</v>
      </c>
      <c r="C3046">
        <v>199.61609999999999</v>
      </c>
    </row>
    <row r="3047" spans="2:3">
      <c r="B3047" s="38">
        <v>42590</v>
      </c>
      <c r="C3047">
        <v>199.53630000000001</v>
      </c>
    </row>
    <row r="3048" spans="2:3">
      <c r="B3048" s="38">
        <v>42591</v>
      </c>
      <c r="C3048">
        <v>199.8245</v>
      </c>
    </row>
    <row r="3049" spans="2:3">
      <c r="B3049" s="38">
        <v>42592</v>
      </c>
      <c r="C3049">
        <v>199.82429999999999</v>
      </c>
    </row>
    <row r="3050" spans="2:3">
      <c r="B3050" s="38">
        <v>42593</v>
      </c>
      <c r="C3050">
        <v>199.8381</v>
      </c>
    </row>
    <row r="3051" spans="2:3">
      <c r="B3051" s="38">
        <v>42594</v>
      </c>
      <c r="C3051">
        <v>200.10069999999999</v>
      </c>
    </row>
    <row r="3052" spans="2:3">
      <c r="B3052" s="38">
        <v>42597</v>
      </c>
      <c r="C3052">
        <v>200.1514</v>
      </c>
    </row>
    <row r="3053" spans="2:3">
      <c r="B3053" s="38">
        <v>42598</v>
      </c>
      <c r="C3053">
        <v>199.60059999999999</v>
      </c>
    </row>
    <row r="3054" spans="2:3">
      <c r="B3054" s="38">
        <v>42599</v>
      </c>
      <c r="C3054">
        <v>199.83240000000001</v>
      </c>
    </row>
    <row r="3055" spans="2:3">
      <c r="B3055" s="38">
        <v>42600</v>
      </c>
      <c r="C3055">
        <v>200.20820000000001</v>
      </c>
    </row>
    <row r="3056" spans="2:3">
      <c r="B3056" s="38">
        <v>42601</v>
      </c>
      <c r="C3056">
        <v>199.84180000000001</v>
      </c>
    </row>
    <row r="3057" spans="2:3">
      <c r="B3057" s="38">
        <v>42604</v>
      </c>
      <c r="C3057">
        <v>200.04480000000001</v>
      </c>
    </row>
    <row r="3058" spans="2:3">
      <c r="B3058" s="38">
        <v>42605</v>
      </c>
      <c r="C3058">
        <v>200.22280000000001</v>
      </c>
    </row>
    <row r="3059" spans="2:3">
      <c r="B3059" s="38">
        <v>42606</v>
      </c>
      <c r="C3059">
        <v>199.7672</v>
      </c>
    </row>
    <row r="3060" spans="2:3">
      <c r="B3060" s="38">
        <v>42607</v>
      </c>
      <c r="C3060">
        <v>199.5119</v>
      </c>
    </row>
    <row r="3061" spans="2:3">
      <c r="B3061" s="38">
        <v>42608</v>
      </c>
      <c r="C3061">
        <v>199.04730000000001</v>
      </c>
    </row>
    <row r="3062" spans="2:3">
      <c r="B3062" s="38">
        <v>42611</v>
      </c>
      <c r="C3062">
        <v>199.95949999999999</v>
      </c>
    </row>
    <row r="3063" spans="2:3">
      <c r="B3063" s="38">
        <v>42612</v>
      </c>
      <c r="C3063">
        <v>199.7022</v>
      </c>
    </row>
    <row r="3064" spans="2:3">
      <c r="B3064" s="38">
        <v>42613</v>
      </c>
      <c r="C3064">
        <v>199.4084</v>
      </c>
    </row>
    <row r="3065" spans="2:3">
      <c r="B3065" s="38">
        <v>42614</v>
      </c>
      <c r="C3065">
        <v>199.358</v>
      </c>
    </row>
    <row r="3066" spans="2:3">
      <c r="B3066" s="38">
        <v>42615</v>
      </c>
      <c r="C3066">
        <v>199.82980000000001</v>
      </c>
    </row>
    <row r="3067" spans="2:3">
      <c r="B3067" s="38">
        <v>42619</v>
      </c>
      <c r="C3067">
        <v>200.44759999999999</v>
      </c>
    </row>
    <row r="3068" spans="2:3">
      <c r="B3068" s="38">
        <v>42620</v>
      </c>
      <c r="C3068">
        <v>200.4341</v>
      </c>
    </row>
    <row r="3069" spans="2:3">
      <c r="B3069" s="38">
        <v>42621</v>
      </c>
      <c r="C3069">
        <v>199.90719999999999</v>
      </c>
    </row>
    <row r="3070" spans="2:3">
      <c r="B3070" s="38">
        <v>42622</v>
      </c>
      <c r="C3070">
        <v>196.042</v>
      </c>
    </row>
    <row r="3071" spans="2:3">
      <c r="B3071" s="38">
        <v>42625</v>
      </c>
      <c r="C3071">
        <v>198.3339</v>
      </c>
    </row>
    <row r="3072" spans="2:3">
      <c r="B3072" s="38">
        <v>42626</v>
      </c>
      <c r="C3072">
        <v>195.95910000000001</v>
      </c>
    </row>
    <row r="3073" spans="2:3">
      <c r="B3073" s="38">
        <v>42627</v>
      </c>
      <c r="C3073">
        <v>196.00210000000001</v>
      </c>
    </row>
    <row r="3074" spans="2:3">
      <c r="B3074" s="38">
        <v>42628</v>
      </c>
      <c r="C3074">
        <v>197.39160000000001</v>
      </c>
    </row>
    <row r="3075" spans="2:3">
      <c r="B3075" s="38">
        <v>42629</v>
      </c>
      <c r="C3075">
        <v>196.87440000000001</v>
      </c>
    </row>
    <row r="3076" spans="2:3">
      <c r="B3076" s="38">
        <v>42632</v>
      </c>
      <c r="C3076">
        <v>196.90129999999999</v>
      </c>
    </row>
    <row r="3077" spans="2:3">
      <c r="B3077" s="38">
        <v>42633</v>
      </c>
      <c r="C3077">
        <v>196.9365</v>
      </c>
    </row>
    <row r="3078" spans="2:3">
      <c r="B3078" s="38">
        <v>42634</v>
      </c>
      <c r="C3078">
        <v>198.28620000000001</v>
      </c>
    </row>
    <row r="3079" spans="2:3">
      <c r="B3079" s="38">
        <v>42635</v>
      </c>
      <c r="C3079">
        <v>199.2268</v>
      </c>
    </row>
    <row r="3080" spans="2:3">
      <c r="B3080" s="38">
        <v>42636</v>
      </c>
      <c r="C3080">
        <v>198.714</v>
      </c>
    </row>
    <row r="3081" spans="2:3">
      <c r="B3081" s="38">
        <v>42639</v>
      </c>
      <c r="C3081">
        <v>197.98400000000001</v>
      </c>
    </row>
    <row r="3082" spans="2:3">
      <c r="B3082" s="38">
        <v>42640</v>
      </c>
      <c r="C3082">
        <v>198.7621</v>
      </c>
    </row>
    <row r="3083" spans="2:3">
      <c r="B3083" s="38">
        <v>42641</v>
      </c>
      <c r="C3083">
        <v>199.2225</v>
      </c>
    </row>
    <row r="3084" spans="2:3">
      <c r="B3084" s="38">
        <v>42642</v>
      </c>
      <c r="C3084">
        <v>198.48910000000001</v>
      </c>
    </row>
    <row r="3085" spans="2:3">
      <c r="B3085" s="38">
        <v>42643</v>
      </c>
      <c r="C3085">
        <v>198.82579999999999</v>
      </c>
    </row>
    <row r="3086" spans="2:3">
      <c r="B3086" s="38">
        <v>42646</v>
      </c>
      <c r="C3086">
        <v>198.4949</v>
      </c>
    </row>
    <row r="3087" spans="2:3">
      <c r="B3087" s="38">
        <v>42647</v>
      </c>
      <c r="C3087">
        <v>197.79339999999999</v>
      </c>
    </row>
    <row r="3088" spans="2:3">
      <c r="B3088" s="38">
        <v>42648</v>
      </c>
      <c r="C3088">
        <v>197.84700000000001</v>
      </c>
    </row>
    <row r="3089" spans="2:3">
      <c r="B3089" s="38">
        <v>42649</v>
      </c>
      <c r="C3089">
        <v>197.703</v>
      </c>
    </row>
    <row r="3090" spans="2:3">
      <c r="B3090" s="38">
        <v>42650</v>
      </c>
      <c r="C3090">
        <v>197.5831</v>
      </c>
    </row>
    <row r="3091" spans="2:3">
      <c r="B3091" s="38">
        <v>42654</v>
      </c>
      <c r="C3091">
        <v>196.9659</v>
      </c>
    </row>
    <row r="3092" spans="2:3">
      <c r="B3092" s="38">
        <v>42655</v>
      </c>
      <c r="C3092">
        <v>196.94800000000001</v>
      </c>
    </row>
    <row r="3093" spans="2:3">
      <c r="B3093" s="38">
        <v>42656</v>
      </c>
      <c r="C3093">
        <v>197.03360000000001</v>
      </c>
    </row>
    <row r="3094" spans="2:3">
      <c r="B3094" s="38">
        <v>42657</v>
      </c>
      <c r="C3094">
        <v>196.73079999999999</v>
      </c>
    </row>
    <row r="3095" spans="2:3">
      <c r="B3095" s="38">
        <v>42660</v>
      </c>
      <c r="C3095">
        <v>196.71289999999999</v>
      </c>
    </row>
    <row r="3096" spans="2:3">
      <c r="B3096" s="38">
        <v>42661</v>
      </c>
      <c r="C3096">
        <v>197.27</v>
      </c>
    </row>
    <row r="3097" spans="2:3">
      <c r="B3097" s="38">
        <v>42662</v>
      </c>
      <c r="C3097">
        <v>197.45060000000001</v>
      </c>
    </row>
    <row r="3098" spans="2:3">
      <c r="B3098" s="38">
        <v>42663</v>
      </c>
      <c r="C3098">
        <v>197.3792</v>
      </c>
    </row>
    <row r="3099" spans="2:3">
      <c r="B3099" s="38">
        <v>42664</v>
      </c>
      <c r="C3099">
        <v>197.40049999999999</v>
      </c>
    </row>
    <row r="3100" spans="2:3">
      <c r="B3100" s="38">
        <v>42667</v>
      </c>
      <c r="C3100">
        <v>197.59309999999999</v>
      </c>
    </row>
    <row r="3101" spans="2:3">
      <c r="B3101" s="38">
        <v>42668</v>
      </c>
      <c r="C3101">
        <v>197.3372</v>
      </c>
    </row>
    <row r="3102" spans="2:3">
      <c r="B3102" s="38">
        <v>42669</v>
      </c>
      <c r="C3102">
        <v>196.99719999999999</v>
      </c>
    </row>
    <row r="3103" spans="2:3">
      <c r="B3103" s="38">
        <v>42670</v>
      </c>
      <c r="C3103">
        <v>196.44239999999999</v>
      </c>
    </row>
    <row r="3104" spans="2:3">
      <c r="B3104" s="38">
        <v>42671</v>
      </c>
      <c r="C3104">
        <v>196.19649999999999</v>
      </c>
    </row>
    <row r="3105" spans="2:3">
      <c r="B3105" s="38">
        <v>42674</v>
      </c>
      <c r="C3105">
        <v>196.2962</v>
      </c>
    </row>
    <row r="3106" spans="2:3">
      <c r="B3106" s="38">
        <v>42675</v>
      </c>
      <c r="C3106">
        <v>195.9049</v>
      </c>
    </row>
    <row r="3107" spans="2:3">
      <c r="B3107" s="38">
        <v>42676</v>
      </c>
      <c r="C3107">
        <v>195.54130000000001</v>
      </c>
    </row>
    <row r="3108" spans="2:3">
      <c r="B3108" s="38">
        <v>42677</v>
      </c>
      <c r="C3108">
        <v>195.16030000000001</v>
      </c>
    </row>
    <row r="3109" spans="2:3">
      <c r="B3109" s="38">
        <v>42678</v>
      </c>
      <c r="C3109">
        <v>195.2097</v>
      </c>
    </row>
    <row r="3110" spans="2:3">
      <c r="B3110" s="38">
        <v>42681</v>
      </c>
      <c r="C3110">
        <v>196.58019999999999</v>
      </c>
    </row>
    <row r="3111" spans="2:3">
      <c r="B3111" s="38">
        <v>42682</v>
      </c>
      <c r="C3111">
        <v>196.65539999999999</v>
      </c>
    </row>
    <row r="3112" spans="2:3">
      <c r="B3112" s="38">
        <v>42683</v>
      </c>
      <c r="C3112">
        <v>196.40190000000001</v>
      </c>
    </row>
    <row r="3113" spans="2:3">
      <c r="B3113" s="38">
        <v>42684</v>
      </c>
      <c r="C3113">
        <v>196.2473</v>
      </c>
    </row>
    <row r="3114" spans="2:3">
      <c r="B3114" s="38">
        <v>42688</v>
      </c>
      <c r="C3114">
        <v>195.48929999999999</v>
      </c>
    </row>
    <row r="3115" spans="2:3">
      <c r="B3115" s="38">
        <v>42689</v>
      </c>
      <c r="C3115">
        <v>196.26589999999999</v>
      </c>
    </row>
    <row r="3116" spans="2:3">
      <c r="B3116" s="38">
        <v>42690</v>
      </c>
      <c r="C3116">
        <v>196.23089999999999</v>
      </c>
    </row>
    <row r="3117" spans="2:3">
      <c r="B3117" s="38">
        <v>42691</v>
      </c>
      <c r="C3117">
        <v>196.39410000000001</v>
      </c>
    </row>
    <row r="3118" spans="2:3">
      <c r="B3118" s="38">
        <v>42692</v>
      </c>
      <c r="C3118">
        <v>195.80369999999999</v>
      </c>
    </row>
    <row r="3119" spans="2:3">
      <c r="B3119" s="38">
        <v>42695</v>
      </c>
      <c r="C3119">
        <v>196.5016</v>
      </c>
    </row>
    <row r="3120" spans="2:3">
      <c r="B3120" s="38">
        <v>42696</v>
      </c>
      <c r="C3120">
        <v>196.83930000000001</v>
      </c>
    </row>
    <row r="3121" spans="2:3">
      <c r="B3121" s="38">
        <v>42697</v>
      </c>
      <c r="C3121">
        <v>196.68680000000001</v>
      </c>
    </row>
    <row r="3122" spans="2:3">
      <c r="B3122" s="38">
        <v>42699</v>
      </c>
      <c r="C3122">
        <v>196.9796</v>
      </c>
    </row>
    <row r="3123" spans="2:3">
      <c r="B3123" s="38">
        <v>42702</v>
      </c>
      <c r="C3123">
        <v>196.80160000000001</v>
      </c>
    </row>
    <row r="3124" spans="2:3">
      <c r="B3124" s="38">
        <v>42703</v>
      </c>
      <c r="C3124">
        <v>197.07660000000001</v>
      </c>
    </row>
    <row r="3125" spans="2:3">
      <c r="B3125" s="38">
        <v>42704</v>
      </c>
      <c r="C3125">
        <v>196.52289999999999</v>
      </c>
    </row>
    <row r="3126" spans="2:3">
      <c r="B3126" s="38">
        <v>42705</v>
      </c>
      <c r="C3126">
        <v>195.7518</v>
      </c>
    </row>
    <row r="3127" spans="2:3">
      <c r="B3127" s="38">
        <v>42706</v>
      </c>
      <c r="C3127">
        <v>196.1035</v>
      </c>
    </row>
    <row r="3128" spans="2:3">
      <c r="B3128" s="38">
        <v>42709</v>
      </c>
      <c r="C3128">
        <v>196.6277</v>
      </c>
    </row>
    <row r="3129" spans="2:3">
      <c r="B3129" s="38">
        <v>42710</v>
      </c>
      <c r="C3129">
        <v>196.93620000000001</v>
      </c>
    </row>
    <row r="3130" spans="2:3">
      <c r="B3130" s="38">
        <v>42711</v>
      </c>
      <c r="C3130">
        <v>198.41210000000001</v>
      </c>
    </row>
    <row r="3131" spans="2:3">
      <c r="B3131" s="38">
        <v>42712</v>
      </c>
      <c r="C3131">
        <v>198.4014</v>
      </c>
    </row>
    <row r="3132" spans="2:3">
      <c r="B3132" s="38">
        <v>42713</v>
      </c>
      <c r="C3132">
        <v>198.65719999999999</v>
      </c>
    </row>
    <row r="3133" spans="2:3">
      <c r="B3133" s="38">
        <v>42716</v>
      </c>
      <c r="C3133">
        <v>198.49160000000001</v>
      </c>
    </row>
    <row r="3134" spans="2:3">
      <c r="B3134" s="38">
        <v>42717</v>
      </c>
      <c r="C3134">
        <v>199.19550000000001</v>
      </c>
    </row>
    <row r="3135" spans="2:3">
      <c r="B3135" s="38">
        <v>42718</v>
      </c>
      <c r="C3135">
        <v>198.05289999999999</v>
      </c>
    </row>
    <row r="3136" spans="2:3">
      <c r="B3136" s="38">
        <v>42719</v>
      </c>
      <c r="C3136">
        <v>198.10820000000001</v>
      </c>
    </row>
    <row r="3137" spans="2:3">
      <c r="B3137" s="38">
        <v>42720</v>
      </c>
      <c r="C3137">
        <v>197.80760000000001</v>
      </c>
    </row>
    <row r="3138" spans="2:3">
      <c r="B3138" s="38">
        <v>42723</v>
      </c>
      <c r="C3138">
        <v>198.32480000000001</v>
      </c>
    </row>
    <row r="3139" spans="2:3">
      <c r="B3139" s="38">
        <v>42724</v>
      </c>
      <c r="C3139">
        <v>198.6276</v>
      </c>
    </row>
    <row r="3140" spans="2:3">
      <c r="B3140" s="38">
        <v>42725</v>
      </c>
      <c r="C3140">
        <v>198.53540000000001</v>
      </c>
    </row>
    <row r="3141" spans="2:3">
      <c r="B3141" s="38">
        <v>42726</v>
      </c>
      <c r="C3141">
        <v>198.33779999999999</v>
      </c>
    </row>
    <row r="3142" spans="2:3">
      <c r="B3142" s="38">
        <v>42727</v>
      </c>
      <c r="C3142">
        <v>198.50909999999999</v>
      </c>
    </row>
    <row r="3143" spans="2:3">
      <c r="B3143" s="38">
        <v>42731</v>
      </c>
      <c r="C3143">
        <v>198.6352</v>
      </c>
    </row>
    <row r="3144" spans="2:3">
      <c r="B3144" s="38">
        <v>42732</v>
      </c>
      <c r="C3144">
        <v>198.03639999999999</v>
      </c>
    </row>
    <row r="3145" spans="2:3">
      <c r="B3145" s="38">
        <v>42733</v>
      </c>
      <c r="C3145">
        <v>198.19319999999999</v>
      </c>
    </row>
    <row r="3146" spans="2:3">
      <c r="B3146" s="38">
        <v>42734</v>
      </c>
      <c r="C3146">
        <v>197.9795</v>
      </c>
    </row>
    <row r="3147" spans="2:3">
      <c r="B3147" s="38">
        <v>42738</v>
      </c>
      <c r="C3147">
        <v>198.8896</v>
      </c>
    </row>
    <row r="3148" spans="2:3">
      <c r="B3148" s="38">
        <v>42739</v>
      </c>
      <c r="C3148">
        <v>199.55119999999999</v>
      </c>
    </row>
    <row r="3149" spans="2:3">
      <c r="B3149" s="38">
        <v>42740</v>
      </c>
      <c r="C3149">
        <v>199.90880000000001</v>
      </c>
    </row>
    <row r="3150" spans="2:3">
      <c r="B3150" s="38">
        <v>42741</v>
      </c>
      <c r="C3150">
        <v>199.96889999999999</v>
      </c>
    </row>
    <row r="3151" spans="2:3">
      <c r="B3151" s="38">
        <v>42744</v>
      </c>
      <c r="C3151">
        <v>199.75110000000001</v>
      </c>
    </row>
    <row r="3152" spans="2:3">
      <c r="B3152" s="38">
        <v>42745</v>
      </c>
      <c r="C3152">
        <v>199.7345</v>
      </c>
    </row>
    <row r="3153" spans="2:3">
      <c r="B3153" s="38">
        <v>42746</v>
      </c>
      <c r="C3153">
        <v>200.1284</v>
      </c>
    </row>
    <row r="3154" spans="2:3">
      <c r="B3154" s="38">
        <v>42747</v>
      </c>
      <c r="C3154">
        <v>199.8801</v>
      </c>
    </row>
    <row r="3155" spans="2:3">
      <c r="B3155" s="38">
        <v>42748</v>
      </c>
      <c r="C3155">
        <v>200.029</v>
      </c>
    </row>
    <row r="3156" spans="2:3">
      <c r="B3156" s="38">
        <v>42752</v>
      </c>
      <c r="C3156">
        <v>199.83959999999999</v>
      </c>
    </row>
    <row r="3157" spans="2:3">
      <c r="B3157" s="38">
        <v>42753</v>
      </c>
      <c r="C3157">
        <v>199.87870000000001</v>
      </c>
    </row>
    <row r="3158" spans="2:3">
      <c r="B3158" s="38">
        <v>42754</v>
      </c>
      <c r="C3158">
        <v>199.1456</v>
      </c>
    </row>
    <row r="3159" spans="2:3">
      <c r="B3159" s="38">
        <v>42755</v>
      </c>
      <c r="C3159">
        <v>199.62039999999999</v>
      </c>
    </row>
    <row r="3160" spans="2:3">
      <c r="B3160" s="38">
        <v>42758</v>
      </c>
      <c r="C3160">
        <v>199.46690000000001</v>
      </c>
    </row>
    <row r="3161" spans="2:3">
      <c r="B3161" s="38">
        <v>42759</v>
      </c>
      <c r="C3161">
        <v>200.2174</v>
      </c>
    </row>
    <row r="3162" spans="2:3">
      <c r="B3162" s="38">
        <v>42760</v>
      </c>
      <c r="C3162">
        <v>201.2243</v>
      </c>
    </row>
    <row r="3163" spans="2:3">
      <c r="B3163" s="38">
        <v>42761</v>
      </c>
      <c r="C3163">
        <v>201.1788</v>
      </c>
    </row>
    <row r="3164" spans="2:3">
      <c r="B3164" s="38">
        <v>42762</v>
      </c>
      <c r="C3164">
        <v>201.14840000000001</v>
      </c>
    </row>
    <row r="3165" spans="2:3">
      <c r="B3165" s="38">
        <v>42765</v>
      </c>
      <c r="C3165">
        <v>200.29820000000001</v>
      </c>
    </row>
    <row r="3166" spans="2:3">
      <c r="B3166" s="38">
        <v>42766</v>
      </c>
      <c r="C3166">
        <v>200.25819999999999</v>
      </c>
    </row>
    <row r="3167" spans="2:3">
      <c r="B3167" s="38">
        <v>42767</v>
      </c>
      <c r="C3167">
        <v>200.21199999999999</v>
      </c>
    </row>
    <row r="3168" spans="2:3">
      <c r="B3168" s="38">
        <v>42768</v>
      </c>
      <c r="C3168">
        <v>200.33099999999999</v>
      </c>
    </row>
    <row r="3169" spans="2:3">
      <c r="B3169" s="38">
        <v>42769</v>
      </c>
      <c r="C3169">
        <v>201.2971</v>
      </c>
    </row>
    <row r="3170" spans="2:3">
      <c r="B3170" s="38">
        <v>42772</v>
      </c>
      <c r="C3170">
        <v>201.2123</v>
      </c>
    </row>
    <row r="3171" spans="2:3">
      <c r="B3171" s="38">
        <v>42773</v>
      </c>
      <c r="C3171">
        <v>201.30430000000001</v>
      </c>
    </row>
    <row r="3172" spans="2:3">
      <c r="B3172" s="38">
        <v>42774</v>
      </c>
      <c r="C3172">
        <v>201.54419999999999</v>
      </c>
    </row>
    <row r="3173" spans="2:3">
      <c r="B3173" s="38">
        <v>42775</v>
      </c>
      <c r="C3173">
        <v>202.31950000000001</v>
      </c>
    </row>
    <row r="3174" spans="2:3">
      <c r="B3174" s="38">
        <v>42776</v>
      </c>
      <c r="C3174">
        <v>202.8629</v>
      </c>
    </row>
    <row r="3175" spans="2:3">
      <c r="B3175" s="38">
        <v>42779</v>
      </c>
      <c r="C3175">
        <v>203.67789999999999</v>
      </c>
    </row>
    <row r="3176" spans="2:3">
      <c r="B3176" s="38">
        <v>42780</v>
      </c>
      <c r="C3176">
        <v>204.26939999999999</v>
      </c>
    </row>
    <row r="3177" spans="2:3">
      <c r="B3177" s="38">
        <v>42781</v>
      </c>
      <c r="C3177">
        <v>205.03540000000001</v>
      </c>
    </row>
    <row r="3178" spans="2:3">
      <c r="B3178" s="38">
        <v>42782</v>
      </c>
      <c r="C3178">
        <v>204.98349999999999</v>
      </c>
    </row>
    <row r="3179" spans="2:3">
      <c r="B3179" s="38">
        <v>42783</v>
      </c>
      <c r="C3179">
        <v>205.30879999999999</v>
      </c>
    </row>
    <row r="3180" spans="2:3">
      <c r="B3180" s="38">
        <v>42787</v>
      </c>
      <c r="C3180">
        <v>206.30539999999999</v>
      </c>
    </row>
    <row r="3181" spans="2:3">
      <c r="B3181" s="38">
        <v>42788</v>
      </c>
      <c r="C3181">
        <v>206.1387</v>
      </c>
    </row>
    <row r="3182" spans="2:3">
      <c r="B3182" s="38">
        <v>42789</v>
      </c>
      <c r="C3182">
        <v>206.28749999999999</v>
      </c>
    </row>
    <row r="3183" spans="2:3">
      <c r="B3183" s="38">
        <v>42790</v>
      </c>
      <c r="C3183">
        <v>206.6807</v>
      </c>
    </row>
    <row r="3184" spans="2:3">
      <c r="B3184" s="38">
        <v>42793</v>
      </c>
      <c r="C3184">
        <v>206.75899999999999</v>
      </c>
    </row>
    <row r="3185" spans="2:3">
      <c r="B3185" s="38">
        <v>42794</v>
      </c>
      <c r="C3185">
        <v>206.3355</v>
      </c>
    </row>
    <row r="3186" spans="2:3">
      <c r="B3186" s="38">
        <v>42795</v>
      </c>
      <c r="C3186">
        <v>208.56950000000001</v>
      </c>
    </row>
    <row r="3187" spans="2:3">
      <c r="B3187" s="38">
        <v>42796</v>
      </c>
      <c r="C3187">
        <v>207.4667</v>
      </c>
    </row>
    <row r="3188" spans="2:3">
      <c r="B3188" s="38">
        <v>42797</v>
      </c>
      <c r="C3188">
        <v>207.5652</v>
      </c>
    </row>
    <row r="3189" spans="2:3">
      <c r="B3189" s="38">
        <v>42800</v>
      </c>
      <c r="C3189">
        <v>207.035</v>
      </c>
    </row>
    <row r="3190" spans="2:3">
      <c r="B3190" s="38">
        <v>42801</v>
      </c>
      <c r="C3190">
        <v>206.5153</v>
      </c>
    </row>
    <row r="3191" spans="2:3">
      <c r="B3191" s="38">
        <v>42802</v>
      </c>
      <c r="C3191">
        <v>206.03210000000001</v>
      </c>
    </row>
    <row r="3192" spans="2:3">
      <c r="B3192" s="38">
        <v>42803</v>
      </c>
      <c r="C3192">
        <v>206.0044</v>
      </c>
    </row>
    <row r="3193" spans="2:3">
      <c r="B3193" s="38">
        <v>42804</v>
      </c>
      <c r="C3193">
        <v>206.52940000000001</v>
      </c>
    </row>
    <row r="3194" spans="2:3">
      <c r="B3194" s="38">
        <v>42807</v>
      </c>
      <c r="C3194">
        <v>206.5145</v>
      </c>
    </row>
    <row r="3195" spans="2:3">
      <c r="B3195" s="38">
        <v>42808</v>
      </c>
      <c r="C3195">
        <v>206.00569999999999</v>
      </c>
    </row>
    <row r="3196" spans="2:3">
      <c r="B3196" s="38">
        <v>42809</v>
      </c>
      <c r="C3196">
        <v>207.62200000000001</v>
      </c>
    </row>
    <row r="3197" spans="2:3">
      <c r="B3197" s="38">
        <v>42810</v>
      </c>
      <c r="C3197">
        <v>207.33269999999999</v>
      </c>
    </row>
    <row r="3198" spans="2:3">
      <c r="B3198" s="38">
        <v>42811</v>
      </c>
      <c r="C3198">
        <v>207.1842</v>
      </c>
    </row>
    <row r="3199" spans="2:3">
      <c r="B3199" s="38">
        <v>42814</v>
      </c>
      <c r="C3199">
        <v>206.95359999999999</v>
      </c>
    </row>
    <row r="3200" spans="2:3">
      <c r="B3200" s="38">
        <v>42815</v>
      </c>
      <c r="C3200">
        <v>205.1516</v>
      </c>
    </row>
    <row r="3201" spans="2:3">
      <c r="B3201" s="38">
        <v>42816</v>
      </c>
      <c r="C3201">
        <v>205.58099999999999</v>
      </c>
    </row>
    <row r="3202" spans="2:3">
      <c r="B3202" s="38">
        <v>42817</v>
      </c>
      <c r="C3202">
        <v>205.3552</v>
      </c>
    </row>
    <row r="3203" spans="2:3">
      <c r="B3203" s="38">
        <v>42818</v>
      </c>
      <c r="C3203">
        <v>205.30240000000001</v>
      </c>
    </row>
    <row r="3204" spans="2:3">
      <c r="B3204" s="38">
        <v>42821</v>
      </c>
      <c r="C3204">
        <v>205.27979999999999</v>
      </c>
    </row>
    <row r="3205" spans="2:3">
      <c r="B3205" s="38">
        <v>42822</v>
      </c>
      <c r="C3205">
        <v>206.048</v>
      </c>
    </row>
    <row r="3206" spans="2:3">
      <c r="B3206" s="38">
        <v>42823</v>
      </c>
      <c r="C3206">
        <v>206.28809999999999</v>
      </c>
    </row>
    <row r="3207" spans="2:3">
      <c r="B3207" s="38">
        <v>42824</v>
      </c>
      <c r="C3207">
        <v>206.54400000000001</v>
      </c>
    </row>
    <row r="3208" spans="2:3">
      <c r="B3208" s="38">
        <v>42825</v>
      </c>
      <c r="C3208">
        <v>206.33070000000001</v>
      </c>
    </row>
    <row r="3209" spans="2:3">
      <c r="B3209" s="38">
        <v>42828</v>
      </c>
      <c r="C3209">
        <v>206.25839999999999</v>
      </c>
    </row>
    <row r="3210" spans="2:3">
      <c r="B3210" s="38">
        <v>42829</v>
      </c>
      <c r="C3210">
        <v>206.35239999999999</v>
      </c>
    </row>
    <row r="3211" spans="2:3">
      <c r="B3211" s="38">
        <v>42830</v>
      </c>
      <c r="C3211">
        <v>205.89439999999999</v>
      </c>
    </row>
    <row r="3212" spans="2:3">
      <c r="B3212" s="38">
        <v>42831</v>
      </c>
      <c r="C3212">
        <v>206.2312</v>
      </c>
    </row>
    <row r="3213" spans="2:3">
      <c r="B3213" s="38">
        <v>42832</v>
      </c>
      <c r="C3213">
        <v>206.02440000000001</v>
      </c>
    </row>
    <row r="3214" spans="2:3">
      <c r="B3214" s="38">
        <v>42835</v>
      </c>
      <c r="C3214">
        <v>206.1722</v>
      </c>
    </row>
    <row r="3215" spans="2:3">
      <c r="B3215" s="38">
        <v>42836</v>
      </c>
      <c r="C3215">
        <v>206.12989999999999</v>
      </c>
    </row>
    <row r="3216" spans="2:3">
      <c r="B3216" s="38">
        <v>42837</v>
      </c>
      <c r="C3216">
        <v>205.52889999999999</v>
      </c>
    </row>
    <row r="3217" spans="2:3">
      <c r="B3217" s="38">
        <v>42838</v>
      </c>
      <c r="C3217">
        <v>204.60239999999999</v>
      </c>
    </row>
    <row r="3218" spans="2:3">
      <c r="B3218" s="38">
        <v>42842</v>
      </c>
      <c r="C3218">
        <v>205.92140000000001</v>
      </c>
    </row>
    <row r="3219" spans="2:3">
      <c r="B3219" s="38">
        <v>42843</v>
      </c>
      <c r="C3219">
        <v>205.6464</v>
      </c>
    </row>
    <row r="3220" spans="2:3">
      <c r="B3220" s="38">
        <v>42844</v>
      </c>
      <c r="C3220">
        <v>205.32769999999999</v>
      </c>
    </row>
    <row r="3221" spans="2:3">
      <c r="B3221" s="38">
        <v>42845</v>
      </c>
      <c r="C3221">
        <v>206.3664</v>
      </c>
    </row>
    <row r="3222" spans="2:3">
      <c r="B3222" s="38">
        <v>42846</v>
      </c>
      <c r="C3222">
        <v>205.91499999999999</v>
      </c>
    </row>
    <row r="3223" spans="2:3">
      <c r="B3223" s="38">
        <v>42849</v>
      </c>
      <c r="C3223">
        <v>207.47450000000001</v>
      </c>
    </row>
    <row r="3224" spans="2:3">
      <c r="B3224" s="38">
        <v>42850</v>
      </c>
      <c r="C3224">
        <v>208.2278</v>
      </c>
    </row>
    <row r="3225" spans="2:3">
      <c r="B3225" s="38">
        <v>42851</v>
      </c>
      <c r="C3225">
        <v>208.20859999999999</v>
      </c>
    </row>
    <row r="3226" spans="2:3">
      <c r="B3226" s="38">
        <v>42852</v>
      </c>
      <c r="C3226">
        <v>208.36189999999999</v>
      </c>
    </row>
    <row r="3227" spans="2:3">
      <c r="B3227" s="38">
        <v>42853</v>
      </c>
      <c r="C3227">
        <v>208.13310000000001</v>
      </c>
    </row>
    <row r="3228" spans="2:3">
      <c r="B3228" s="38">
        <v>42856</v>
      </c>
      <c r="C3228">
        <v>208.2655</v>
      </c>
    </row>
    <row r="3229" spans="2:3">
      <c r="B3229" s="38">
        <v>42857</v>
      </c>
      <c r="C3229">
        <v>208.55410000000001</v>
      </c>
    </row>
    <row r="3230" spans="2:3">
      <c r="B3230" s="38">
        <v>42858</v>
      </c>
      <c r="C3230">
        <v>208.34809999999999</v>
      </c>
    </row>
    <row r="3231" spans="2:3">
      <c r="B3231" s="38">
        <v>42859</v>
      </c>
      <c r="C3231">
        <v>208.30959999999999</v>
      </c>
    </row>
    <row r="3232" spans="2:3">
      <c r="B3232" s="38">
        <v>42860</v>
      </c>
      <c r="C3232">
        <v>208.97190000000001</v>
      </c>
    </row>
    <row r="3233" spans="2:3">
      <c r="B3233" s="38">
        <v>42863</v>
      </c>
      <c r="C3233">
        <v>208.92789999999999</v>
      </c>
    </row>
    <row r="3234" spans="2:3">
      <c r="B3234" s="38">
        <v>42864</v>
      </c>
      <c r="C3234">
        <v>208.69659999999999</v>
      </c>
    </row>
    <row r="3235" spans="2:3">
      <c r="B3235" s="38">
        <v>42865</v>
      </c>
      <c r="C3235">
        <v>208.8723</v>
      </c>
    </row>
    <row r="3236" spans="2:3">
      <c r="B3236" s="38">
        <v>42866</v>
      </c>
      <c r="C3236">
        <v>208.5669</v>
      </c>
    </row>
    <row r="3237" spans="2:3">
      <c r="B3237" s="38">
        <v>42867</v>
      </c>
      <c r="C3237">
        <v>208.5531</v>
      </c>
    </row>
    <row r="3238" spans="2:3">
      <c r="B3238" s="38">
        <v>42870</v>
      </c>
      <c r="C3238">
        <v>209.31729999999999</v>
      </c>
    </row>
    <row r="3239" spans="2:3">
      <c r="B3239" s="38">
        <v>42871</v>
      </c>
      <c r="C3239">
        <v>209.2319</v>
      </c>
    </row>
    <row r="3240" spans="2:3">
      <c r="B3240" s="38">
        <v>42872</v>
      </c>
      <c r="C3240">
        <v>206.3706</v>
      </c>
    </row>
    <row r="3241" spans="2:3">
      <c r="B3241" s="38">
        <v>42873</v>
      </c>
      <c r="C3241">
        <v>206.94640000000001</v>
      </c>
    </row>
    <row r="3242" spans="2:3">
      <c r="B3242" s="38">
        <v>42874</v>
      </c>
      <c r="C3242">
        <v>208.0147</v>
      </c>
    </row>
    <row r="3243" spans="2:3">
      <c r="B3243" s="38">
        <v>42877</v>
      </c>
      <c r="C3243">
        <v>208.81700000000001</v>
      </c>
    </row>
    <row r="3244" spans="2:3">
      <c r="B3244" s="38">
        <v>42878</v>
      </c>
      <c r="C3244">
        <v>208.9846</v>
      </c>
    </row>
    <row r="3245" spans="2:3">
      <c r="B3245" s="38">
        <v>42879</v>
      </c>
      <c r="C3245">
        <v>209.40790000000001</v>
      </c>
    </row>
    <row r="3246" spans="2:3">
      <c r="B3246" s="38">
        <v>42880</v>
      </c>
      <c r="C3246">
        <v>210.10990000000001</v>
      </c>
    </row>
    <row r="3247" spans="2:3">
      <c r="B3247" s="38">
        <v>42881</v>
      </c>
      <c r="C3247">
        <v>210.1523</v>
      </c>
    </row>
    <row r="3248" spans="2:3">
      <c r="B3248" s="38">
        <v>42885</v>
      </c>
      <c r="C3248">
        <v>210.1173</v>
      </c>
    </row>
    <row r="3249" spans="2:3">
      <c r="B3249" s="38">
        <v>42886</v>
      </c>
      <c r="C3249">
        <v>210.1268</v>
      </c>
    </row>
    <row r="3250" spans="2:3">
      <c r="B3250" s="38">
        <v>42887</v>
      </c>
      <c r="C3250">
        <v>211.17760000000001</v>
      </c>
    </row>
    <row r="3251" spans="2:3">
      <c r="B3251" s="38">
        <v>42888</v>
      </c>
      <c r="C3251">
        <v>211.90979999999999</v>
      </c>
    </row>
    <row r="3252" spans="2:3">
      <c r="B3252" s="38">
        <v>42891</v>
      </c>
      <c r="C3252">
        <v>211.66069999999999</v>
      </c>
    </row>
    <row r="3253" spans="2:3">
      <c r="B3253" s="38">
        <v>42892</v>
      </c>
      <c r="C3253">
        <v>211.40649999999999</v>
      </c>
    </row>
    <row r="3254" spans="2:3">
      <c r="B3254" s="38">
        <v>42893</v>
      </c>
      <c r="C3254">
        <v>211.4973</v>
      </c>
    </row>
    <row r="3255" spans="2:3">
      <c r="B3255" s="38">
        <v>42894</v>
      </c>
      <c r="C3255">
        <v>211.48179999999999</v>
      </c>
    </row>
    <row r="3256" spans="2:3">
      <c r="B3256" s="38">
        <v>42895</v>
      </c>
      <c r="C3256">
        <v>211.3511</v>
      </c>
    </row>
    <row r="3257" spans="2:3">
      <c r="B3257" s="38">
        <v>42898</v>
      </c>
      <c r="C3257">
        <v>211.17609999999999</v>
      </c>
    </row>
    <row r="3258" spans="2:3">
      <c r="B3258" s="38">
        <v>42899</v>
      </c>
      <c r="C3258">
        <v>211.797</v>
      </c>
    </row>
    <row r="3259" spans="2:3">
      <c r="B3259" s="38">
        <v>42900</v>
      </c>
      <c r="C3259">
        <v>211.92830000000001</v>
      </c>
    </row>
    <row r="3260" spans="2:3">
      <c r="B3260" s="38">
        <v>42901</v>
      </c>
      <c r="C3260">
        <v>211.49469999999999</v>
      </c>
    </row>
    <row r="3261" spans="2:3">
      <c r="B3261" s="38">
        <v>42902</v>
      </c>
      <c r="C3261">
        <v>211.5694</v>
      </c>
    </row>
    <row r="3262" spans="2:3">
      <c r="B3262" s="38">
        <v>42905</v>
      </c>
      <c r="C3262">
        <v>212.6798</v>
      </c>
    </row>
    <row r="3263" spans="2:3">
      <c r="B3263" s="38">
        <v>42906</v>
      </c>
      <c r="C3263">
        <v>211.77510000000001</v>
      </c>
    </row>
    <row r="3264" spans="2:3">
      <c r="B3264" s="38">
        <v>42907</v>
      </c>
      <c r="C3264">
        <v>211.67320000000001</v>
      </c>
    </row>
    <row r="3265" spans="2:3">
      <c r="B3265" s="38">
        <v>42908</v>
      </c>
      <c r="C3265">
        <v>211.63919999999999</v>
      </c>
    </row>
    <row r="3266" spans="2:3">
      <c r="B3266" s="38">
        <v>42909</v>
      </c>
      <c r="C3266">
        <v>211.90780000000001</v>
      </c>
    </row>
    <row r="3267" spans="2:3">
      <c r="B3267" s="38">
        <v>42912</v>
      </c>
      <c r="C3267">
        <v>211.988</v>
      </c>
    </row>
    <row r="3268" spans="2:3">
      <c r="B3268" s="38">
        <v>42913</v>
      </c>
      <c r="C3268">
        <v>210.52860000000001</v>
      </c>
    </row>
    <row r="3269" spans="2:3">
      <c r="B3269" s="38">
        <v>42914</v>
      </c>
      <c r="C3269">
        <v>211.93</v>
      </c>
    </row>
    <row r="3270" spans="2:3">
      <c r="B3270" s="38">
        <v>42915</v>
      </c>
      <c r="C3270">
        <v>210.44450000000001</v>
      </c>
    </row>
    <row r="3271" spans="2:3">
      <c r="B3271" s="38">
        <v>42916</v>
      </c>
      <c r="C3271">
        <v>210.59379999999999</v>
      </c>
    </row>
    <row r="3272" spans="2:3">
      <c r="B3272" s="38">
        <v>42919</v>
      </c>
      <c r="C3272">
        <v>210.78129999999999</v>
      </c>
    </row>
    <row r="3273" spans="2:3">
      <c r="B3273" s="38">
        <v>42921</v>
      </c>
      <c r="C3273">
        <v>211</v>
      </c>
    </row>
    <row r="3274" spans="2:3">
      <c r="B3274" s="38">
        <v>42922</v>
      </c>
      <c r="C3274">
        <v>209.55019999999999</v>
      </c>
    </row>
    <row r="3275" spans="2:3">
      <c r="B3275" s="38">
        <v>42923</v>
      </c>
      <c r="C3275">
        <v>210.3947</v>
      </c>
    </row>
    <row r="3276" spans="2:3">
      <c r="B3276" s="38">
        <v>42926</v>
      </c>
      <c r="C3276">
        <v>210.64240000000001</v>
      </c>
    </row>
    <row r="3277" spans="2:3">
      <c r="B3277" s="38">
        <v>42927</v>
      </c>
      <c r="C3277">
        <v>210.58869999999999</v>
      </c>
    </row>
    <row r="3278" spans="2:3">
      <c r="B3278" s="38">
        <v>42928</v>
      </c>
      <c r="C3278">
        <v>211.7518</v>
      </c>
    </row>
    <row r="3279" spans="2:3">
      <c r="B3279" s="38">
        <v>42929</v>
      </c>
      <c r="C3279">
        <v>211.95330000000001</v>
      </c>
    </row>
    <row r="3280" spans="2:3">
      <c r="B3280" s="38">
        <v>42930</v>
      </c>
      <c r="C3280">
        <v>212.6677</v>
      </c>
    </row>
    <row r="3281" spans="2:3">
      <c r="B3281" s="38">
        <v>42933</v>
      </c>
      <c r="C3281">
        <v>212.74690000000001</v>
      </c>
    </row>
    <row r="3282" spans="2:3">
      <c r="B3282" s="38">
        <v>42934</v>
      </c>
      <c r="C3282">
        <v>213.0103</v>
      </c>
    </row>
    <row r="3283" spans="2:3">
      <c r="B3283" s="38">
        <v>42935</v>
      </c>
      <c r="C3283">
        <v>213.6455</v>
      </c>
    </row>
    <row r="3284" spans="2:3">
      <c r="B3284" s="38">
        <v>42936</v>
      </c>
      <c r="C3284">
        <v>213.62430000000001</v>
      </c>
    </row>
    <row r="3285" spans="2:3">
      <c r="B3285" s="38">
        <v>42937</v>
      </c>
      <c r="C3285">
        <v>213.72550000000001</v>
      </c>
    </row>
    <row r="3286" spans="2:3">
      <c r="B3286" s="38">
        <v>42940</v>
      </c>
      <c r="C3286">
        <v>213.50659999999999</v>
      </c>
    </row>
    <row r="3287" spans="2:3">
      <c r="B3287" s="38">
        <v>42941</v>
      </c>
      <c r="C3287">
        <v>213.60419999999999</v>
      </c>
    </row>
    <row r="3288" spans="2:3">
      <c r="B3288" s="38">
        <v>42942</v>
      </c>
      <c r="C3288">
        <v>213.83189999999999</v>
      </c>
    </row>
    <row r="3289" spans="2:3">
      <c r="B3289" s="38">
        <v>42943</v>
      </c>
      <c r="C3289">
        <v>213.5744</v>
      </c>
    </row>
    <row r="3290" spans="2:3">
      <c r="B3290" s="38">
        <v>42944</v>
      </c>
      <c r="C3290">
        <v>213.50380000000001</v>
      </c>
    </row>
    <row r="3291" spans="2:3">
      <c r="B3291" s="38">
        <v>42947</v>
      </c>
      <c r="C3291">
        <v>213.4058</v>
      </c>
    </row>
    <row r="3292" spans="2:3">
      <c r="B3292" s="38">
        <v>42948</v>
      </c>
      <c r="C3292">
        <v>213.9263</v>
      </c>
    </row>
    <row r="3293" spans="2:3">
      <c r="B3293" s="38">
        <v>42949</v>
      </c>
      <c r="C3293">
        <v>213.97470000000001</v>
      </c>
    </row>
    <row r="3294" spans="2:3">
      <c r="B3294" s="38">
        <v>42950</v>
      </c>
      <c r="C3294">
        <v>213.69149999999999</v>
      </c>
    </row>
    <row r="3295" spans="2:3">
      <c r="B3295" s="38">
        <v>42951</v>
      </c>
      <c r="C3295">
        <v>213.90600000000001</v>
      </c>
    </row>
    <row r="3296" spans="2:3">
      <c r="B3296" s="38">
        <v>42954</v>
      </c>
      <c r="C3296">
        <v>214.2192</v>
      </c>
    </row>
    <row r="3297" spans="2:3">
      <c r="B3297" s="38">
        <v>42955</v>
      </c>
      <c r="C3297">
        <v>213.75069999999999</v>
      </c>
    </row>
    <row r="3298" spans="2:3">
      <c r="B3298" s="38">
        <v>42956</v>
      </c>
      <c r="C3298">
        <v>213.79310000000001</v>
      </c>
    </row>
    <row r="3299" spans="2:3">
      <c r="B3299" s="38">
        <v>42957</v>
      </c>
      <c r="C3299">
        <v>211.47470000000001</v>
      </c>
    </row>
    <row r="3300" spans="2:3">
      <c r="B3300" s="38">
        <v>42958</v>
      </c>
      <c r="C3300">
        <v>211.75030000000001</v>
      </c>
    </row>
    <row r="3301" spans="2:3">
      <c r="B3301" s="38">
        <v>42961</v>
      </c>
      <c r="C3301">
        <v>213.29750000000001</v>
      </c>
    </row>
    <row r="3302" spans="2:3">
      <c r="B3302" s="38">
        <v>42962</v>
      </c>
      <c r="C3302">
        <v>213.09370000000001</v>
      </c>
    </row>
    <row r="3303" spans="2:3">
      <c r="B3303" s="38">
        <v>42963</v>
      </c>
      <c r="C3303">
        <v>213.4332</v>
      </c>
    </row>
    <row r="3304" spans="2:3">
      <c r="B3304" s="38">
        <v>42964</v>
      </c>
      <c r="C3304">
        <v>211.33330000000001</v>
      </c>
    </row>
    <row r="3305" spans="2:3">
      <c r="B3305" s="38">
        <v>42965</v>
      </c>
      <c r="C3305">
        <v>211.08539999999999</v>
      </c>
    </row>
    <row r="3306" spans="2:3">
      <c r="B3306" s="38">
        <v>42968</v>
      </c>
      <c r="C3306">
        <v>211.31559999999999</v>
      </c>
    </row>
    <row r="3307" spans="2:3">
      <c r="B3307" s="38">
        <v>42969</v>
      </c>
      <c r="C3307">
        <v>212.4888</v>
      </c>
    </row>
    <row r="3308" spans="2:3">
      <c r="B3308" s="38">
        <v>42970</v>
      </c>
      <c r="C3308">
        <v>212.2603</v>
      </c>
    </row>
    <row r="3309" spans="2:3">
      <c r="B3309" s="38">
        <v>42971</v>
      </c>
      <c r="C3309">
        <v>211.94120000000001</v>
      </c>
    </row>
    <row r="3310" spans="2:3">
      <c r="B3310" s="38">
        <v>42972</v>
      </c>
      <c r="C3310">
        <v>212.2492</v>
      </c>
    </row>
    <row r="3311" spans="2:3">
      <c r="B3311" s="38">
        <v>42975</v>
      </c>
      <c r="C3311">
        <v>212.36879999999999</v>
      </c>
    </row>
    <row r="3312" spans="2:3">
      <c r="B3312" s="38">
        <v>42976</v>
      </c>
      <c r="C3312">
        <v>212.54640000000001</v>
      </c>
    </row>
    <row r="3313" spans="2:3">
      <c r="B3313" s="38">
        <v>42977</v>
      </c>
      <c r="C3313">
        <v>213.0394</v>
      </c>
    </row>
    <row r="3314" spans="2:3">
      <c r="B3314" s="38">
        <v>42978</v>
      </c>
      <c r="C3314">
        <v>213.8492</v>
      </c>
    </row>
    <row r="3315" spans="2:3">
      <c r="B3315" s="38">
        <v>42979</v>
      </c>
      <c r="C3315">
        <v>213.87960000000001</v>
      </c>
    </row>
    <row r="3316" spans="2:3">
      <c r="B3316" s="38">
        <v>42983</v>
      </c>
      <c r="C3316">
        <v>213.4873</v>
      </c>
    </row>
    <row r="3317" spans="2:3">
      <c r="B3317" s="38">
        <v>42984</v>
      </c>
      <c r="C3317">
        <v>213.643</v>
      </c>
    </row>
    <row r="3318" spans="2:3">
      <c r="B3318" s="38">
        <v>42985</v>
      </c>
      <c r="C3318">
        <v>213.8707</v>
      </c>
    </row>
    <row r="3319" spans="2:3">
      <c r="B3319" s="38">
        <v>42986</v>
      </c>
      <c r="C3319">
        <v>213.67359999999999</v>
      </c>
    </row>
    <row r="3320" spans="2:3">
      <c r="B3320" s="38">
        <v>42989</v>
      </c>
      <c r="C3320">
        <v>214.62049999999999</v>
      </c>
    </row>
    <row r="3321" spans="2:3">
      <c r="B3321" s="38">
        <v>42990</v>
      </c>
      <c r="C3321">
        <v>214.84350000000001</v>
      </c>
    </row>
    <row r="3322" spans="2:3">
      <c r="B3322" s="38">
        <v>42991</v>
      </c>
      <c r="C3322">
        <v>214.8186</v>
      </c>
    </row>
    <row r="3323" spans="2:3">
      <c r="B3323" s="38">
        <v>42992</v>
      </c>
      <c r="C3323">
        <v>214.6559</v>
      </c>
    </row>
    <row r="3324" spans="2:3">
      <c r="B3324" s="38">
        <v>42993</v>
      </c>
      <c r="C3324">
        <v>214.88159999999999</v>
      </c>
    </row>
    <row r="3325" spans="2:3">
      <c r="B3325" s="38">
        <v>42996</v>
      </c>
      <c r="C3325">
        <v>214.95429999999999</v>
      </c>
    </row>
    <row r="3326" spans="2:3">
      <c r="B3326" s="38">
        <v>42997</v>
      </c>
      <c r="C3326">
        <v>215.10339999999999</v>
      </c>
    </row>
    <row r="3327" spans="2:3">
      <c r="B3327" s="38">
        <v>42998</v>
      </c>
      <c r="C3327">
        <v>215.05430000000001</v>
      </c>
    </row>
    <row r="3328" spans="2:3">
      <c r="B3328" s="38">
        <v>42999</v>
      </c>
      <c r="C3328">
        <v>214.61330000000001</v>
      </c>
    </row>
    <row r="3329" spans="2:3">
      <c r="B3329" s="38">
        <v>43000</v>
      </c>
      <c r="C3329">
        <v>214.73859999999999</v>
      </c>
    </row>
    <row r="3330" spans="2:3">
      <c r="B3330" s="38">
        <v>43003</v>
      </c>
      <c r="C3330">
        <v>214.6146</v>
      </c>
    </row>
    <row r="3331" spans="2:3">
      <c r="B3331" s="38">
        <v>43004</v>
      </c>
      <c r="C3331">
        <v>214.6019</v>
      </c>
    </row>
    <row r="3332" spans="2:3">
      <c r="B3332" s="38">
        <v>43005</v>
      </c>
      <c r="C3332">
        <v>214.93039999999999</v>
      </c>
    </row>
    <row r="3333" spans="2:3">
      <c r="B3333" s="38">
        <v>43006</v>
      </c>
      <c r="C3333">
        <v>215.1446</v>
      </c>
    </row>
    <row r="3334" spans="2:3">
      <c r="B3334" s="38">
        <v>43007</v>
      </c>
      <c r="C3334">
        <v>215.6551</v>
      </c>
    </row>
    <row r="3335" spans="2:3">
      <c r="B3335" s="38">
        <v>43010</v>
      </c>
      <c r="C3335">
        <v>216.19900000000001</v>
      </c>
    </row>
    <row r="3336" spans="2:3">
      <c r="B3336" s="38">
        <v>43011</v>
      </c>
      <c r="C3336">
        <v>216.5377</v>
      </c>
    </row>
    <row r="3337" spans="2:3">
      <c r="B3337" s="38">
        <v>43012</v>
      </c>
      <c r="C3337">
        <v>216.7191</v>
      </c>
    </row>
    <row r="3338" spans="2:3">
      <c r="B3338" s="38">
        <v>43013</v>
      </c>
      <c r="C3338">
        <v>217.47020000000001</v>
      </c>
    </row>
    <row r="3339" spans="2:3">
      <c r="B3339" s="38">
        <v>43014</v>
      </c>
      <c r="C3339">
        <v>217.22229999999999</v>
      </c>
    </row>
    <row r="3340" spans="2:3">
      <c r="B3340" s="38">
        <v>43018</v>
      </c>
      <c r="C3340">
        <v>217.41399999999999</v>
      </c>
    </row>
    <row r="3341" spans="2:3">
      <c r="B3341" s="38">
        <v>43019</v>
      </c>
      <c r="C3341">
        <v>217.67689999999999</v>
      </c>
    </row>
    <row r="3342" spans="2:3">
      <c r="B3342" s="38">
        <v>43020</v>
      </c>
      <c r="C3342">
        <v>217.47389999999999</v>
      </c>
    </row>
    <row r="3343" spans="2:3">
      <c r="B3343" s="38">
        <v>43021</v>
      </c>
      <c r="C3343">
        <v>217.7491</v>
      </c>
    </row>
    <row r="3344" spans="2:3">
      <c r="B3344" s="38">
        <v>43024</v>
      </c>
      <c r="C3344">
        <v>217.9665</v>
      </c>
    </row>
    <row r="3345" spans="2:3">
      <c r="B3345" s="38">
        <v>43025</v>
      </c>
      <c r="C3345">
        <v>218.0968</v>
      </c>
    </row>
    <row r="3346" spans="2:3">
      <c r="B3346" s="38">
        <v>43026</v>
      </c>
      <c r="C3346">
        <v>218.1576</v>
      </c>
    </row>
    <row r="3347" spans="2:3">
      <c r="B3347" s="38">
        <v>43027</v>
      </c>
      <c r="C3347">
        <v>218.2458</v>
      </c>
    </row>
    <row r="3348" spans="2:3">
      <c r="B3348" s="38">
        <v>43028</v>
      </c>
      <c r="C3348">
        <v>219.17689999999999</v>
      </c>
    </row>
    <row r="3349" spans="2:3">
      <c r="B3349" s="38">
        <v>43031</v>
      </c>
      <c r="C3349">
        <v>218.38570000000001</v>
      </c>
    </row>
    <row r="3350" spans="2:3">
      <c r="B3350" s="38">
        <v>43032</v>
      </c>
      <c r="C3350">
        <v>218.70490000000001</v>
      </c>
    </row>
    <row r="3351" spans="2:3">
      <c r="B3351" s="38">
        <v>43033</v>
      </c>
      <c r="C3351">
        <v>217.70150000000001</v>
      </c>
    </row>
    <row r="3352" spans="2:3">
      <c r="B3352" s="38">
        <v>43034</v>
      </c>
      <c r="C3352">
        <v>217.96809999999999</v>
      </c>
    </row>
    <row r="3353" spans="2:3">
      <c r="B3353" s="38">
        <v>43035</v>
      </c>
      <c r="C3353">
        <v>219.66550000000001</v>
      </c>
    </row>
    <row r="3354" spans="2:3">
      <c r="B3354" s="38">
        <v>43038</v>
      </c>
      <c r="C3354">
        <v>219.00739999999999</v>
      </c>
    </row>
    <row r="3355" spans="2:3">
      <c r="B3355" s="38">
        <v>43039</v>
      </c>
      <c r="C3355">
        <v>219.2062</v>
      </c>
    </row>
    <row r="3356" spans="2:3">
      <c r="B3356" s="38">
        <v>43040</v>
      </c>
      <c r="C3356">
        <v>219.52869999999999</v>
      </c>
    </row>
    <row r="3357" spans="2:3">
      <c r="B3357" s="38">
        <v>43041</v>
      </c>
      <c r="C3357">
        <v>219.578</v>
      </c>
    </row>
    <row r="3358" spans="2:3">
      <c r="B3358" s="38">
        <v>43042</v>
      </c>
      <c r="C3358">
        <v>220.24799999999999</v>
      </c>
    </row>
    <row r="3359" spans="2:3">
      <c r="B3359" s="38">
        <v>43045</v>
      </c>
      <c r="C3359">
        <v>220.52869999999999</v>
      </c>
    </row>
    <row r="3360" spans="2:3">
      <c r="B3360" s="38">
        <v>43046</v>
      </c>
      <c r="C3360">
        <v>220.48949999999999</v>
      </c>
    </row>
    <row r="3361" spans="2:3">
      <c r="B3361" s="38">
        <v>43047</v>
      </c>
      <c r="C3361">
        <v>220.80779999999999</v>
      </c>
    </row>
    <row r="3362" spans="2:3">
      <c r="B3362" s="38">
        <v>43048</v>
      </c>
      <c r="C3362">
        <v>219.97710000000001</v>
      </c>
    </row>
    <row r="3363" spans="2:3">
      <c r="B3363" s="38">
        <v>43049</v>
      </c>
      <c r="C3363">
        <v>219.77969999999999</v>
      </c>
    </row>
    <row r="3364" spans="2:3">
      <c r="B3364" s="38">
        <v>43052</v>
      </c>
      <c r="C3364">
        <v>219.9958</v>
      </c>
    </row>
    <row r="3365" spans="2:3">
      <c r="B3365" s="38">
        <v>43053</v>
      </c>
      <c r="C3365">
        <v>219.48769999999999</v>
      </c>
    </row>
    <row r="3366" spans="2:3">
      <c r="B3366" s="38">
        <v>43054</v>
      </c>
      <c r="C3366">
        <v>218.2749</v>
      </c>
    </row>
    <row r="3367" spans="2:3">
      <c r="B3367" s="38">
        <v>43055</v>
      </c>
      <c r="C3367">
        <v>220.06389999999999</v>
      </c>
    </row>
    <row r="3368" spans="2:3">
      <c r="B3368" s="38">
        <v>43056</v>
      </c>
      <c r="C3368">
        <v>219.5052</v>
      </c>
    </row>
    <row r="3369" spans="2:3">
      <c r="B3369" s="38">
        <v>43059</v>
      </c>
      <c r="C3369">
        <v>219.7576</v>
      </c>
    </row>
    <row r="3370" spans="2:3">
      <c r="B3370" s="38">
        <v>43060</v>
      </c>
      <c r="C3370">
        <v>221.07900000000001</v>
      </c>
    </row>
    <row r="3371" spans="2:3">
      <c r="B3371" s="38">
        <v>43061</v>
      </c>
      <c r="C3371">
        <v>220.98929999999999</v>
      </c>
    </row>
    <row r="3372" spans="2:3">
      <c r="B3372" s="38">
        <v>43063</v>
      </c>
      <c r="C3372">
        <v>221.3562</v>
      </c>
    </row>
    <row r="3373" spans="2:3">
      <c r="B3373" s="38">
        <v>43066</v>
      </c>
      <c r="C3373">
        <v>221.30099999999999</v>
      </c>
    </row>
    <row r="3374" spans="2:3">
      <c r="B3374" s="38">
        <v>43067</v>
      </c>
      <c r="C3374">
        <v>223.1816</v>
      </c>
    </row>
    <row r="3375" spans="2:3">
      <c r="B3375" s="38">
        <v>43068</v>
      </c>
      <c r="C3375">
        <v>223.0643</v>
      </c>
    </row>
    <row r="3376" spans="2:3">
      <c r="B3376" s="38">
        <v>43069</v>
      </c>
      <c r="C3376">
        <v>224.60239999999999</v>
      </c>
    </row>
    <row r="3377" spans="2:3">
      <c r="B3377" s="38">
        <v>43070</v>
      </c>
      <c r="C3377">
        <v>224.31209999999999</v>
      </c>
    </row>
    <row r="3378" spans="2:3">
      <c r="B3378" s="38">
        <v>43073</v>
      </c>
      <c r="C3378">
        <v>224.0898</v>
      </c>
    </row>
    <row r="3379" spans="2:3">
      <c r="B3379" s="38">
        <v>43074</v>
      </c>
      <c r="C3379">
        <v>223.482</v>
      </c>
    </row>
    <row r="3380" spans="2:3">
      <c r="B3380" s="38">
        <v>43075</v>
      </c>
      <c r="C3380">
        <v>223.53890000000001</v>
      </c>
    </row>
    <row r="3381" spans="2:3">
      <c r="B3381" s="38">
        <v>43076</v>
      </c>
      <c r="C3381">
        <v>223.93219999999999</v>
      </c>
    </row>
    <row r="3382" spans="2:3">
      <c r="B3382" s="38">
        <v>43077</v>
      </c>
      <c r="C3382">
        <v>224.8673</v>
      </c>
    </row>
    <row r="3383" spans="2:3">
      <c r="B3383" s="38">
        <v>43080</v>
      </c>
      <c r="C3383">
        <v>225.40270000000001</v>
      </c>
    </row>
    <row r="3384" spans="2:3">
      <c r="B3384" s="38">
        <v>43081</v>
      </c>
      <c r="C3384">
        <v>225.6276</v>
      </c>
    </row>
    <row r="3385" spans="2:3">
      <c r="B3385" s="38">
        <v>43082</v>
      </c>
      <c r="C3385">
        <v>225.73949999999999</v>
      </c>
    </row>
    <row r="3386" spans="2:3">
      <c r="B3386" s="38">
        <v>43083</v>
      </c>
      <c r="C3386">
        <v>225.10400000000001</v>
      </c>
    </row>
    <row r="3387" spans="2:3">
      <c r="B3387" s="38">
        <v>43084</v>
      </c>
      <c r="C3387">
        <v>226.5686</v>
      </c>
    </row>
    <row r="3388" spans="2:3">
      <c r="B3388" s="38">
        <v>43087</v>
      </c>
      <c r="C3388">
        <v>227.3733</v>
      </c>
    </row>
    <row r="3389" spans="2:3">
      <c r="B3389" s="38">
        <v>43088</v>
      </c>
      <c r="C3389">
        <v>226.626</v>
      </c>
    </row>
    <row r="3390" spans="2:3">
      <c r="B3390" s="38">
        <v>43089</v>
      </c>
      <c r="C3390">
        <v>226.37289999999999</v>
      </c>
    </row>
    <row r="3391" spans="2:3">
      <c r="B3391" s="38">
        <v>43090</v>
      </c>
      <c r="C3391">
        <v>226.76750000000001</v>
      </c>
    </row>
    <row r="3392" spans="2:3">
      <c r="B3392" s="38">
        <v>43091</v>
      </c>
      <c r="C3392">
        <v>226.66480000000001</v>
      </c>
    </row>
    <row r="3393" spans="2:3">
      <c r="B3393" s="38">
        <v>43095</v>
      </c>
      <c r="C3393">
        <v>226.57650000000001</v>
      </c>
    </row>
    <row r="3394" spans="2:3">
      <c r="B3394" s="38">
        <v>43096</v>
      </c>
      <c r="C3394">
        <v>226.88030000000001</v>
      </c>
    </row>
    <row r="3395" spans="2:3">
      <c r="B3395" s="38">
        <v>43097</v>
      </c>
      <c r="C3395">
        <v>227.1379</v>
      </c>
    </row>
    <row r="3396" spans="2:3">
      <c r="B3396" s="38">
        <v>43098</v>
      </c>
      <c r="C3396">
        <v>226.3125</v>
      </c>
    </row>
    <row r="3397" spans="2:3">
      <c r="B3397" s="38">
        <v>43102</v>
      </c>
      <c r="C3397">
        <v>227.6977</v>
      </c>
    </row>
    <row r="3398" spans="2:3">
      <c r="B3398" s="38">
        <v>43103</v>
      </c>
      <c r="C3398">
        <v>228.96100000000001</v>
      </c>
    </row>
    <row r="3399" spans="2:3">
      <c r="B3399" s="38">
        <v>43104</v>
      </c>
      <c r="C3399">
        <v>229.69</v>
      </c>
    </row>
    <row r="3400" spans="2:3">
      <c r="B3400" s="38">
        <v>43105</v>
      </c>
      <c r="C3400">
        <v>230.88460000000001</v>
      </c>
    </row>
    <row r="3401" spans="2:3">
      <c r="B3401" s="38">
        <v>43108</v>
      </c>
      <c r="C3401">
        <v>231.17490000000001</v>
      </c>
    </row>
    <row r="3402" spans="2:3">
      <c r="B3402" s="38">
        <v>43109</v>
      </c>
      <c r="C3402">
        <v>231.18549999999999</v>
      </c>
    </row>
    <row r="3403" spans="2:3">
      <c r="B3403" s="38">
        <v>43110</v>
      </c>
      <c r="C3403">
        <v>230.98779999999999</v>
      </c>
    </row>
    <row r="3404" spans="2:3">
      <c r="B3404" s="38">
        <v>43111</v>
      </c>
      <c r="C3404">
        <v>232.2723</v>
      </c>
    </row>
    <row r="3405" spans="2:3">
      <c r="B3405" s="38">
        <v>43112</v>
      </c>
      <c r="C3405">
        <v>233.4084</v>
      </c>
    </row>
    <row r="3406" spans="2:3">
      <c r="B3406" s="38">
        <v>43116</v>
      </c>
      <c r="C3406">
        <v>232.79589999999999</v>
      </c>
    </row>
    <row r="3407" spans="2:3">
      <c r="B3407" s="38">
        <v>43117</v>
      </c>
      <c r="C3407">
        <v>234.19800000000001</v>
      </c>
    </row>
    <row r="3408" spans="2:3">
      <c r="B3408" s="38">
        <v>43118</v>
      </c>
      <c r="C3408">
        <v>233.81909999999999</v>
      </c>
    </row>
    <row r="3409" spans="2:3">
      <c r="B3409" s="38">
        <v>43119</v>
      </c>
      <c r="C3409">
        <v>234.3708</v>
      </c>
    </row>
    <row r="3410" spans="2:3">
      <c r="B3410" s="38">
        <v>43122</v>
      </c>
      <c r="C3410">
        <v>235.60480000000001</v>
      </c>
    </row>
    <row r="3411" spans="2:3">
      <c r="B3411" s="38">
        <v>43123</v>
      </c>
      <c r="C3411">
        <v>236.1626</v>
      </c>
    </row>
    <row r="3412" spans="2:3">
      <c r="B3412" s="38">
        <v>43124</v>
      </c>
      <c r="C3412">
        <v>235.93899999999999</v>
      </c>
    </row>
    <row r="3413" spans="2:3">
      <c r="B3413" s="38">
        <v>43125</v>
      </c>
      <c r="C3413">
        <v>236.2226</v>
      </c>
    </row>
    <row r="3414" spans="2:3">
      <c r="B3414" s="38">
        <v>43126</v>
      </c>
      <c r="C3414">
        <v>237.88140000000001</v>
      </c>
    </row>
    <row r="3415" spans="2:3">
      <c r="B3415" s="38">
        <v>43129</v>
      </c>
      <c r="C3415">
        <v>236.6848</v>
      </c>
    </row>
    <row r="3416" spans="2:3">
      <c r="B3416" s="38">
        <v>43130</v>
      </c>
      <c r="C3416">
        <v>234.92769999999999</v>
      </c>
    </row>
    <row r="3417" spans="2:3">
      <c r="B3417" s="38">
        <v>43131</v>
      </c>
      <c r="C3417">
        <v>235.02959999999999</v>
      </c>
    </row>
    <row r="3418" spans="2:3">
      <c r="B3418" s="38">
        <v>43132</v>
      </c>
      <c r="C3418">
        <v>234.6088</v>
      </c>
    </row>
    <row r="3419" spans="2:3">
      <c r="B3419" s="38">
        <v>43133</v>
      </c>
      <c r="C3419">
        <v>231.42859999999999</v>
      </c>
    </row>
    <row r="3420" spans="2:3">
      <c r="B3420" s="38">
        <v>43136</v>
      </c>
      <c r="C3420">
        <v>226.5258</v>
      </c>
    </row>
    <row r="3421" spans="2:3">
      <c r="B3421" s="38">
        <v>43137</v>
      </c>
      <c r="C3421">
        <v>228.6438</v>
      </c>
    </row>
    <row r="3422" spans="2:3">
      <c r="B3422" s="38">
        <v>43138</v>
      </c>
      <c r="C3422">
        <v>227.66300000000001</v>
      </c>
    </row>
    <row r="3423" spans="2:3">
      <c r="B3423" s="38">
        <v>43139</v>
      </c>
      <c r="C3423">
        <v>223.4914</v>
      </c>
    </row>
    <row r="3424" spans="2:3">
      <c r="B3424" s="38">
        <v>43140</v>
      </c>
      <c r="C3424">
        <v>225.06549999999999</v>
      </c>
    </row>
    <row r="3425" spans="2:3">
      <c r="B3425" s="38">
        <v>43143</v>
      </c>
      <c r="C3425">
        <v>226.251</v>
      </c>
    </row>
    <row r="3426" spans="2:3">
      <c r="B3426" s="38">
        <v>43144</v>
      </c>
      <c r="C3426">
        <v>226.5574</v>
      </c>
    </row>
    <row r="3427" spans="2:3">
      <c r="B3427" s="38">
        <v>43145</v>
      </c>
      <c r="C3427">
        <v>226.94210000000001</v>
      </c>
    </row>
    <row r="3428" spans="2:3">
      <c r="B3428" s="38">
        <v>43146</v>
      </c>
      <c r="C3428">
        <v>228.14400000000001</v>
      </c>
    </row>
    <row r="3429" spans="2:3">
      <c r="B3429" s="38">
        <v>43147</v>
      </c>
      <c r="C3429">
        <v>228.38339999999999</v>
      </c>
    </row>
    <row r="3430" spans="2:3">
      <c r="B3430" s="38">
        <v>43151</v>
      </c>
      <c r="C3430">
        <v>227.83320000000001</v>
      </c>
    </row>
    <row r="3431" spans="2:3">
      <c r="B3431" s="38">
        <v>43152</v>
      </c>
      <c r="C3431">
        <v>227.07409999999999</v>
      </c>
    </row>
    <row r="3432" spans="2:3">
      <c r="B3432" s="38">
        <v>43153</v>
      </c>
      <c r="C3432">
        <v>227.18799999999999</v>
      </c>
    </row>
    <row r="3433" spans="2:3">
      <c r="B3433" s="38">
        <v>43154</v>
      </c>
      <c r="C3433">
        <v>228.34059999999999</v>
      </c>
    </row>
    <row r="3434" spans="2:3">
      <c r="B3434" s="38">
        <v>43157</v>
      </c>
      <c r="C3434">
        <v>229.02449999999999</v>
      </c>
    </row>
    <row r="3435" spans="2:3">
      <c r="B3435" s="38">
        <v>43158</v>
      </c>
      <c r="C3435">
        <v>228.0635</v>
      </c>
    </row>
    <row r="3436" spans="2:3">
      <c r="B3436" s="38">
        <v>43159</v>
      </c>
      <c r="C3436">
        <v>228.1138</v>
      </c>
    </row>
    <row r="3437" spans="2:3">
      <c r="B3437" s="38">
        <v>43160</v>
      </c>
      <c r="C3437">
        <v>228.34450000000001</v>
      </c>
    </row>
    <row r="3438" spans="2:3">
      <c r="B3438" s="38">
        <v>43161</v>
      </c>
      <c r="C3438">
        <v>227.9667</v>
      </c>
    </row>
    <row r="3439" spans="2:3">
      <c r="B3439" s="38">
        <v>43164</v>
      </c>
      <c r="C3439">
        <v>228.08189999999999</v>
      </c>
    </row>
    <row r="3440" spans="2:3">
      <c r="B3440" s="38">
        <v>43165</v>
      </c>
      <c r="C3440">
        <v>228.11160000000001</v>
      </c>
    </row>
    <row r="3441" spans="2:3">
      <c r="B3441" s="38">
        <v>43166</v>
      </c>
      <c r="C3441">
        <v>227.93549999999999</v>
      </c>
    </row>
    <row r="3442" spans="2:3">
      <c r="B3442" s="38">
        <v>43167</v>
      </c>
      <c r="C3442">
        <v>228.32259999999999</v>
      </c>
    </row>
    <row r="3443" spans="2:3">
      <c r="B3443" s="38">
        <v>43168</v>
      </c>
      <c r="C3443">
        <v>228.94739999999999</v>
      </c>
    </row>
    <row r="3444" spans="2:3">
      <c r="B3444" s="38">
        <v>43171</v>
      </c>
      <c r="C3444">
        <v>229.15989999999999</v>
      </c>
    </row>
    <row r="3445" spans="2:3">
      <c r="B3445" s="38">
        <v>43172</v>
      </c>
      <c r="C3445">
        <v>228.9847</v>
      </c>
    </row>
    <row r="3446" spans="2:3">
      <c r="B3446" s="38">
        <v>43173</v>
      </c>
      <c r="C3446">
        <v>229.0633</v>
      </c>
    </row>
    <row r="3447" spans="2:3">
      <c r="B3447" s="38">
        <v>43174</v>
      </c>
      <c r="C3447">
        <v>228.99430000000001</v>
      </c>
    </row>
    <row r="3448" spans="2:3">
      <c r="B3448" s="38">
        <v>43175</v>
      </c>
      <c r="C3448">
        <v>228.86789999999999</v>
      </c>
    </row>
    <row r="3449" spans="2:3">
      <c r="B3449" s="38">
        <v>43178</v>
      </c>
      <c r="C3449">
        <v>228.27340000000001</v>
      </c>
    </row>
    <row r="3450" spans="2:3">
      <c r="B3450" s="38">
        <v>43179</v>
      </c>
      <c r="C3450">
        <v>228.0043</v>
      </c>
    </row>
    <row r="3451" spans="2:3">
      <c r="B3451" s="38">
        <v>43180</v>
      </c>
      <c r="C3451">
        <v>227.7056</v>
      </c>
    </row>
    <row r="3452" spans="2:3">
      <c r="B3452" s="38">
        <v>43181</v>
      </c>
      <c r="C3452">
        <v>227.1422</v>
      </c>
    </row>
    <row r="3453" spans="2:3">
      <c r="B3453" s="38">
        <v>43182</v>
      </c>
      <c r="C3453">
        <v>226.1275</v>
      </c>
    </row>
    <row r="3454" spans="2:3">
      <c r="B3454" s="38">
        <v>43185</v>
      </c>
      <c r="C3454">
        <v>227.38579999999999</v>
      </c>
    </row>
    <row r="3455" spans="2:3">
      <c r="B3455" s="38">
        <v>43186</v>
      </c>
      <c r="C3455">
        <v>227.2552</v>
      </c>
    </row>
    <row r="3456" spans="2:3">
      <c r="B3456" s="38">
        <v>43187</v>
      </c>
      <c r="C3456">
        <v>227.21639999999999</v>
      </c>
    </row>
    <row r="3457" spans="2:3">
      <c r="B3457" s="38">
        <v>43188</v>
      </c>
      <c r="C3457">
        <v>228.1515</v>
      </c>
    </row>
    <row r="3458" spans="2:3">
      <c r="B3458" s="38">
        <v>43192</v>
      </c>
      <c r="C3458">
        <v>227.25040000000001</v>
      </c>
    </row>
    <row r="3459" spans="2:3">
      <c r="B3459" s="38">
        <v>43193</v>
      </c>
      <c r="C3459">
        <v>227.3366</v>
      </c>
    </row>
    <row r="3460" spans="2:3">
      <c r="B3460" s="38">
        <v>43194</v>
      </c>
      <c r="C3460">
        <v>227.80600000000001</v>
      </c>
    </row>
    <row r="3461" spans="2:3">
      <c r="B3461" s="38">
        <v>43195</v>
      </c>
      <c r="C3461">
        <v>227.89410000000001</v>
      </c>
    </row>
    <row r="3462" spans="2:3">
      <c r="B3462" s="38">
        <v>43196</v>
      </c>
      <c r="C3462">
        <v>227.19460000000001</v>
      </c>
    </row>
    <row r="3463" spans="2:3">
      <c r="B3463" s="38">
        <v>43199</v>
      </c>
      <c r="C3463">
        <v>227.4143</v>
      </c>
    </row>
    <row r="3464" spans="2:3">
      <c r="B3464" s="38">
        <v>43200</v>
      </c>
      <c r="C3464">
        <v>228.13890000000001</v>
      </c>
    </row>
    <row r="3465" spans="2:3">
      <c r="B3465" s="38">
        <v>43201</v>
      </c>
      <c r="C3465">
        <v>227.94800000000001</v>
      </c>
    </row>
    <row r="3466" spans="2:3">
      <c r="B3466" s="38">
        <v>43202</v>
      </c>
      <c r="C3466">
        <v>227.92439999999999</v>
      </c>
    </row>
    <row r="3467" spans="2:3">
      <c r="B3467" s="38">
        <v>43203</v>
      </c>
      <c r="C3467">
        <v>227.8655</v>
      </c>
    </row>
    <row r="3468" spans="2:3">
      <c r="B3468" s="38">
        <v>43206</v>
      </c>
      <c r="C3468">
        <v>228.40090000000001</v>
      </c>
    </row>
    <row r="3469" spans="2:3">
      <c r="B3469" s="38">
        <v>43207</v>
      </c>
      <c r="C3469">
        <v>229.13589999999999</v>
      </c>
    </row>
    <row r="3470" spans="2:3">
      <c r="B3470" s="38">
        <v>43208</v>
      </c>
      <c r="C3470">
        <v>228.7004</v>
      </c>
    </row>
    <row r="3471" spans="2:3">
      <c r="B3471" s="38">
        <v>43209</v>
      </c>
      <c r="C3471">
        <v>227.99</v>
      </c>
    </row>
    <row r="3472" spans="2:3">
      <c r="B3472" s="38">
        <v>43210</v>
      </c>
      <c r="C3472">
        <v>227.13589999999999</v>
      </c>
    </row>
    <row r="3473" spans="2:3">
      <c r="B3473" s="38">
        <v>43213</v>
      </c>
      <c r="C3473">
        <v>226.94579999999999</v>
      </c>
    </row>
    <row r="3474" spans="2:3">
      <c r="B3474" s="38">
        <v>43214</v>
      </c>
      <c r="C3474">
        <v>226.08160000000001</v>
      </c>
    </row>
    <row r="3475" spans="2:3">
      <c r="B3475" s="38">
        <v>43215</v>
      </c>
      <c r="C3475">
        <v>225.8759</v>
      </c>
    </row>
    <row r="3476" spans="2:3">
      <c r="B3476" s="38">
        <v>43216</v>
      </c>
      <c r="C3476">
        <v>226.91489999999999</v>
      </c>
    </row>
    <row r="3477" spans="2:3">
      <c r="B3477" s="38">
        <v>43217</v>
      </c>
      <c r="C3477">
        <v>227.3389</v>
      </c>
    </row>
    <row r="3478" spans="2:3">
      <c r="B3478" s="38">
        <v>43220</v>
      </c>
      <c r="C3478">
        <v>226.9786</v>
      </c>
    </row>
    <row r="3479" spans="2:3">
      <c r="B3479" s="38">
        <v>43221</v>
      </c>
      <c r="C3479">
        <v>226.8049</v>
      </c>
    </row>
    <row r="3480" spans="2:3">
      <c r="B3480" s="38">
        <v>43222</v>
      </c>
      <c r="C3480">
        <v>226.42660000000001</v>
      </c>
    </row>
    <row r="3481" spans="2:3">
      <c r="B3481" s="38">
        <v>43223</v>
      </c>
      <c r="C3481">
        <v>226.43369999999999</v>
      </c>
    </row>
    <row r="3482" spans="2:3">
      <c r="B3482" s="38">
        <v>43224</v>
      </c>
      <c r="C3482">
        <v>227.32079999999999</v>
      </c>
    </row>
    <row r="3483" spans="2:3">
      <c r="B3483" s="38">
        <v>43227</v>
      </c>
      <c r="C3483">
        <v>227.4967</v>
      </c>
    </row>
    <row r="3484" spans="2:3">
      <c r="B3484" s="38">
        <v>43228</v>
      </c>
      <c r="C3484">
        <v>227.29740000000001</v>
      </c>
    </row>
    <row r="3485" spans="2:3">
      <c r="B3485" s="38">
        <v>43229</v>
      </c>
      <c r="C3485">
        <v>227.69329999999999</v>
      </c>
    </row>
    <row r="3486" spans="2:3">
      <c r="B3486" s="38">
        <v>43230</v>
      </c>
      <c r="C3486">
        <v>228.58320000000001</v>
      </c>
    </row>
    <row r="3487" spans="2:3">
      <c r="B3487" s="38">
        <v>43231</v>
      </c>
      <c r="C3487">
        <v>228.7989</v>
      </c>
    </row>
    <row r="3488" spans="2:3">
      <c r="B3488" s="38">
        <v>43234</v>
      </c>
      <c r="C3488">
        <v>228.739</v>
      </c>
    </row>
    <row r="3489" spans="2:3">
      <c r="B3489" s="38">
        <v>43235</v>
      </c>
      <c r="C3489">
        <v>227.45429999999999</v>
      </c>
    </row>
    <row r="3490" spans="2:3">
      <c r="B3490" s="38">
        <v>43236</v>
      </c>
      <c r="C3490">
        <v>227.6011</v>
      </c>
    </row>
    <row r="3491" spans="2:3">
      <c r="B3491" s="38">
        <v>43237</v>
      </c>
      <c r="C3491">
        <v>227.41990000000001</v>
      </c>
    </row>
    <row r="3492" spans="2:3">
      <c r="B3492" s="38">
        <v>43238</v>
      </c>
      <c r="C3492">
        <v>227.6292</v>
      </c>
    </row>
    <row r="3493" spans="2:3">
      <c r="B3493" s="38">
        <v>43241</v>
      </c>
      <c r="C3493">
        <v>228.10059999999999</v>
      </c>
    </row>
    <row r="3494" spans="2:3">
      <c r="B3494" s="38">
        <v>43242</v>
      </c>
      <c r="C3494">
        <v>227.96700000000001</v>
      </c>
    </row>
    <row r="3495" spans="2:3">
      <c r="B3495" s="38">
        <v>43243</v>
      </c>
      <c r="C3495">
        <v>228.66309999999999</v>
      </c>
    </row>
    <row r="3496" spans="2:3">
      <c r="B3496" s="38">
        <v>43244</v>
      </c>
      <c r="C3496">
        <v>228.78550000000001</v>
      </c>
    </row>
    <row r="3497" spans="2:3">
      <c r="B3497" s="38">
        <v>43245</v>
      </c>
      <c r="C3497">
        <v>228.94290000000001</v>
      </c>
    </row>
    <row r="3498" spans="2:3">
      <c r="B3498" s="38">
        <v>43249</v>
      </c>
      <c r="C3498">
        <v>229.31399999999999</v>
      </c>
    </row>
    <row r="3499" spans="2:3">
      <c r="B3499" s="38">
        <v>43250</v>
      </c>
      <c r="C3499">
        <v>229.8381</v>
      </c>
    </row>
    <row r="3500" spans="2:3">
      <c r="B3500" s="38">
        <v>43251</v>
      </c>
      <c r="C3500">
        <v>229.27109999999999</v>
      </c>
    </row>
    <row r="3501" spans="2:3">
      <c r="B3501" s="38">
        <v>43252</v>
      </c>
      <c r="C3501">
        <v>229.73689999999999</v>
      </c>
    </row>
    <row r="3502" spans="2:3">
      <c r="B3502" s="38">
        <v>43255</v>
      </c>
      <c r="C3502">
        <v>229.87690000000001</v>
      </c>
    </row>
    <row r="3503" spans="2:3">
      <c r="B3503" s="38">
        <v>43256</v>
      </c>
      <c r="C3503">
        <v>230.0478</v>
      </c>
    </row>
    <row r="3504" spans="2:3">
      <c r="B3504" s="38">
        <v>43257</v>
      </c>
      <c r="C3504">
        <v>230.50729999999999</v>
      </c>
    </row>
    <row r="3505" spans="2:3">
      <c r="B3505" s="38">
        <v>43258</v>
      </c>
      <c r="C3505">
        <v>230.65700000000001</v>
      </c>
    </row>
    <row r="3506" spans="2:3">
      <c r="B3506" s="38">
        <v>43259</v>
      </c>
      <c r="C3506">
        <v>230.95920000000001</v>
      </c>
    </row>
    <row r="3507" spans="2:3">
      <c r="B3507" s="38">
        <v>43262</v>
      </c>
      <c r="C3507">
        <v>230.99590000000001</v>
      </c>
    </row>
    <row r="3508" spans="2:3">
      <c r="B3508" s="38">
        <v>43263</v>
      </c>
      <c r="C3508">
        <v>231.2131</v>
      </c>
    </row>
    <row r="3509" spans="2:3">
      <c r="B3509" s="38">
        <v>43264</v>
      </c>
      <c r="C3509">
        <v>230.64099999999999</v>
      </c>
    </row>
    <row r="3510" spans="2:3">
      <c r="B3510" s="38">
        <v>43265</v>
      </c>
      <c r="C3510">
        <v>231.2192</v>
      </c>
    </row>
    <row r="3511" spans="2:3">
      <c r="B3511" s="38">
        <v>43266</v>
      </c>
      <c r="C3511">
        <v>231.262</v>
      </c>
    </row>
    <row r="3512" spans="2:3">
      <c r="B3512" s="38">
        <v>43269</v>
      </c>
      <c r="C3512">
        <v>231.01329999999999</v>
      </c>
    </row>
    <row r="3513" spans="2:3">
      <c r="B3513" s="38">
        <v>43270</v>
      </c>
      <c r="C3513">
        <v>230.67660000000001</v>
      </c>
    </row>
    <row r="3514" spans="2:3">
      <c r="B3514" s="38">
        <v>43271</v>
      </c>
      <c r="C3514">
        <v>230.73159999999999</v>
      </c>
    </row>
    <row r="3515" spans="2:3">
      <c r="B3515" s="38">
        <v>43272</v>
      </c>
      <c r="C3515">
        <v>230.08189999999999</v>
      </c>
    </row>
    <row r="3516" spans="2:3">
      <c r="B3516" s="38">
        <v>43273</v>
      </c>
      <c r="C3516">
        <v>230.3031</v>
      </c>
    </row>
    <row r="3517" spans="2:3">
      <c r="B3517" s="38">
        <v>43276</v>
      </c>
      <c r="C3517">
        <v>228.60720000000001</v>
      </c>
    </row>
    <row r="3518" spans="2:3">
      <c r="B3518" s="38">
        <v>43277</v>
      </c>
      <c r="C3518">
        <v>228.93639999999999</v>
      </c>
    </row>
    <row r="3519" spans="2:3">
      <c r="B3519" s="38">
        <v>43278</v>
      </c>
      <c r="C3519">
        <v>228.07079999999999</v>
      </c>
    </row>
    <row r="3520" spans="2:3">
      <c r="B3520" s="38">
        <v>43279</v>
      </c>
      <c r="C3520">
        <v>228.79130000000001</v>
      </c>
    </row>
    <row r="3521" spans="2:3">
      <c r="B3521" s="38">
        <v>43280</v>
      </c>
      <c r="C3521">
        <v>228.89670000000001</v>
      </c>
    </row>
    <row r="3522" spans="2:3">
      <c r="B3522" s="38">
        <v>43283</v>
      </c>
      <c r="C3522">
        <v>229.17269999999999</v>
      </c>
    </row>
    <row r="3523" spans="2:3">
      <c r="B3523" s="38">
        <v>43284</v>
      </c>
      <c r="C3523">
        <v>228.71170000000001</v>
      </c>
    </row>
    <row r="3524" spans="2:3">
      <c r="B3524" s="38">
        <v>43286</v>
      </c>
      <c r="C3524">
        <v>229.89230000000001</v>
      </c>
    </row>
    <row r="3525" spans="2:3">
      <c r="B3525" s="38">
        <v>43287</v>
      </c>
      <c r="C3525">
        <v>231.20679999999999</v>
      </c>
    </row>
    <row r="3526" spans="2:3">
      <c r="B3526" s="38">
        <v>43290</v>
      </c>
      <c r="C3526">
        <v>232.28270000000001</v>
      </c>
    </row>
    <row r="3527" spans="2:3">
      <c r="B3527" s="38">
        <v>43291</v>
      </c>
      <c r="C3527">
        <v>232.68799999999999</v>
      </c>
    </row>
    <row r="3528" spans="2:3">
      <c r="B3528" s="38">
        <v>43292</v>
      </c>
      <c r="C3528">
        <v>231.87219999999999</v>
      </c>
    </row>
    <row r="3529" spans="2:3">
      <c r="B3529" s="38">
        <v>43293</v>
      </c>
      <c r="C3529">
        <v>233.0318</v>
      </c>
    </row>
    <row r="3530" spans="2:3">
      <c r="B3530" s="38">
        <v>43294</v>
      </c>
      <c r="C3530">
        <v>233.3227</v>
      </c>
    </row>
    <row r="3531" spans="2:3">
      <c r="B3531" s="38">
        <v>43297</v>
      </c>
      <c r="C3531">
        <v>233.08709999999999</v>
      </c>
    </row>
    <row r="3532" spans="2:3">
      <c r="B3532" s="38">
        <v>43298</v>
      </c>
      <c r="C3532">
        <v>233.5667</v>
      </c>
    </row>
    <row r="3533" spans="2:3">
      <c r="B3533" s="38">
        <v>43299</v>
      </c>
      <c r="C3533">
        <v>233.76750000000001</v>
      </c>
    </row>
    <row r="3534" spans="2:3">
      <c r="B3534" s="38">
        <v>43300</v>
      </c>
      <c r="C3534">
        <v>233.42779999999999</v>
      </c>
    </row>
    <row r="3535" spans="2:3">
      <c r="B3535" s="38">
        <v>43301</v>
      </c>
      <c r="C3535">
        <v>233.05959999999999</v>
      </c>
    </row>
    <row r="3536" spans="2:3">
      <c r="B3536" s="38">
        <v>43304</v>
      </c>
      <c r="C3536">
        <v>232.93430000000001</v>
      </c>
    </row>
    <row r="3537" spans="2:3">
      <c r="B3537" s="38">
        <v>43305</v>
      </c>
      <c r="C3537">
        <v>233.67019999999999</v>
      </c>
    </row>
    <row r="3538" spans="2:3">
      <c r="B3538" s="38">
        <v>43306</v>
      </c>
      <c r="C3538">
        <v>234.9751</v>
      </c>
    </row>
    <row r="3539" spans="2:3">
      <c r="B3539" s="38">
        <v>43307</v>
      </c>
      <c r="C3539">
        <v>234.41900000000001</v>
      </c>
    </row>
    <row r="3540" spans="2:3">
      <c r="B3540" s="38">
        <v>43308</v>
      </c>
      <c r="C3540">
        <v>233.53710000000001</v>
      </c>
    </row>
    <row r="3541" spans="2:3">
      <c r="B3541" s="38">
        <v>43311</v>
      </c>
      <c r="C3541">
        <v>232.6816</v>
      </c>
    </row>
    <row r="3542" spans="2:3">
      <c r="B3542" s="38">
        <v>43312</v>
      </c>
      <c r="C3542">
        <v>233.45349999999999</v>
      </c>
    </row>
    <row r="3543" spans="2:3">
      <c r="B3543" s="38">
        <v>43313</v>
      </c>
      <c r="C3543">
        <v>233.09700000000001</v>
      </c>
    </row>
    <row r="3544" spans="2:3">
      <c r="B3544" s="38">
        <v>43314</v>
      </c>
      <c r="C3544">
        <v>233.83750000000001</v>
      </c>
    </row>
    <row r="3545" spans="2:3">
      <c r="B3545" s="38">
        <v>43315</v>
      </c>
      <c r="C3545">
        <v>234.6387</v>
      </c>
    </row>
    <row r="3546" spans="2:3">
      <c r="B3546" s="38">
        <v>43318</v>
      </c>
      <c r="C3546">
        <v>235.2458</v>
      </c>
    </row>
    <row r="3547" spans="2:3">
      <c r="B3547" s="38">
        <v>43319</v>
      </c>
      <c r="C3547">
        <v>235.48439999999999</v>
      </c>
    </row>
    <row r="3548" spans="2:3">
      <c r="B3548" s="38">
        <v>43320</v>
      </c>
      <c r="C3548">
        <v>235.51</v>
      </c>
    </row>
    <row r="3549" spans="2:3">
      <c r="B3549" s="38">
        <v>43321</v>
      </c>
      <c r="C3549">
        <v>235.4588</v>
      </c>
    </row>
    <row r="3550" spans="2:3">
      <c r="B3550" s="38">
        <v>43322</v>
      </c>
      <c r="C3550">
        <v>234.7732</v>
      </c>
    </row>
    <row r="3551" spans="2:3">
      <c r="B3551" s="38">
        <v>43325</v>
      </c>
      <c r="C3551">
        <v>234.1037</v>
      </c>
    </row>
    <row r="3552" spans="2:3">
      <c r="B3552" s="38">
        <v>43326</v>
      </c>
      <c r="C3552">
        <v>234.92740000000001</v>
      </c>
    </row>
    <row r="3553" spans="2:3">
      <c r="B3553" s="38">
        <v>43327</v>
      </c>
      <c r="C3553">
        <v>234.06120000000001</v>
      </c>
    </row>
    <row r="3554" spans="2:3">
      <c r="B3554" s="38">
        <v>43328</v>
      </c>
      <c r="C3554">
        <v>235.08320000000001</v>
      </c>
    </row>
    <row r="3555" spans="2:3">
      <c r="B3555" s="38">
        <v>43329</v>
      </c>
      <c r="C3555">
        <v>235.5642</v>
      </c>
    </row>
    <row r="3556" spans="2:3">
      <c r="B3556" s="38">
        <v>43332</v>
      </c>
      <c r="C3556">
        <v>236.15809999999999</v>
      </c>
    </row>
    <row r="3557" spans="2:3">
      <c r="B3557" s="38">
        <v>43333</v>
      </c>
      <c r="C3557">
        <v>236.36080000000001</v>
      </c>
    </row>
    <row r="3558" spans="2:3">
      <c r="B3558" s="38">
        <v>43334</v>
      </c>
      <c r="C3558">
        <v>236.41669999999999</v>
      </c>
    </row>
    <row r="3559" spans="2:3">
      <c r="B3559" s="38">
        <v>43335</v>
      </c>
      <c r="C3559">
        <v>236.19300000000001</v>
      </c>
    </row>
    <row r="3560" spans="2:3">
      <c r="B3560" s="38">
        <v>43336</v>
      </c>
      <c r="C3560">
        <v>237.08199999999999</v>
      </c>
    </row>
    <row r="3561" spans="2:3">
      <c r="B3561" s="38">
        <v>43339</v>
      </c>
      <c r="C3561">
        <v>238.16079999999999</v>
      </c>
    </row>
    <row r="3562" spans="2:3">
      <c r="B3562" s="38">
        <v>43340</v>
      </c>
      <c r="C3562">
        <v>238.05459999999999</v>
      </c>
    </row>
    <row r="3563" spans="2:3">
      <c r="B3563" s="38">
        <v>43341</v>
      </c>
      <c r="C3563">
        <v>238.88919999999999</v>
      </c>
    </row>
    <row r="3564" spans="2:3">
      <c r="B3564" s="38">
        <v>43342</v>
      </c>
      <c r="C3564">
        <v>238.30619999999999</v>
      </c>
    </row>
    <row r="3565" spans="2:3">
      <c r="B3565" s="38">
        <v>43343</v>
      </c>
      <c r="C3565">
        <v>238.40690000000001</v>
      </c>
    </row>
    <row r="3566" spans="2:3">
      <c r="B3566" s="38">
        <v>43347</v>
      </c>
      <c r="C3566">
        <v>237.91800000000001</v>
      </c>
    </row>
    <row r="3567" spans="2:3">
      <c r="B3567" s="38">
        <v>43348</v>
      </c>
      <c r="C3567">
        <v>237.50749999999999</v>
      </c>
    </row>
    <row r="3568" spans="2:3">
      <c r="B3568" s="38">
        <v>43349</v>
      </c>
      <c r="C3568">
        <v>237.0342</v>
      </c>
    </row>
    <row r="3569" spans="2:3">
      <c r="B3569" s="38">
        <v>43350</v>
      </c>
      <c r="C3569">
        <v>236.38929999999999</v>
      </c>
    </row>
    <row r="3570" spans="2:3">
      <c r="B3570" s="38">
        <v>43353</v>
      </c>
      <c r="C3570">
        <v>236.7816</v>
      </c>
    </row>
    <row r="3571" spans="2:3">
      <c r="B3571" s="38">
        <v>43354</v>
      </c>
      <c r="C3571">
        <v>237.18819999999999</v>
      </c>
    </row>
    <row r="3572" spans="2:3">
      <c r="B3572" s="38">
        <v>43355</v>
      </c>
      <c r="C3572">
        <v>237.33500000000001</v>
      </c>
    </row>
    <row r="3573" spans="2:3">
      <c r="B3573" s="38">
        <v>43356</v>
      </c>
      <c r="C3573">
        <v>238.26169999999999</v>
      </c>
    </row>
    <row r="3574" spans="2:3">
      <c r="B3574" s="38">
        <v>43357</v>
      </c>
      <c r="C3574">
        <v>238.20519999999999</v>
      </c>
    </row>
    <row r="3575" spans="2:3">
      <c r="B3575" s="38">
        <v>43360</v>
      </c>
      <c r="C3575">
        <v>237.22839999999999</v>
      </c>
    </row>
    <row r="3576" spans="2:3">
      <c r="B3576" s="38">
        <v>43361</v>
      </c>
      <c r="C3576">
        <v>238.0077</v>
      </c>
    </row>
    <row r="3577" spans="2:3">
      <c r="B3577" s="38">
        <v>43362</v>
      </c>
      <c r="C3577">
        <v>238.0813</v>
      </c>
    </row>
    <row r="3578" spans="2:3">
      <c r="B3578" s="38">
        <v>43363</v>
      </c>
      <c r="C3578">
        <v>239.41900000000001</v>
      </c>
    </row>
    <row r="3579" spans="2:3">
      <c r="B3579" s="38">
        <v>43364</v>
      </c>
      <c r="C3579">
        <v>239.40710000000001</v>
      </c>
    </row>
    <row r="3580" spans="2:3">
      <c r="B3580" s="38">
        <v>43367</v>
      </c>
      <c r="C3580">
        <v>238.77539999999999</v>
      </c>
    </row>
    <row r="3581" spans="2:3">
      <c r="B3581" s="38">
        <v>43368</v>
      </c>
      <c r="C3581">
        <v>238.46629999999999</v>
      </c>
    </row>
    <row r="3582" spans="2:3">
      <c r="B3582" s="38">
        <v>43369</v>
      </c>
      <c r="C3582">
        <v>238.04580000000001</v>
      </c>
    </row>
    <row r="3583" spans="2:3">
      <c r="B3583" s="38">
        <v>43370</v>
      </c>
      <c r="C3583">
        <v>238.5814</v>
      </c>
    </row>
    <row r="3584" spans="2:3">
      <c r="B3584" s="38">
        <v>43371</v>
      </c>
      <c r="C3584">
        <v>238.5917</v>
      </c>
    </row>
    <row r="3585" spans="2:3">
      <c r="B3585" s="38">
        <v>43374</v>
      </c>
      <c r="C3585">
        <v>239.2183</v>
      </c>
    </row>
    <row r="3586" spans="2:3">
      <c r="B3586" s="38">
        <v>43375</v>
      </c>
      <c r="C3586">
        <v>239.19560000000001</v>
      </c>
    </row>
    <row r="3587" spans="2:3">
      <c r="B3587" s="38">
        <v>43376</v>
      </c>
      <c r="C3587">
        <v>239.0523</v>
      </c>
    </row>
    <row r="3588" spans="2:3">
      <c r="B3588" s="38">
        <v>43377</v>
      </c>
      <c r="C3588">
        <v>237.38050000000001</v>
      </c>
    </row>
    <row r="3589" spans="2:3">
      <c r="B3589" s="38">
        <v>43378</v>
      </c>
      <c r="C3589">
        <v>236.2389</v>
      </c>
    </row>
    <row r="3590" spans="2:3">
      <c r="B3590" s="38">
        <v>43382</v>
      </c>
      <c r="C3590">
        <v>235.9855</v>
      </c>
    </row>
    <row r="3591" spans="2:3">
      <c r="B3591" s="38">
        <v>43383</v>
      </c>
      <c r="C3591">
        <v>230.15600000000001</v>
      </c>
    </row>
    <row r="3592" spans="2:3">
      <c r="B3592" s="38">
        <v>43384</v>
      </c>
      <c r="C3592">
        <v>226.75069999999999</v>
      </c>
    </row>
    <row r="3593" spans="2:3">
      <c r="B3593" s="38">
        <v>43385</v>
      </c>
      <c r="C3593">
        <v>229.1183</v>
      </c>
    </row>
    <row r="3594" spans="2:3">
      <c r="B3594" s="38">
        <v>43388</v>
      </c>
      <c r="C3594">
        <v>228.07040000000001</v>
      </c>
    </row>
    <row r="3595" spans="2:3">
      <c r="B3595" s="38">
        <v>43389</v>
      </c>
      <c r="C3595">
        <v>231.43809999999999</v>
      </c>
    </row>
    <row r="3596" spans="2:3">
      <c r="B3596" s="38">
        <v>43390</v>
      </c>
      <c r="C3596">
        <v>231.30789999999999</v>
      </c>
    </row>
    <row r="3597" spans="2:3">
      <c r="B3597" s="38">
        <v>43391</v>
      </c>
      <c r="C3597">
        <v>229.17949999999999</v>
      </c>
    </row>
    <row r="3598" spans="2:3">
      <c r="B3598" s="38">
        <v>43392</v>
      </c>
      <c r="C3598">
        <v>228.98849999999999</v>
      </c>
    </row>
    <row r="3599" spans="2:3">
      <c r="B3599" s="38">
        <v>43395</v>
      </c>
      <c r="C3599">
        <v>228.48609999999999</v>
      </c>
    </row>
    <row r="3600" spans="2:3">
      <c r="B3600" s="38">
        <v>43396</v>
      </c>
      <c r="C3600">
        <v>227.9982</v>
      </c>
    </row>
    <row r="3601" spans="2:3">
      <c r="B3601" s="38">
        <v>43397</v>
      </c>
      <c r="C3601">
        <v>224.64089999999999</v>
      </c>
    </row>
    <row r="3602" spans="2:3">
      <c r="B3602" s="38">
        <v>43398</v>
      </c>
      <c r="C3602">
        <v>226.61660000000001</v>
      </c>
    </row>
    <row r="3603" spans="2:3">
      <c r="B3603" s="38">
        <v>43399</v>
      </c>
      <c r="C3603">
        <v>225.21299999999999</v>
      </c>
    </row>
    <row r="3604" spans="2:3">
      <c r="B3604" s="38">
        <v>43402</v>
      </c>
      <c r="C3604">
        <v>224.5445</v>
      </c>
    </row>
    <row r="3605" spans="2:3">
      <c r="B3605" s="38">
        <v>43403</v>
      </c>
      <c r="C3605">
        <v>225.72309999999999</v>
      </c>
    </row>
    <row r="3606" spans="2:3">
      <c r="B3606" s="38">
        <v>43404</v>
      </c>
      <c r="C3606">
        <v>226.28819999999999</v>
      </c>
    </row>
    <row r="3607" spans="2:3">
      <c r="B3607" s="38">
        <v>43405</v>
      </c>
      <c r="C3607">
        <v>227.20410000000001</v>
      </c>
    </row>
    <row r="3608" spans="2:3">
      <c r="B3608" s="38">
        <v>43406</v>
      </c>
      <c r="C3608">
        <v>226.16650000000001</v>
      </c>
    </row>
    <row r="3609" spans="2:3">
      <c r="B3609" s="38">
        <v>43409</v>
      </c>
      <c r="C3609">
        <v>226.6842</v>
      </c>
    </row>
    <row r="3610" spans="2:3">
      <c r="B3610" s="38">
        <v>43410</v>
      </c>
      <c r="C3610">
        <v>226.9991</v>
      </c>
    </row>
    <row r="3611" spans="2:3">
      <c r="B3611" s="38">
        <v>43411</v>
      </c>
      <c r="C3611">
        <v>228.11240000000001</v>
      </c>
    </row>
    <row r="3612" spans="2:3">
      <c r="B3612" s="38">
        <v>43412</v>
      </c>
      <c r="C3612">
        <v>227.79300000000001</v>
      </c>
    </row>
    <row r="3613" spans="2:3">
      <c r="B3613" s="38">
        <v>43413</v>
      </c>
      <c r="C3613">
        <v>227.61359999999999</v>
      </c>
    </row>
    <row r="3614" spans="2:3">
      <c r="B3614" s="38">
        <v>43417</v>
      </c>
      <c r="C3614">
        <v>226.85069999999999</v>
      </c>
    </row>
    <row r="3615" spans="2:3">
      <c r="B3615" s="38">
        <v>43418</v>
      </c>
      <c r="C3615">
        <v>226.61410000000001</v>
      </c>
    </row>
    <row r="3616" spans="2:3">
      <c r="B3616" s="38">
        <v>43419</v>
      </c>
      <c r="C3616">
        <v>227.21129999999999</v>
      </c>
    </row>
    <row r="3617" spans="2:3">
      <c r="B3617" s="38">
        <v>43420</v>
      </c>
      <c r="C3617">
        <v>227.80629999999999</v>
      </c>
    </row>
    <row r="3618" spans="2:3">
      <c r="B3618" s="38">
        <v>43423</v>
      </c>
      <c r="C3618">
        <v>227.01349999999999</v>
      </c>
    </row>
    <row r="3619" spans="2:3">
      <c r="B3619" s="38">
        <v>43424</v>
      </c>
      <c r="C3619">
        <v>225.94489999999999</v>
      </c>
    </row>
    <row r="3620" spans="2:3">
      <c r="B3620" s="38">
        <v>43425</v>
      </c>
      <c r="C3620">
        <v>226.07490000000001</v>
      </c>
    </row>
    <row r="3621" spans="2:3">
      <c r="B3621" s="38">
        <v>43427</v>
      </c>
      <c r="C3621">
        <v>225.7379</v>
      </c>
    </row>
    <row r="3622" spans="2:3">
      <c r="B3622" s="38">
        <v>43430</v>
      </c>
      <c r="C3622">
        <v>226.5121</v>
      </c>
    </row>
    <row r="3623" spans="2:3">
      <c r="B3623" s="38">
        <v>43431</v>
      </c>
      <c r="C3623">
        <v>226.85480000000001</v>
      </c>
    </row>
    <row r="3624" spans="2:3">
      <c r="B3624" s="38">
        <v>43432</v>
      </c>
      <c r="C3624">
        <v>228.45410000000001</v>
      </c>
    </row>
    <row r="3625" spans="2:3">
      <c r="B3625" s="38">
        <v>43433</v>
      </c>
      <c r="C3625">
        <v>228.41980000000001</v>
      </c>
    </row>
    <row r="3626" spans="2:3">
      <c r="B3626" s="38">
        <v>43434</v>
      </c>
      <c r="C3626">
        <v>228.9221</v>
      </c>
    </row>
    <row r="3627" spans="2:3">
      <c r="B3627" s="38">
        <v>43437</v>
      </c>
      <c r="C3627">
        <v>229.69829999999999</v>
      </c>
    </row>
    <row r="3628" spans="2:3">
      <c r="B3628" s="38">
        <v>43438</v>
      </c>
      <c r="C3628">
        <v>228.5967</v>
      </c>
    </row>
    <row r="3629" spans="2:3">
      <c r="B3629" s="38">
        <v>43440</v>
      </c>
      <c r="C3629">
        <v>228.87909999999999</v>
      </c>
    </row>
    <row r="3630" spans="2:3">
      <c r="B3630" s="38">
        <v>43441</v>
      </c>
      <c r="C3630">
        <v>228.08420000000001</v>
      </c>
    </row>
    <row r="3631" spans="2:3">
      <c r="B3631" s="38">
        <v>43444</v>
      </c>
      <c r="C3631">
        <v>228.31710000000001</v>
      </c>
    </row>
    <row r="3632" spans="2:3">
      <c r="B3632" s="38">
        <v>43445</v>
      </c>
      <c r="C3632">
        <v>228.16040000000001</v>
      </c>
    </row>
    <row r="3633" spans="2:3">
      <c r="B3633" s="38">
        <v>43446</v>
      </c>
      <c r="C3633">
        <v>228.346</v>
      </c>
    </row>
    <row r="3634" spans="2:3">
      <c r="B3634" s="38">
        <v>43447</v>
      </c>
      <c r="C3634">
        <v>228.3569</v>
      </c>
    </row>
    <row r="3635" spans="2:3">
      <c r="B3635" s="38">
        <v>43448</v>
      </c>
      <c r="C3635">
        <v>227.4332</v>
      </c>
    </row>
    <row r="3636" spans="2:3">
      <c r="B3636" s="38">
        <v>43451</v>
      </c>
      <c r="C3636">
        <v>226.5326</v>
      </c>
    </row>
    <row r="3637" spans="2:3">
      <c r="B3637" s="38">
        <v>43452</v>
      </c>
      <c r="C3637">
        <v>227.04329999999999</v>
      </c>
    </row>
    <row r="3638" spans="2:3">
      <c r="B3638" s="38">
        <v>43453</v>
      </c>
      <c r="C3638">
        <v>226.52010000000001</v>
      </c>
    </row>
    <row r="3639" spans="2:3">
      <c r="B3639" s="38">
        <v>43454</v>
      </c>
      <c r="C3639">
        <v>225.36410000000001</v>
      </c>
    </row>
    <row r="3640" spans="2:3">
      <c r="B3640" s="38">
        <v>43455</v>
      </c>
      <c r="C3640">
        <v>224.2071</v>
      </c>
    </row>
    <row r="3641" spans="2:3">
      <c r="B3641" s="38">
        <v>43458</v>
      </c>
      <c r="C3641">
        <v>223.17400000000001</v>
      </c>
    </row>
    <row r="3642" spans="2:3">
      <c r="B3642" s="38">
        <v>43460</v>
      </c>
      <c r="C3642">
        <v>225.4298</v>
      </c>
    </row>
    <row r="3643" spans="2:3">
      <c r="B3643" s="38">
        <v>43461</v>
      </c>
      <c r="C3643">
        <v>226.21690000000001</v>
      </c>
    </row>
    <row r="3644" spans="2:3">
      <c r="B3644" s="38">
        <v>43462</v>
      </c>
      <c r="C3644">
        <v>226.45070000000001</v>
      </c>
    </row>
    <row r="3645" spans="2:3">
      <c r="B3645" s="38">
        <v>43465</v>
      </c>
      <c r="C3645">
        <v>227.21080000000001</v>
      </c>
    </row>
    <row r="3646" spans="2:3">
      <c r="B3646" s="38">
        <v>43467</v>
      </c>
      <c r="C3646">
        <v>227.45689999999999</v>
      </c>
    </row>
    <row r="3647" spans="2:3">
      <c r="B3647" s="38">
        <v>43468</v>
      </c>
      <c r="C3647">
        <v>227.62100000000001</v>
      </c>
    </row>
    <row r="3648" spans="2:3">
      <c r="B3648" s="38">
        <v>43469</v>
      </c>
      <c r="C3648">
        <v>227.96549999999999</v>
      </c>
    </row>
    <row r="3649" spans="2:3">
      <c r="B3649" s="38">
        <v>43472</v>
      </c>
      <c r="C3649">
        <v>228.35169999999999</v>
      </c>
    </row>
    <row r="3650" spans="2:3">
      <c r="B3650" s="38">
        <v>43473</v>
      </c>
      <c r="C3650">
        <v>228.51820000000001</v>
      </c>
    </row>
    <row r="3651" spans="2:3">
      <c r="B3651" s="38">
        <v>43474</v>
      </c>
      <c r="C3651">
        <v>228.5575</v>
      </c>
    </row>
    <row r="3652" spans="2:3">
      <c r="B3652" s="38">
        <v>43475</v>
      </c>
      <c r="C3652">
        <v>228.75139999999999</v>
      </c>
    </row>
    <row r="3653" spans="2:3">
      <c r="B3653" s="38">
        <v>43476</v>
      </c>
      <c r="C3653">
        <v>229.09690000000001</v>
      </c>
    </row>
    <row r="3654" spans="2:3">
      <c r="B3654" s="38">
        <v>43479</v>
      </c>
      <c r="C3654">
        <v>228.703</v>
      </c>
    </row>
    <row r="3655" spans="2:3">
      <c r="B3655" s="38">
        <v>43480</v>
      </c>
      <c r="C3655">
        <v>229.2441</v>
      </c>
    </row>
    <row r="3656" spans="2:3">
      <c r="B3656" s="38">
        <v>43481</v>
      </c>
      <c r="C3656">
        <v>229.1926</v>
      </c>
    </row>
    <row r="3657" spans="2:3">
      <c r="B3657" s="38">
        <v>43482</v>
      </c>
      <c r="C3657">
        <v>229.4676</v>
      </c>
    </row>
    <row r="3658" spans="2:3">
      <c r="B3658" s="38">
        <v>43483</v>
      </c>
      <c r="C3658">
        <v>229.7603</v>
      </c>
    </row>
    <row r="3659" spans="2:3">
      <c r="B3659" s="38">
        <v>43487</v>
      </c>
      <c r="C3659">
        <v>229.48419999999999</v>
      </c>
    </row>
    <row r="3660" spans="2:3">
      <c r="B3660" s="38">
        <v>43488</v>
      </c>
      <c r="C3660">
        <v>229.42689999999999</v>
      </c>
    </row>
    <row r="3661" spans="2:3">
      <c r="B3661" s="38">
        <v>43489</v>
      </c>
      <c r="C3661">
        <v>229.93819999999999</v>
      </c>
    </row>
    <row r="3662" spans="2:3">
      <c r="B3662" s="38">
        <v>43490</v>
      </c>
      <c r="C3662">
        <v>230.06819999999999</v>
      </c>
    </row>
    <row r="3663" spans="2:3">
      <c r="B3663" s="38">
        <v>43493</v>
      </c>
      <c r="C3663">
        <v>229.74690000000001</v>
      </c>
    </row>
    <row r="3664" spans="2:3">
      <c r="B3664" s="38">
        <v>43494</v>
      </c>
      <c r="C3664">
        <v>230.01060000000001</v>
      </c>
    </row>
    <row r="3665" spans="2:3">
      <c r="B3665" s="38">
        <v>43495</v>
      </c>
      <c r="C3665">
        <v>231.2038</v>
      </c>
    </row>
    <row r="3666" spans="2:3">
      <c r="B3666" s="38">
        <v>43496</v>
      </c>
      <c r="C3666">
        <v>232.40180000000001</v>
      </c>
    </row>
    <row r="3667" spans="2:3">
      <c r="B3667" s="38">
        <v>43497</v>
      </c>
      <c r="C3667">
        <v>231.84299999999999</v>
      </c>
    </row>
    <row r="3668" spans="2:3">
      <c r="B3668" s="38">
        <v>43500</v>
      </c>
      <c r="C3668">
        <v>231.98570000000001</v>
      </c>
    </row>
    <row r="3669" spans="2:3">
      <c r="B3669" s="38">
        <v>43501</v>
      </c>
      <c r="C3669">
        <v>232.5454</v>
      </c>
    </row>
    <row r="3670" spans="2:3">
      <c r="B3670" s="38">
        <v>43502</v>
      </c>
      <c r="C3670">
        <v>232.43209999999999</v>
      </c>
    </row>
    <row r="3671" spans="2:3">
      <c r="B3671" s="38">
        <v>43503</v>
      </c>
      <c r="C3671">
        <v>232.22139999999999</v>
      </c>
    </row>
    <row r="3672" spans="2:3">
      <c r="B3672" s="38">
        <v>43504</v>
      </c>
      <c r="C3672">
        <v>232.4836</v>
      </c>
    </row>
    <row r="3673" spans="2:3">
      <c r="B3673" s="38">
        <v>43507</v>
      </c>
      <c r="C3673">
        <v>232.303</v>
      </c>
    </row>
    <row r="3674" spans="2:3">
      <c r="B3674" s="38">
        <v>43508</v>
      </c>
      <c r="C3674">
        <v>232.96039999999999</v>
      </c>
    </row>
    <row r="3675" spans="2:3">
      <c r="B3675" s="38">
        <v>43509</v>
      </c>
      <c r="C3675">
        <v>232.9205</v>
      </c>
    </row>
    <row r="3676" spans="2:3">
      <c r="B3676" s="38">
        <v>43510</v>
      </c>
      <c r="C3676">
        <v>233.1721</v>
      </c>
    </row>
    <row r="3677" spans="2:3">
      <c r="B3677" s="38">
        <v>43511</v>
      </c>
      <c r="C3677">
        <v>233.80250000000001</v>
      </c>
    </row>
    <row r="3678" spans="2:3">
      <c r="B3678" s="38">
        <v>43515</v>
      </c>
      <c r="C3678">
        <v>234.2346</v>
      </c>
    </row>
    <row r="3679" spans="2:3">
      <c r="B3679" s="38">
        <v>43516</v>
      </c>
      <c r="C3679">
        <v>234.29259999999999</v>
      </c>
    </row>
    <row r="3680" spans="2:3">
      <c r="B3680" s="38">
        <v>43517</v>
      </c>
      <c r="C3680">
        <v>233.7516</v>
      </c>
    </row>
    <row r="3681" spans="2:3">
      <c r="B3681" s="38">
        <v>43518</v>
      </c>
      <c r="C3681">
        <v>234.4744</v>
      </c>
    </row>
    <row r="3682" spans="2:3">
      <c r="B3682" s="38">
        <v>43521</v>
      </c>
      <c r="C3682">
        <v>234.50739999999999</v>
      </c>
    </row>
    <row r="3683" spans="2:3">
      <c r="B3683" s="38">
        <v>43522</v>
      </c>
      <c r="C3683">
        <v>234.7296</v>
      </c>
    </row>
    <row r="3684" spans="2:3">
      <c r="B3684" s="38">
        <v>43523</v>
      </c>
      <c r="C3684">
        <v>234.29470000000001</v>
      </c>
    </row>
    <row r="3685" spans="2:3">
      <c r="B3685" s="38">
        <v>43524</v>
      </c>
      <c r="C3685">
        <v>233.89840000000001</v>
      </c>
    </row>
    <row r="3686" spans="2:3">
      <c r="B3686" s="38">
        <v>43525</v>
      </c>
      <c r="C3686">
        <v>234.1353</v>
      </c>
    </row>
    <row r="3687" spans="2:3">
      <c r="B3687" s="38">
        <v>43528</v>
      </c>
      <c r="C3687">
        <v>234.0427</v>
      </c>
    </row>
    <row r="3688" spans="2:3">
      <c r="B3688" s="38">
        <v>43529</v>
      </c>
      <c r="C3688">
        <v>233.9425</v>
      </c>
    </row>
    <row r="3689" spans="2:3">
      <c r="B3689" s="38">
        <v>43530</v>
      </c>
      <c r="C3689">
        <v>233.53139999999999</v>
      </c>
    </row>
    <row r="3690" spans="2:3">
      <c r="B3690" s="38">
        <v>43531</v>
      </c>
      <c r="C3690">
        <v>233.0986</v>
      </c>
    </row>
    <row r="3691" spans="2:3">
      <c r="B3691" s="38">
        <v>43532</v>
      </c>
      <c r="C3691">
        <v>232.98599999999999</v>
      </c>
    </row>
    <row r="3692" spans="2:3">
      <c r="B3692" s="38">
        <v>43535</v>
      </c>
      <c r="C3692">
        <v>234.5333</v>
      </c>
    </row>
    <row r="3693" spans="2:3">
      <c r="B3693" s="38">
        <v>43536</v>
      </c>
      <c r="C3693">
        <v>235.2072</v>
      </c>
    </row>
    <row r="3694" spans="2:3">
      <c r="B3694" s="38">
        <v>43537</v>
      </c>
      <c r="C3694">
        <v>235.94909999999999</v>
      </c>
    </row>
    <row r="3695" spans="2:3">
      <c r="B3695" s="38">
        <v>43538</v>
      </c>
      <c r="C3695">
        <v>235.6934</v>
      </c>
    </row>
    <row r="3696" spans="2:3">
      <c r="B3696" s="38">
        <v>43539</v>
      </c>
      <c r="C3696">
        <v>236.4374</v>
      </c>
    </row>
    <row r="3697" spans="2:3">
      <c r="B3697" s="38">
        <v>43542</v>
      </c>
      <c r="C3697">
        <v>236.86510000000001</v>
      </c>
    </row>
    <row r="3698" spans="2:3">
      <c r="B3698" s="38">
        <v>43543</v>
      </c>
      <c r="C3698">
        <v>236.84190000000001</v>
      </c>
    </row>
    <row r="3699" spans="2:3">
      <c r="B3699" s="38">
        <v>43544</v>
      </c>
      <c r="C3699">
        <v>237.02709999999999</v>
      </c>
    </row>
    <row r="3700" spans="2:3">
      <c r="B3700" s="38">
        <v>43545</v>
      </c>
      <c r="C3700">
        <v>238.29060000000001</v>
      </c>
    </row>
    <row r="3701" spans="2:3">
      <c r="B3701" s="38">
        <v>43546</v>
      </c>
      <c r="C3701">
        <v>236.54429999999999</v>
      </c>
    </row>
    <row r="3702" spans="2:3">
      <c r="B3702" s="38">
        <v>43549</v>
      </c>
      <c r="C3702">
        <v>236.7722</v>
      </c>
    </row>
    <row r="3703" spans="2:3">
      <c r="B3703" s="38">
        <v>43550</v>
      </c>
      <c r="C3703">
        <v>237.57730000000001</v>
      </c>
    </row>
    <row r="3704" spans="2:3">
      <c r="B3704" s="38">
        <v>43551</v>
      </c>
      <c r="C3704">
        <v>237.3314</v>
      </c>
    </row>
    <row r="3705" spans="2:3">
      <c r="B3705" s="38">
        <v>43552</v>
      </c>
      <c r="C3705">
        <v>237.6146</v>
      </c>
    </row>
    <row r="3706" spans="2:3">
      <c r="B3706" s="38">
        <v>43553</v>
      </c>
      <c r="C3706">
        <v>238.22110000000001</v>
      </c>
    </row>
    <row r="3707" spans="2:3">
      <c r="B3707" s="38">
        <v>43556</v>
      </c>
      <c r="C3707">
        <v>238.92009999999999</v>
      </c>
    </row>
    <row r="3708" spans="2:3">
      <c r="B3708" s="38">
        <v>43557</v>
      </c>
      <c r="C3708">
        <v>239.05019999999999</v>
      </c>
    </row>
    <row r="3709" spans="2:3">
      <c r="B3709" s="38">
        <v>43558</v>
      </c>
      <c r="C3709">
        <v>239.05699999999999</v>
      </c>
    </row>
    <row r="3710" spans="2:3">
      <c r="B3710" s="38">
        <v>43559</v>
      </c>
      <c r="C3710">
        <v>239.34639999999999</v>
      </c>
    </row>
    <row r="3711" spans="2:3">
      <c r="B3711" s="38">
        <v>43560</v>
      </c>
      <c r="C3711">
        <v>239.96209999999999</v>
      </c>
    </row>
    <row r="3712" spans="2:3">
      <c r="B3712" s="38">
        <v>43563</v>
      </c>
      <c r="C3712">
        <v>239.98609999999999</v>
      </c>
    </row>
    <row r="3713" spans="2:3">
      <c r="B3713" s="38">
        <v>43564</v>
      </c>
      <c r="C3713">
        <v>239.41820000000001</v>
      </c>
    </row>
    <row r="3714" spans="2:3">
      <c r="B3714" s="38">
        <v>43565</v>
      </c>
      <c r="C3714">
        <v>239.9821</v>
      </c>
    </row>
    <row r="3715" spans="2:3">
      <c r="B3715" s="38">
        <v>43566</v>
      </c>
      <c r="C3715">
        <v>239.85550000000001</v>
      </c>
    </row>
    <row r="3716" spans="2:3">
      <c r="B3716" s="38">
        <v>43567</v>
      </c>
      <c r="C3716">
        <v>240.41749999999999</v>
      </c>
    </row>
    <row r="3717" spans="2:3">
      <c r="B3717" s="38">
        <v>43570</v>
      </c>
      <c r="C3717">
        <v>240.36</v>
      </c>
    </row>
    <row r="3718" spans="2:3">
      <c r="B3718" s="38">
        <v>43571</v>
      </c>
      <c r="C3718">
        <v>240.20009999999999</v>
      </c>
    </row>
    <row r="3719" spans="2:3">
      <c r="B3719" s="38">
        <v>43572</v>
      </c>
      <c r="C3719">
        <v>239.94990000000001</v>
      </c>
    </row>
    <row r="3720" spans="2:3">
      <c r="B3720" s="38">
        <v>43573</v>
      </c>
      <c r="C3720">
        <v>240.3613</v>
      </c>
    </row>
    <row r="3721" spans="2:3">
      <c r="B3721" s="38">
        <v>43577</v>
      </c>
      <c r="C3721">
        <v>240.30109999999999</v>
      </c>
    </row>
    <row r="3722" spans="2:3">
      <c r="B3722" s="38">
        <v>43578</v>
      </c>
      <c r="C3722">
        <v>241.62379999999999</v>
      </c>
    </row>
    <row r="3723" spans="2:3">
      <c r="B3723" s="38">
        <v>43579</v>
      </c>
      <c r="C3723">
        <v>241.57679999999999</v>
      </c>
    </row>
    <row r="3724" spans="2:3">
      <c r="B3724" s="38">
        <v>43580</v>
      </c>
      <c r="C3724">
        <v>241.4376</v>
      </c>
    </row>
    <row r="3725" spans="2:3">
      <c r="B3725" s="38">
        <v>43581</v>
      </c>
      <c r="C3725">
        <v>242.28559999999999</v>
      </c>
    </row>
    <row r="3726" spans="2:3">
      <c r="B3726" s="38">
        <v>43584</v>
      </c>
      <c r="C3726">
        <v>242.2766</v>
      </c>
    </row>
    <row r="3727" spans="2:3">
      <c r="B3727" s="38">
        <v>43585</v>
      </c>
      <c r="C3727">
        <v>242.5667</v>
      </c>
    </row>
    <row r="3728" spans="2:3">
      <c r="B3728" s="38">
        <v>43586</v>
      </c>
      <c r="C3728">
        <v>241.54310000000001</v>
      </c>
    </row>
    <row r="3729" spans="2:3">
      <c r="B3729" s="38">
        <v>43587</v>
      </c>
      <c r="C3729">
        <v>240.99199999999999</v>
      </c>
    </row>
    <row r="3730" spans="2:3">
      <c r="B3730" s="38">
        <v>43588</v>
      </c>
      <c r="C3730">
        <v>242.48419999999999</v>
      </c>
    </row>
    <row r="3731" spans="2:3">
      <c r="B3731" s="38">
        <v>43591</v>
      </c>
      <c r="C3731">
        <v>242.04499999999999</v>
      </c>
    </row>
    <row r="3732" spans="2:3">
      <c r="B3732" s="38">
        <v>43592</v>
      </c>
      <c r="C3732">
        <v>240.08690000000001</v>
      </c>
    </row>
    <row r="3733" spans="2:3">
      <c r="B3733" s="38">
        <v>43593</v>
      </c>
      <c r="C3733">
        <v>239.7328</v>
      </c>
    </row>
    <row r="3734" spans="2:3">
      <c r="B3734" s="38">
        <v>43594</v>
      </c>
      <c r="C3734">
        <v>239.4563</v>
      </c>
    </row>
    <row r="3735" spans="2:3">
      <c r="B3735" s="38">
        <v>43595</v>
      </c>
      <c r="C3735">
        <v>240.024</v>
      </c>
    </row>
    <row r="3736" spans="2:3">
      <c r="B3736" s="38">
        <v>43598</v>
      </c>
      <c r="C3736">
        <v>237.1232</v>
      </c>
    </row>
    <row r="3737" spans="2:3">
      <c r="B3737" s="38">
        <v>43599</v>
      </c>
      <c r="C3737">
        <v>238.15020000000001</v>
      </c>
    </row>
    <row r="3738" spans="2:3">
      <c r="B3738" s="38">
        <v>43600</v>
      </c>
      <c r="C3738">
        <v>239.1249</v>
      </c>
    </row>
    <row r="3739" spans="2:3">
      <c r="B3739" s="38">
        <v>43601</v>
      </c>
      <c r="C3739">
        <v>240.0095</v>
      </c>
    </row>
    <row r="3740" spans="2:3">
      <c r="B3740" s="38">
        <v>43602</v>
      </c>
      <c r="C3740">
        <v>239.42949999999999</v>
      </c>
    </row>
    <row r="3741" spans="2:3">
      <c r="B3741" s="38">
        <v>43605</v>
      </c>
      <c r="C3741">
        <v>238.5641</v>
      </c>
    </row>
    <row r="3742" spans="2:3">
      <c r="B3742" s="38">
        <v>43606</v>
      </c>
      <c r="C3742">
        <v>239.36680000000001</v>
      </c>
    </row>
    <row r="3743" spans="2:3">
      <c r="B3743" s="38">
        <v>43607</v>
      </c>
      <c r="C3743">
        <v>239.29640000000001</v>
      </c>
    </row>
    <row r="3744" spans="2:3">
      <c r="B3744" s="38">
        <v>43608</v>
      </c>
      <c r="C3744">
        <v>238.94470000000001</v>
      </c>
    </row>
    <row r="3745" spans="2:3">
      <c r="B3745" s="38">
        <v>43609</v>
      </c>
      <c r="C3745">
        <v>238.8322</v>
      </c>
    </row>
    <row r="3746" spans="2:3">
      <c r="B3746" s="38">
        <v>43613</v>
      </c>
      <c r="C3746">
        <v>238.45140000000001</v>
      </c>
    </row>
    <row r="3747" spans="2:3">
      <c r="B3747" s="38">
        <v>43614</v>
      </c>
      <c r="C3747">
        <v>238.03129999999999</v>
      </c>
    </row>
    <row r="3748" spans="2:3">
      <c r="B3748" s="38">
        <v>43615</v>
      </c>
      <c r="C3748">
        <v>238.33869999999999</v>
      </c>
    </row>
    <row r="3749" spans="2:3">
      <c r="B3749" s="38">
        <v>43616</v>
      </c>
      <c r="C3749">
        <v>237.85140000000001</v>
      </c>
    </row>
    <row r="3750" spans="2:3">
      <c r="B3750" s="38">
        <v>43619</v>
      </c>
      <c r="C3750">
        <v>238.15190000000001</v>
      </c>
    </row>
    <row r="3751" spans="2:3">
      <c r="B3751" s="38">
        <v>43620</v>
      </c>
      <c r="C3751">
        <v>239.77269999999999</v>
      </c>
    </row>
    <row r="3752" spans="2:3">
      <c r="B3752" s="38">
        <v>43621</v>
      </c>
      <c r="C3752">
        <v>240.45310000000001</v>
      </c>
    </row>
    <row r="3753" spans="2:3">
      <c r="B3753" s="38">
        <v>43622</v>
      </c>
      <c r="C3753">
        <v>240.97970000000001</v>
      </c>
    </row>
    <row r="3754" spans="2:3">
      <c r="B3754" s="38">
        <v>43623</v>
      </c>
      <c r="C3754">
        <v>242.25470000000001</v>
      </c>
    </row>
    <row r="3755" spans="2:3">
      <c r="B3755" s="38">
        <v>43626</v>
      </c>
      <c r="C3755">
        <v>242.32409999999999</v>
      </c>
    </row>
    <row r="3756" spans="2:3">
      <c r="B3756" s="38">
        <v>43627</v>
      </c>
      <c r="C3756">
        <v>242.328</v>
      </c>
    </row>
    <row r="3757" spans="2:3">
      <c r="B3757" s="38">
        <v>43628</v>
      </c>
      <c r="C3757">
        <v>242.3031</v>
      </c>
    </row>
    <row r="3758" spans="2:3">
      <c r="B3758" s="38">
        <v>43629</v>
      </c>
      <c r="C3758">
        <v>243.08</v>
      </c>
    </row>
    <row r="3759" spans="2:3">
      <c r="B3759" s="38">
        <v>43630</v>
      </c>
      <c r="C3759">
        <v>242.8733</v>
      </c>
    </row>
    <row r="3760" spans="2:3">
      <c r="B3760" s="38">
        <v>43633</v>
      </c>
      <c r="C3760">
        <v>243.01310000000001</v>
      </c>
    </row>
    <row r="3761" spans="2:3">
      <c r="B3761" s="38">
        <v>43634</v>
      </c>
      <c r="C3761">
        <v>244.3049</v>
      </c>
    </row>
    <row r="3762" spans="2:3">
      <c r="B3762" s="38">
        <v>43635</v>
      </c>
      <c r="C3762">
        <v>244.9941</v>
      </c>
    </row>
    <row r="3763" spans="2:3">
      <c r="B3763" s="38">
        <v>43636</v>
      </c>
      <c r="C3763">
        <v>246.2704</v>
      </c>
    </row>
    <row r="3764" spans="2:3">
      <c r="B3764" s="38">
        <v>43637</v>
      </c>
      <c r="C3764">
        <v>245.61789999999999</v>
      </c>
    </row>
    <row r="3765" spans="2:3">
      <c r="B3765" s="38">
        <v>43640</v>
      </c>
      <c r="C3765">
        <v>245.7912</v>
      </c>
    </row>
    <row r="3766" spans="2:3">
      <c r="B3766" s="38">
        <v>43641</v>
      </c>
      <c r="C3766">
        <v>245.01310000000001</v>
      </c>
    </row>
    <row r="3767" spans="2:3">
      <c r="B3767" s="38">
        <v>43642</v>
      </c>
      <c r="C3767">
        <v>244.48240000000001</v>
      </c>
    </row>
    <row r="3768" spans="2:3">
      <c r="B3768" s="38">
        <v>43643</v>
      </c>
      <c r="C3768">
        <v>245.23769999999999</v>
      </c>
    </row>
    <row r="3769" spans="2:3">
      <c r="B3769" s="38">
        <v>43644</v>
      </c>
      <c r="C3769">
        <v>245.8023</v>
      </c>
    </row>
    <row r="3770" spans="2:3">
      <c r="B3770" s="38">
        <v>43647</v>
      </c>
      <c r="C3770">
        <v>246.28880000000001</v>
      </c>
    </row>
    <row r="3771" spans="2:3">
      <c r="B3771" s="38">
        <v>43648</v>
      </c>
      <c r="C3771">
        <v>247.03729999999999</v>
      </c>
    </row>
    <row r="3772" spans="2:3">
      <c r="B3772" s="38">
        <v>43649</v>
      </c>
      <c r="C3772">
        <v>248.0394</v>
      </c>
    </row>
    <row r="3773" spans="2:3">
      <c r="B3773" s="38">
        <v>43651</v>
      </c>
      <c r="C3773">
        <v>247.1036</v>
      </c>
    </row>
    <row r="3774" spans="2:3">
      <c r="B3774" s="38">
        <v>43654</v>
      </c>
      <c r="C3774">
        <v>246.74809999999999</v>
      </c>
    </row>
    <row r="3775" spans="2:3">
      <c r="B3775" s="38">
        <v>43655</v>
      </c>
      <c r="C3775">
        <v>246.73419999999999</v>
      </c>
    </row>
    <row r="3776" spans="2:3">
      <c r="B3776" s="38">
        <v>43656</v>
      </c>
      <c r="C3776">
        <v>247.21440000000001</v>
      </c>
    </row>
    <row r="3777" spans="2:3">
      <c r="B3777" s="38">
        <v>43657</v>
      </c>
      <c r="C3777">
        <v>246.9769</v>
      </c>
    </row>
    <row r="3778" spans="2:3">
      <c r="B3778" s="38">
        <v>43658</v>
      </c>
      <c r="C3778">
        <v>247.57830000000001</v>
      </c>
    </row>
    <row r="3779" spans="2:3">
      <c r="B3779" s="38">
        <v>43661</v>
      </c>
      <c r="C3779">
        <v>247.76159999999999</v>
      </c>
    </row>
    <row r="3780" spans="2:3">
      <c r="B3780" s="38">
        <v>43662</v>
      </c>
      <c r="C3780">
        <v>247.17529999999999</v>
      </c>
    </row>
    <row r="3781" spans="2:3">
      <c r="B3781" s="38">
        <v>43663</v>
      </c>
      <c r="C3781">
        <v>246.893</v>
      </c>
    </row>
    <row r="3782" spans="2:3">
      <c r="B3782" s="38">
        <v>43664</v>
      </c>
      <c r="C3782">
        <v>247.5248</v>
      </c>
    </row>
    <row r="3783" spans="2:3">
      <c r="B3783" s="38">
        <v>43665</v>
      </c>
      <c r="C3783">
        <v>246.71459999999999</v>
      </c>
    </row>
    <row r="3784" spans="2:3">
      <c r="B3784" s="38">
        <v>43668</v>
      </c>
      <c r="C3784">
        <v>247.12379999999999</v>
      </c>
    </row>
    <row r="3785" spans="2:3">
      <c r="B3785" s="38">
        <v>43669</v>
      </c>
      <c r="C3785">
        <v>247.78559999999999</v>
      </c>
    </row>
    <row r="3786" spans="2:3">
      <c r="B3786" s="38">
        <v>43670</v>
      </c>
      <c r="C3786">
        <v>248.53399999999999</v>
      </c>
    </row>
    <row r="3787" spans="2:3">
      <c r="B3787" s="38">
        <v>43671</v>
      </c>
      <c r="C3787">
        <v>247.72280000000001</v>
      </c>
    </row>
    <row r="3788" spans="2:3">
      <c r="B3788" s="38">
        <v>43672</v>
      </c>
      <c r="C3788">
        <v>248.51730000000001</v>
      </c>
    </row>
    <row r="3789" spans="2:3">
      <c r="B3789" s="38">
        <v>43675</v>
      </c>
      <c r="C3789">
        <v>248.46289999999999</v>
      </c>
    </row>
    <row r="3790" spans="2:3">
      <c r="B3790" s="38">
        <v>43676</v>
      </c>
      <c r="C3790">
        <v>248.14920000000001</v>
      </c>
    </row>
    <row r="3791" spans="2:3">
      <c r="B3791" s="38">
        <v>43677</v>
      </c>
      <c r="C3791">
        <v>246.9862</v>
      </c>
    </row>
    <row r="3792" spans="2:3">
      <c r="B3792" s="38">
        <v>43678</v>
      </c>
      <c r="C3792">
        <v>246.97380000000001</v>
      </c>
    </row>
    <row r="3793" spans="2:3">
      <c r="B3793" s="38">
        <v>43679</v>
      </c>
      <c r="C3793">
        <v>246.22399999999999</v>
      </c>
    </row>
    <row r="3794" spans="2:3">
      <c r="B3794" s="38">
        <v>43682</v>
      </c>
      <c r="C3794">
        <v>243.13820000000001</v>
      </c>
    </row>
    <row r="3795" spans="2:3">
      <c r="B3795" s="38">
        <v>43683</v>
      </c>
      <c r="C3795">
        <v>244.81</v>
      </c>
    </row>
    <row r="3796" spans="2:3">
      <c r="B3796" s="38">
        <v>43684</v>
      </c>
      <c r="C3796">
        <v>245.37459999999999</v>
      </c>
    </row>
    <row r="3797" spans="2:3">
      <c r="B3797" s="38">
        <v>43685</v>
      </c>
      <c r="C3797">
        <v>247.34710000000001</v>
      </c>
    </row>
    <row r="3798" spans="2:3">
      <c r="B3798" s="38">
        <v>43686</v>
      </c>
      <c r="C3798">
        <v>246.44890000000001</v>
      </c>
    </row>
    <row r="3799" spans="2:3">
      <c r="B3799" s="38">
        <v>43689</v>
      </c>
      <c r="C3799">
        <v>245.8878</v>
      </c>
    </row>
    <row r="3800" spans="2:3">
      <c r="B3800" s="38">
        <v>43690</v>
      </c>
      <c r="C3800">
        <v>247.04140000000001</v>
      </c>
    </row>
    <row r="3801" spans="2:3">
      <c r="B3801" s="38">
        <v>43691</v>
      </c>
      <c r="C3801">
        <v>245.1747</v>
      </c>
    </row>
    <row r="3802" spans="2:3">
      <c r="B3802" s="38">
        <v>43692</v>
      </c>
      <c r="C3802">
        <v>245.91040000000001</v>
      </c>
    </row>
    <row r="3803" spans="2:3">
      <c r="B3803" s="38">
        <v>43693</v>
      </c>
      <c r="C3803">
        <v>247.04259999999999</v>
      </c>
    </row>
    <row r="3804" spans="2:3">
      <c r="B3804" s="38">
        <v>43696</v>
      </c>
      <c r="C3804">
        <v>247.30070000000001</v>
      </c>
    </row>
    <row r="3805" spans="2:3">
      <c r="B3805" s="38">
        <v>43697</v>
      </c>
      <c r="C3805">
        <v>247.1309</v>
      </c>
    </row>
    <row r="3806" spans="2:3">
      <c r="B3806" s="38">
        <v>43698</v>
      </c>
      <c r="C3806">
        <v>247.5059</v>
      </c>
    </row>
    <row r="3807" spans="2:3">
      <c r="B3807" s="38">
        <v>43699</v>
      </c>
      <c r="C3807">
        <v>247.07069999999999</v>
      </c>
    </row>
    <row r="3808" spans="2:3">
      <c r="B3808" s="38">
        <v>43700</v>
      </c>
      <c r="C3808">
        <v>246.03739999999999</v>
      </c>
    </row>
    <row r="3809" spans="2:3">
      <c r="B3809" s="38">
        <v>43703</v>
      </c>
      <c r="C3809">
        <v>246.6019</v>
      </c>
    </row>
    <row r="3810" spans="2:3">
      <c r="B3810" s="38">
        <v>43704</v>
      </c>
      <c r="C3810">
        <v>247.01159999999999</v>
      </c>
    </row>
    <row r="3811" spans="2:3">
      <c r="B3811" s="38">
        <v>43705</v>
      </c>
      <c r="C3811">
        <v>247.79560000000001</v>
      </c>
    </row>
    <row r="3812" spans="2:3">
      <c r="B3812" s="38">
        <v>43706</v>
      </c>
      <c r="C3812">
        <v>248.26050000000001</v>
      </c>
    </row>
    <row r="3813" spans="2:3">
      <c r="B3813" s="38">
        <v>43707</v>
      </c>
      <c r="C3813">
        <v>248.5137</v>
      </c>
    </row>
    <row r="3814" spans="2:3">
      <c r="B3814" s="38">
        <v>43711</v>
      </c>
      <c r="C3814">
        <v>248.44929999999999</v>
      </c>
    </row>
    <row r="3815" spans="2:3">
      <c r="B3815" s="38">
        <v>43712</v>
      </c>
      <c r="C3815">
        <v>249.33459999999999</v>
      </c>
    </row>
    <row r="3816" spans="2:3">
      <c r="B3816" s="38">
        <v>43713</v>
      </c>
      <c r="C3816">
        <v>249.3185</v>
      </c>
    </row>
    <row r="3817" spans="2:3">
      <c r="B3817" s="38">
        <v>43714</v>
      </c>
      <c r="C3817">
        <v>249.6781</v>
      </c>
    </row>
    <row r="3818" spans="2:3">
      <c r="B3818" s="38">
        <v>43717</v>
      </c>
      <c r="C3818">
        <v>248.9777</v>
      </c>
    </row>
    <row r="3819" spans="2:3">
      <c r="B3819" s="38">
        <v>43718</v>
      </c>
      <c r="C3819">
        <v>248.2184</v>
      </c>
    </row>
    <row r="3820" spans="2:3">
      <c r="B3820" s="38">
        <v>43719</v>
      </c>
      <c r="C3820">
        <v>248.64240000000001</v>
      </c>
    </row>
    <row r="3821" spans="2:3">
      <c r="B3821" s="38">
        <v>43720</v>
      </c>
      <c r="C3821">
        <v>248.44880000000001</v>
      </c>
    </row>
    <row r="3822" spans="2:3">
      <c r="B3822" s="38">
        <v>43721</v>
      </c>
      <c r="C3822">
        <v>247.4177</v>
      </c>
    </row>
    <row r="3823" spans="2:3">
      <c r="B3823" s="38">
        <v>43724</v>
      </c>
      <c r="C3823">
        <v>247.65719999999999</v>
      </c>
    </row>
    <row r="3824" spans="2:3">
      <c r="B3824" s="38">
        <v>43725</v>
      </c>
      <c r="C3824">
        <v>248.09180000000001</v>
      </c>
    </row>
    <row r="3825" spans="2:3">
      <c r="B3825" s="38">
        <v>43726</v>
      </c>
      <c r="C3825">
        <v>248.3545</v>
      </c>
    </row>
    <row r="3826" spans="2:3">
      <c r="B3826" s="38">
        <v>43727</v>
      </c>
      <c r="C3826">
        <v>248.5693</v>
      </c>
    </row>
    <row r="3827" spans="2:3">
      <c r="B3827" s="38">
        <v>43728</v>
      </c>
      <c r="C3827">
        <v>248.2688</v>
      </c>
    </row>
    <row r="3828" spans="2:3">
      <c r="B3828" s="38">
        <v>43731</v>
      </c>
      <c r="C3828">
        <v>248.666</v>
      </c>
    </row>
    <row r="3829" spans="2:3">
      <c r="B3829" s="38">
        <v>43732</v>
      </c>
      <c r="C3829">
        <v>248.50399999999999</v>
      </c>
    </row>
    <row r="3830" spans="2:3">
      <c r="B3830" s="38">
        <v>43733</v>
      </c>
      <c r="C3830">
        <v>248.2192</v>
      </c>
    </row>
    <row r="3831" spans="2:3">
      <c r="B3831" s="38">
        <v>43734</v>
      </c>
      <c r="C3831">
        <v>248.41929999999999</v>
      </c>
    </row>
    <row r="3832" spans="2:3">
      <c r="B3832" s="38">
        <v>43735</v>
      </c>
      <c r="C3832">
        <v>247.98330000000001</v>
      </c>
    </row>
    <row r="3833" spans="2:3">
      <c r="B3833" s="38">
        <v>43738</v>
      </c>
      <c r="C3833">
        <v>248.48220000000001</v>
      </c>
    </row>
    <row r="3834" spans="2:3">
      <c r="B3834" s="38">
        <v>43739</v>
      </c>
      <c r="C3834">
        <v>247.67330000000001</v>
      </c>
    </row>
    <row r="3835" spans="2:3">
      <c r="B3835" s="38">
        <v>43740</v>
      </c>
      <c r="C3835">
        <v>246.3954</v>
      </c>
    </row>
    <row r="3836" spans="2:3">
      <c r="B3836" s="38">
        <v>43741</v>
      </c>
      <c r="C3836">
        <v>247.6773</v>
      </c>
    </row>
    <row r="3837" spans="2:3">
      <c r="B3837" s="38">
        <v>43742</v>
      </c>
      <c r="C3837">
        <v>249.1361</v>
      </c>
    </row>
    <row r="3838" spans="2:3">
      <c r="B3838" s="38">
        <v>43745</v>
      </c>
      <c r="C3838">
        <v>248.3991</v>
      </c>
    </row>
    <row r="3839" spans="2:3">
      <c r="B3839" s="38">
        <v>43746</v>
      </c>
      <c r="C3839">
        <v>247.16900000000001</v>
      </c>
    </row>
    <row r="3840" spans="2:3">
      <c r="B3840" s="38">
        <v>43747</v>
      </c>
      <c r="C3840">
        <v>247.6018</v>
      </c>
    </row>
    <row r="3841" spans="2:3">
      <c r="B3841" s="38">
        <v>43748</v>
      </c>
      <c r="C3841">
        <v>247.58590000000001</v>
      </c>
    </row>
    <row r="3842" spans="2:3">
      <c r="B3842" s="38">
        <v>43749</v>
      </c>
      <c r="C3842">
        <v>247.91399999999999</v>
      </c>
    </row>
    <row r="3843" spans="2:3">
      <c r="B3843" s="38">
        <v>43753</v>
      </c>
      <c r="C3843">
        <v>248.5746</v>
      </c>
    </row>
    <row r="3844" spans="2:3">
      <c r="B3844" s="38">
        <v>43754</v>
      </c>
      <c r="C3844">
        <v>248.566</v>
      </c>
    </row>
    <row r="3845" spans="2:3">
      <c r="B3845" s="38">
        <v>43755</v>
      </c>
      <c r="C3845">
        <v>248.78190000000001</v>
      </c>
    </row>
    <row r="3846" spans="2:3">
      <c r="B3846" s="38">
        <v>43756</v>
      </c>
      <c r="C3846">
        <v>248.42189999999999</v>
      </c>
    </row>
    <row r="3847" spans="2:3">
      <c r="B3847" s="38">
        <v>43759</v>
      </c>
      <c r="C3847">
        <v>248.82769999999999</v>
      </c>
    </row>
    <row r="3848" spans="2:3">
      <c r="B3848" s="38">
        <v>43760</v>
      </c>
      <c r="C3848">
        <v>248.66560000000001</v>
      </c>
    </row>
    <row r="3849" spans="2:3">
      <c r="B3849" s="38">
        <v>43761</v>
      </c>
      <c r="C3849">
        <v>249.01480000000001</v>
      </c>
    </row>
    <row r="3850" spans="2:3">
      <c r="B3850" s="38">
        <v>43762</v>
      </c>
      <c r="C3850">
        <v>249.19110000000001</v>
      </c>
    </row>
    <row r="3851" spans="2:3">
      <c r="B3851" s="38">
        <v>43763</v>
      </c>
      <c r="C3851">
        <v>249.3587</v>
      </c>
    </row>
    <row r="3852" spans="2:3">
      <c r="B3852" s="38">
        <v>43766</v>
      </c>
      <c r="C3852">
        <v>249.58279999999999</v>
      </c>
    </row>
    <row r="3853" spans="2:3">
      <c r="B3853" s="38">
        <v>43767</v>
      </c>
      <c r="C3853">
        <v>249.6164</v>
      </c>
    </row>
    <row r="3854" spans="2:3">
      <c r="B3854" s="38">
        <v>43768</v>
      </c>
      <c r="C3854">
        <v>250.24199999999999</v>
      </c>
    </row>
    <row r="3855" spans="2:3">
      <c r="B3855" s="38">
        <v>43769</v>
      </c>
      <c r="C3855">
        <v>250.7645</v>
      </c>
    </row>
    <row r="3856" spans="2:3">
      <c r="B3856" s="38">
        <v>43770</v>
      </c>
      <c r="C3856">
        <v>251.64590000000001</v>
      </c>
    </row>
    <row r="3857" spans="2:3">
      <c r="B3857" s="38">
        <v>43773</v>
      </c>
      <c r="C3857">
        <v>251.7757</v>
      </c>
    </row>
    <row r="3858" spans="2:3">
      <c r="B3858" s="38">
        <v>43774</v>
      </c>
      <c r="C3858">
        <v>251.1199</v>
      </c>
    </row>
    <row r="3859" spans="2:3">
      <c r="B3859" s="38">
        <v>43775</v>
      </c>
      <c r="C3859">
        <v>251.52</v>
      </c>
    </row>
    <row r="3860" spans="2:3">
      <c r="B3860" s="38">
        <v>43776</v>
      </c>
      <c r="C3860">
        <v>251.197</v>
      </c>
    </row>
    <row r="3861" spans="2:3">
      <c r="B3861" s="38">
        <v>43777</v>
      </c>
      <c r="C3861">
        <v>251.49299999999999</v>
      </c>
    </row>
    <row r="3862" spans="2:3">
      <c r="B3862" s="38">
        <v>43781</v>
      </c>
      <c r="C3862">
        <v>251.63679999999999</v>
      </c>
    </row>
    <row r="3863" spans="2:3">
      <c r="B3863" s="38">
        <v>43782</v>
      </c>
      <c r="C3863">
        <v>251.9682</v>
      </c>
    </row>
    <row r="3864" spans="2:3">
      <c r="B3864" s="38">
        <v>43783</v>
      </c>
      <c r="C3864">
        <v>252.41669999999999</v>
      </c>
    </row>
    <row r="3865" spans="2:3">
      <c r="B3865" s="38">
        <v>43784</v>
      </c>
      <c r="C3865">
        <v>253.33869999999999</v>
      </c>
    </row>
    <row r="3866" spans="2:3">
      <c r="B3866" s="38">
        <v>43787</v>
      </c>
      <c r="C3866">
        <v>253.5806</v>
      </c>
    </row>
    <row r="3867" spans="2:3">
      <c r="B3867" s="38">
        <v>43788</v>
      </c>
      <c r="C3867">
        <v>253.6455</v>
      </c>
    </row>
    <row r="3868" spans="2:3">
      <c r="B3868" s="38">
        <v>43789</v>
      </c>
      <c r="C3868">
        <v>253.43870000000001</v>
      </c>
    </row>
    <row r="3869" spans="2:3">
      <c r="B3869" s="38">
        <v>43790</v>
      </c>
      <c r="C3869">
        <v>253.0669</v>
      </c>
    </row>
    <row r="3870" spans="2:3">
      <c r="B3870" s="38">
        <v>43791</v>
      </c>
      <c r="C3870">
        <v>253.33449999999999</v>
      </c>
    </row>
    <row r="3871" spans="2:3">
      <c r="B3871" s="38">
        <v>43794</v>
      </c>
      <c r="C3871">
        <v>254.387</v>
      </c>
    </row>
    <row r="3872" spans="2:3">
      <c r="B3872" s="38">
        <v>43795</v>
      </c>
      <c r="C3872">
        <v>254.87139999999999</v>
      </c>
    </row>
    <row r="3873" spans="2:3">
      <c r="B3873" s="38">
        <v>43796</v>
      </c>
      <c r="C3873">
        <v>255.1885</v>
      </c>
    </row>
    <row r="3874" spans="2:3">
      <c r="B3874" s="38">
        <v>43798</v>
      </c>
      <c r="C3874">
        <v>254.61609999999999</v>
      </c>
    </row>
    <row r="3875" spans="2:3">
      <c r="B3875" s="38">
        <v>43801</v>
      </c>
      <c r="C3875">
        <v>253.05099999999999</v>
      </c>
    </row>
    <row r="3876" spans="2:3">
      <c r="B3876" s="38">
        <v>43802</v>
      </c>
      <c r="C3876">
        <v>252.76439999999999</v>
      </c>
    </row>
    <row r="3877" spans="2:3">
      <c r="B3877" s="38">
        <v>43803</v>
      </c>
      <c r="C3877">
        <v>253.37790000000001</v>
      </c>
    </row>
    <row r="3878" spans="2:3">
      <c r="B3878" s="38">
        <v>43804</v>
      </c>
      <c r="C3878">
        <v>253.5181</v>
      </c>
    </row>
    <row r="3879" spans="2:3">
      <c r="B3879" s="38">
        <v>43805</v>
      </c>
      <c r="C3879">
        <v>254.8398</v>
      </c>
    </row>
    <row r="3880" spans="2:3">
      <c r="B3880" s="38">
        <v>43808</v>
      </c>
      <c r="C3880">
        <v>254.3391</v>
      </c>
    </row>
    <row r="3881" spans="2:3">
      <c r="B3881" s="38">
        <v>43809</v>
      </c>
      <c r="C3881">
        <v>254.14699999999999</v>
      </c>
    </row>
    <row r="3882" spans="2:3">
      <c r="B3882" s="38">
        <v>43810</v>
      </c>
      <c r="C3882">
        <v>254.8552</v>
      </c>
    </row>
    <row r="3883" spans="2:3">
      <c r="B3883" s="38">
        <v>43811</v>
      </c>
      <c r="C3883">
        <v>256.0428</v>
      </c>
    </row>
    <row r="3884" spans="2:3">
      <c r="B3884" s="38">
        <v>43812</v>
      </c>
      <c r="C3884">
        <v>256.40879999999999</v>
      </c>
    </row>
    <row r="3885" spans="2:3">
      <c r="B3885" s="38">
        <v>43815</v>
      </c>
      <c r="C3885">
        <v>257.40120000000002</v>
      </c>
    </row>
    <row r="3886" spans="2:3">
      <c r="B3886" s="38">
        <v>43816</v>
      </c>
      <c r="C3886">
        <v>257.49430000000001</v>
      </c>
    </row>
    <row r="3887" spans="2:3">
      <c r="B3887" s="38">
        <v>43817</v>
      </c>
      <c r="C3887">
        <v>257.27370000000002</v>
      </c>
    </row>
    <row r="3888" spans="2:3">
      <c r="B3888" s="38">
        <v>43818</v>
      </c>
      <c r="C3888">
        <v>258.12310000000002</v>
      </c>
    </row>
    <row r="3889" spans="2:3">
      <c r="B3889" s="38">
        <v>43819</v>
      </c>
      <c r="C3889">
        <v>258.96899999999999</v>
      </c>
    </row>
    <row r="3890" spans="2:3">
      <c r="B3890" s="38">
        <v>43822</v>
      </c>
      <c r="C3890">
        <v>259.04969999999997</v>
      </c>
    </row>
    <row r="3891" spans="2:3">
      <c r="B3891" s="38">
        <v>43823</v>
      </c>
      <c r="C3891">
        <v>259.13749999999999</v>
      </c>
    </row>
    <row r="3892" spans="2:3">
      <c r="B3892" s="38">
        <v>43825</v>
      </c>
      <c r="C3892">
        <v>260.06049999999999</v>
      </c>
    </row>
    <row r="3893" spans="2:3">
      <c r="B3893" s="38">
        <v>43826</v>
      </c>
      <c r="C3893">
        <v>260.23759999999999</v>
      </c>
    </row>
    <row r="3894" spans="2:3">
      <c r="B3894" s="38">
        <v>43829</v>
      </c>
      <c r="C3894">
        <v>259.12560000000002</v>
      </c>
    </row>
    <row r="3895" spans="2:3">
      <c r="B3895" s="38">
        <v>43830</v>
      </c>
      <c r="C3895">
        <v>259.57029999999997</v>
      </c>
    </row>
    <row r="3896" spans="2:3">
      <c r="B3896" s="38">
        <v>43832</v>
      </c>
      <c r="C3896">
        <v>261.19810000000001</v>
      </c>
    </row>
    <row r="3897" spans="2:3">
      <c r="B3897" s="38">
        <v>43833</v>
      </c>
      <c r="C3897">
        <v>260.23590000000002</v>
      </c>
    </row>
    <row r="3898" spans="2:3">
      <c r="B3898" s="38">
        <v>43836</v>
      </c>
      <c r="C3898">
        <v>260.81060000000002</v>
      </c>
    </row>
    <row r="3899" spans="2:3">
      <c r="B3899" s="38">
        <v>43837</v>
      </c>
      <c r="C3899">
        <v>260.22480000000002</v>
      </c>
    </row>
    <row r="3900" spans="2:3">
      <c r="B3900" s="38">
        <v>43838</v>
      </c>
      <c r="C3900">
        <v>260.92149999999998</v>
      </c>
    </row>
    <row r="3901" spans="2:3">
      <c r="B3901" s="38">
        <v>43839</v>
      </c>
      <c r="C3901">
        <v>262.26530000000002</v>
      </c>
    </row>
    <row r="3902" spans="2:3">
      <c r="B3902" s="38">
        <v>43840</v>
      </c>
      <c r="C3902">
        <v>261.87599999999998</v>
      </c>
    </row>
    <row r="3903" spans="2:3">
      <c r="B3903" s="38">
        <v>43843</v>
      </c>
      <c r="C3903">
        <v>263.04809999999998</v>
      </c>
    </row>
    <row r="3904" spans="2:3">
      <c r="B3904" s="38">
        <v>43844</v>
      </c>
      <c r="C3904">
        <v>262.87860000000001</v>
      </c>
    </row>
    <row r="3905" spans="2:3">
      <c r="B3905" s="38">
        <v>43845</v>
      </c>
      <c r="C3905">
        <v>263.31959999999998</v>
      </c>
    </row>
    <row r="3906" spans="2:3">
      <c r="B3906" s="38">
        <v>43846</v>
      </c>
      <c r="C3906">
        <v>264.78059999999999</v>
      </c>
    </row>
    <row r="3907" spans="2:3">
      <c r="B3907" s="38">
        <v>43847</v>
      </c>
      <c r="C3907">
        <v>265.387</v>
      </c>
    </row>
    <row r="3908" spans="2:3">
      <c r="B3908" s="38">
        <v>43851</v>
      </c>
      <c r="C3908">
        <v>265.16199999999998</v>
      </c>
    </row>
    <row r="3909" spans="2:3">
      <c r="B3909" s="38">
        <v>43852</v>
      </c>
      <c r="C3909">
        <v>265.24119999999999</v>
      </c>
    </row>
    <row r="3910" spans="2:3">
      <c r="B3910" s="38">
        <v>43853</v>
      </c>
      <c r="C3910">
        <v>265.57979999999998</v>
      </c>
    </row>
    <row r="3911" spans="2:3">
      <c r="B3911" s="38">
        <v>43854</v>
      </c>
      <c r="C3911">
        <v>264.1848</v>
      </c>
    </row>
    <row r="3912" spans="2:3">
      <c r="B3912" s="38">
        <v>43857</v>
      </c>
      <c r="C3912">
        <v>261.68349999999998</v>
      </c>
    </row>
    <row r="3913" spans="2:3">
      <c r="B3913" s="38">
        <v>43858</v>
      </c>
      <c r="C3913">
        <v>263.2826</v>
      </c>
    </row>
    <row r="3914" spans="2:3">
      <c r="B3914" s="38">
        <v>43859</v>
      </c>
      <c r="C3914">
        <v>263.36320000000001</v>
      </c>
    </row>
    <row r="3915" spans="2:3">
      <c r="B3915" s="38">
        <v>43860</v>
      </c>
      <c r="C3915">
        <v>263.98649999999998</v>
      </c>
    </row>
    <row r="3916" spans="2:3">
      <c r="B3916" s="38">
        <v>43861</v>
      </c>
      <c r="C3916">
        <v>261.55529999999999</v>
      </c>
    </row>
    <row r="3917" spans="2:3">
      <c r="B3917" s="38">
        <v>43864</v>
      </c>
      <c r="C3917">
        <v>262.60570000000001</v>
      </c>
    </row>
    <row r="3918" spans="2:3">
      <c r="B3918" s="38">
        <v>43865</v>
      </c>
      <c r="C3918">
        <v>264.22179999999997</v>
      </c>
    </row>
    <row r="3919" spans="2:3">
      <c r="B3919" s="38">
        <v>43866</v>
      </c>
      <c r="C3919">
        <v>265.47309999999999</v>
      </c>
    </row>
    <row r="3920" spans="2:3">
      <c r="B3920" s="38">
        <v>43867</v>
      </c>
      <c r="C3920">
        <v>265.9699</v>
      </c>
    </row>
    <row r="3921" spans="2:3">
      <c r="B3921" s="38">
        <v>43868</v>
      </c>
      <c r="C3921">
        <v>265.85199999999998</v>
      </c>
    </row>
    <row r="3922" spans="2:3">
      <c r="B3922" s="38">
        <v>43871</v>
      </c>
      <c r="C3922">
        <v>266.97340000000003</v>
      </c>
    </row>
    <row r="3923" spans="2:3">
      <c r="B3923" s="38">
        <v>43872</v>
      </c>
      <c r="C3923">
        <v>266.9699</v>
      </c>
    </row>
    <row r="3924" spans="2:3">
      <c r="B3924" s="38">
        <v>43873</v>
      </c>
      <c r="C3924">
        <v>267.37979999999999</v>
      </c>
    </row>
    <row r="3925" spans="2:3">
      <c r="B3925" s="38">
        <v>43874</v>
      </c>
      <c r="C3925">
        <v>267.32830000000001</v>
      </c>
    </row>
    <row r="3926" spans="2:3">
      <c r="B3926" s="38">
        <v>43875</v>
      </c>
      <c r="C3926">
        <v>267.77820000000003</v>
      </c>
    </row>
    <row r="3927" spans="2:3">
      <c r="B3927" s="38">
        <v>43879</v>
      </c>
      <c r="C3927">
        <v>267.71159999999998</v>
      </c>
    </row>
    <row r="3928" spans="2:3">
      <c r="B3928" s="38">
        <v>43880</v>
      </c>
      <c r="C3928">
        <v>268.1619</v>
      </c>
    </row>
    <row r="3929" spans="2:3">
      <c r="B3929" s="38">
        <v>43881</v>
      </c>
      <c r="C3929">
        <v>268.02969999999999</v>
      </c>
    </row>
    <row r="3930" spans="2:3">
      <c r="B3930" s="38">
        <v>43882</v>
      </c>
      <c r="C3930">
        <v>267.28870000000001</v>
      </c>
    </row>
    <row r="3931" spans="2:3">
      <c r="B3931" s="38">
        <v>43885</v>
      </c>
      <c r="C3931">
        <v>263.91550000000001</v>
      </c>
    </row>
    <row r="3932" spans="2:3">
      <c r="B3932" s="38">
        <v>43886</v>
      </c>
      <c r="C3932">
        <v>260.6825</v>
      </c>
    </row>
    <row r="3933" spans="2:3">
      <c r="B3933" s="38">
        <v>43887</v>
      </c>
      <c r="C3933">
        <v>260.37799999999999</v>
      </c>
    </row>
    <row r="3934" spans="2:3">
      <c r="B3934" s="38">
        <v>43888</v>
      </c>
      <c r="C3934">
        <v>256.23930000000001</v>
      </c>
    </row>
    <row r="3935" spans="2:3">
      <c r="B3935" s="38">
        <v>43889</v>
      </c>
      <c r="C3935">
        <v>256.92880000000002</v>
      </c>
    </row>
    <row r="3936" spans="2:3">
      <c r="B3936" s="38">
        <v>43892</v>
      </c>
      <c r="C3936">
        <v>260.80419999999998</v>
      </c>
    </row>
    <row r="3937" spans="2:3">
      <c r="B3937" s="38">
        <v>43893</v>
      </c>
      <c r="C3937">
        <v>259.44150000000002</v>
      </c>
    </row>
    <row r="3938" spans="2:3">
      <c r="B3938" s="38">
        <v>43894</v>
      </c>
      <c r="C3938">
        <v>262.40539999999999</v>
      </c>
    </row>
    <row r="3939" spans="2:3">
      <c r="B3939" s="38">
        <v>43895</v>
      </c>
      <c r="C3939">
        <v>260.91210000000001</v>
      </c>
    </row>
    <row r="3940" spans="2:3">
      <c r="B3940" s="38">
        <v>43896</v>
      </c>
      <c r="C3940">
        <v>262.34739999999999</v>
      </c>
    </row>
    <row r="3941" spans="2:3">
      <c r="B3941" s="38">
        <v>43899</v>
      </c>
      <c r="C3941">
        <v>260.81830000000002</v>
      </c>
    </row>
    <row r="3942" spans="2:3">
      <c r="B3942" s="38">
        <v>43900</v>
      </c>
      <c r="C3942">
        <v>259.57499999999999</v>
      </c>
    </row>
    <row r="3943" spans="2:3">
      <c r="B3943" s="38">
        <v>43901</v>
      </c>
      <c r="C3943">
        <v>257.36829999999998</v>
      </c>
    </row>
    <row r="3944" spans="2:3">
      <c r="B3944" s="38">
        <v>43902</v>
      </c>
      <c r="C3944">
        <v>254.51179999999999</v>
      </c>
    </row>
    <row r="3945" spans="2:3">
      <c r="B3945" s="38">
        <v>43903</v>
      </c>
      <c r="C3945">
        <v>255.00569999999999</v>
      </c>
    </row>
    <row r="3946" spans="2:3">
      <c r="B3946" s="38">
        <v>43906</v>
      </c>
      <c r="C3946">
        <v>256.32499999999999</v>
      </c>
    </row>
    <row r="3947" spans="2:3">
      <c r="B3947" s="38">
        <v>43907</v>
      </c>
      <c r="C3947">
        <v>254.41849999999999</v>
      </c>
    </row>
    <row r="3948" spans="2:3">
      <c r="B3948" s="38">
        <v>43908</v>
      </c>
      <c r="C3948">
        <v>250.14750000000001</v>
      </c>
    </row>
    <row r="3949" spans="2:3">
      <c r="B3949" s="38">
        <v>43909</v>
      </c>
      <c r="C3949">
        <v>250.69290000000001</v>
      </c>
    </row>
    <row r="3950" spans="2:3">
      <c r="B3950" s="38">
        <v>43910</v>
      </c>
      <c r="C3950">
        <v>252.93389999999999</v>
      </c>
    </row>
    <row r="3951" spans="2:3">
      <c r="B3951" s="38">
        <v>43913</v>
      </c>
      <c r="C3951">
        <v>255.81899999999999</v>
      </c>
    </row>
    <row r="3952" spans="2:3">
      <c r="B3952" s="38">
        <v>43914</v>
      </c>
      <c r="C3952">
        <v>258.63240000000002</v>
      </c>
    </row>
    <row r="3953" spans="2:3">
      <c r="B3953" s="38">
        <v>43915</v>
      </c>
      <c r="C3953">
        <v>258.46519999999998</v>
      </c>
    </row>
    <row r="3954" spans="2:3">
      <c r="B3954" s="38">
        <v>43916</v>
      </c>
      <c r="C3954">
        <v>260.1345</v>
      </c>
    </row>
    <row r="3955" spans="2:3">
      <c r="B3955" s="38">
        <v>43917</v>
      </c>
      <c r="C3955">
        <v>259.9753</v>
      </c>
    </row>
    <row r="3956" spans="2:3">
      <c r="B3956" s="38">
        <v>43920</v>
      </c>
      <c r="C3956">
        <v>260.70639999999997</v>
      </c>
    </row>
    <row r="3957" spans="2:3">
      <c r="B3957" s="38">
        <v>43921</v>
      </c>
      <c r="C3957">
        <v>259.66230000000002</v>
      </c>
    </row>
    <row r="3958" spans="2:3">
      <c r="B3958" s="38">
        <v>43922</v>
      </c>
      <c r="C3958">
        <v>258.93400000000003</v>
      </c>
    </row>
    <row r="3959" spans="2:3">
      <c r="B3959" s="38">
        <v>43923</v>
      </c>
      <c r="C3959">
        <v>259.48309999999998</v>
      </c>
    </row>
    <row r="3960" spans="2:3">
      <c r="B3960" s="38">
        <v>43924</v>
      </c>
      <c r="C3960">
        <v>259.517</v>
      </c>
    </row>
    <row r="3961" spans="2:3">
      <c r="B3961" s="38">
        <v>43927</v>
      </c>
      <c r="C3961">
        <v>260.29820000000001</v>
      </c>
    </row>
    <row r="3962" spans="2:3">
      <c r="B3962" s="38">
        <v>43928</v>
      </c>
      <c r="C3962">
        <v>260.03050000000002</v>
      </c>
    </row>
    <row r="3963" spans="2:3">
      <c r="B3963" s="38">
        <v>43929</v>
      </c>
      <c r="C3963">
        <v>260.7242</v>
      </c>
    </row>
    <row r="3964" spans="2:3">
      <c r="B3964" s="38">
        <v>43930</v>
      </c>
      <c r="C3964">
        <v>262.10329999999999</v>
      </c>
    </row>
    <row r="3965" spans="2:3">
      <c r="B3965" s="38">
        <v>43934</v>
      </c>
      <c r="C3965">
        <v>261.57859999999999</v>
      </c>
    </row>
    <row r="3966" spans="2:3">
      <c r="B3966" s="38">
        <v>43935</v>
      </c>
      <c r="C3966">
        <v>261.9991</v>
      </c>
    </row>
    <row r="3967" spans="2:3">
      <c r="B3967" s="38">
        <v>43936</v>
      </c>
      <c r="C3967">
        <v>262.97859999999997</v>
      </c>
    </row>
    <row r="3968" spans="2:3">
      <c r="B3968" s="38">
        <v>43937</v>
      </c>
      <c r="C3968">
        <v>263.2756</v>
      </c>
    </row>
    <row r="3969" spans="2:3">
      <c r="B3969" s="38">
        <v>43938</v>
      </c>
      <c r="C3969">
        <v>263.05309999999997</v>
      </c>
    </row>
    <row r="3970" spans="2:3">
      <c r="B3970" s="38">
        <v>43941</v>
      </c>
      <c r="C3970">
        <v>262.92880000000002</v>
      </c>
    </row>
    <row r="3971" spans="2:3">
      <c r="B3971" s="38">
        <v>43942</v>
      </c>
      <c r="C3971">
        <v>263.04629999999997</v>
      </c>
    </row>
    <row r="3972" spans="2:3">
      <c r="B3972" s="38">
        <v>43943</v>
      </c>
      <c r="C3972">
        <v>263.14420000000001</v>
      </c>
    </row>
    <row r="3973" spans="2:3">
      <c r="B3973" s="38">
        <v>43944</v>
      </c>
      <c r="C3973">
        <v>263.39760000000001</v>
      </c>
    </row>
    <row r="3974" spans="2:3">
      <c r="B3974" s="38">
        <v>43945</v>
      </c>
      <c r="C3974">
        <v>263.71690000000001</v>
      </c>
    </row>
    <row r="3975" spans="2:3">
      <c r="B3975" s="38">
        <v>43948</v>
      </c>
      <c r="C3975">
        <v>263.2561</v>
      </c>
    </row>
    <row r="3976" spans="2:3">
      <c r="B3976" s="38">
        <v>43949</v>
      </c>
      <c r="C3976">
        <v>263.7543</v>
      </c>
    </row>
    <row r="3977" spans="2:3">
      <c r="B3977" s="38">
        <v>43950</v>
      </c>
      <c r="C3977">
        <v>264.08530000000002</v>
      </c>
    </row>
    <row r="3978" spans="2:3">
      <c r="B3978" s="38">
        <v>43951</v>
      </c>
      <c r="C3978">
        <v>263.9753</v>
      </c>
    </row>
    <row r="3979" spans="2:3">
      <c r="B3979" s="38">
        <v>43952</v>
      </c>
      <c r="C3979">
        <v>263.55869999999999</v>
      </c>
    </row>
    <row r="3980" spans="2:3">
      <c r="B3980" s="38">
        <v>43955</v>
      </c>
      <c r="C3980">
        <v>263.56599999999997</v>
      </c>
    </row>
    <row r="3981" spans="2:3">
      <c r="B3981" s="38">
        <v>43956</v>
      </c>
      <c r="C3981">
        <v>263.53919999999999</v>
      </c>
    </row>
    <row r="3982" spans="2:3">
      <c r="B3982" s="38">
        <v>43957</v>
      </c>
      <c r="C3982">
        <v>263.0838</v>
      </c>
    </row>
    <row r="3983" spans="2:3">
      <c r="B3983" s="38">
        <v>43958</v>
      </c>
      <c r="C3983">
        <v>263.87119999999999</v>
      </c>
    </row>
    <row r="3984" spans="2:3">
      <c r="B3984" s="38">
        <v>43959</v>
      </c>
      <c r="C3984">
        <v>263.56099999999998</v>
      </c>
    </row>
    <row r="3985" spans="2:3">
      <c r="B3985" s="38">
        <v>43962</v>
      </c>
      <c r="C3985">
        <v>263.1583</v>
      </c>
    </row>
    <row r="3986" spans="2:3">
      <c r="B3986" s="38">
        <v>43963</v>
      </c>
      <c r="C3986">
        <v>263.31009999999998</v>
      </c>
    </row>
    <row r="3987" spans="2:3">
      <c r="B3987" s="38">
        <v>43964</v>
      </c>
      <c r="C3987">
        <v>263.2559</v>
      </c>
    </row>
    <row r="3988" spans="2:3">
      <c r="B3988" s="38">
        <v>43965</v>
      </c>
      <c r="C3988">
        <v>263.64089999999999</v>
      </c>
    </row>
    <row r="3989" spans="2:3">
      <c r="B3989" s="38">
        <v>43966</v>
      </c>
      <c r="C3989">
        <v>263.49160000000001</v>
      </c>
    </row>
    <row r="3990" spans="2:3">
      <c r="B3990" s="38">
        <v>43969</v>
      </c>
      <c r="C3990">
        <v>262.83390000000003</v>
      </c>
    </row>
    <row r="3991" spans="2:3">
      <c r="B3991" s="38">
        <v>43970</v>
      </c>
      <c r="C3991">
        <v>263.20569999999998</v>
      </c>
    </row>
    <row r="3992" spans="2:3">
      <c r="B3992" s="38">
        <v>43971</v>
      </c>
      <c r="C3992">
        <v>263.84539999999998</v>
      </c>
    </row>
    <row r="3993" spans="2:3">
      <c r="B3993" s="38">
        <v>43972</v>
      </c>
      <c r="C3993">
        <v>263.61509999999998</v>
      </c>
    </row>
    <row r="3994" spans="2:3">
      <c r="B3994" s="38">
        <v>43973</v>
      </c>
      <c r="C3994">
        <v>263.69299999999998</v>
      </c>
    </row>
    <row r="3995" spans="2:3">
      <c r="B3995" s="38">
        <v>43977</v>
      </c>
      <c r="C3995">
        <v>263.75959999999998</v>
      </c>
    </row>
    <row r="3996" spans="2:3">
      <c r="B3996" s="38">
        <v>43978</v>
      </c>
      <c r="C3996">
        <v>264.48770000000002</v>
      </c>
    </row>
    <row r="3997" spans="2:3">
      <c r="B3997" s="38">
        <v>43979</v>
      </c>
      <c r="C3997">
        <v>264.19650000000001</v>
      </c>
    </row>
    <row r="3998" spans="2:3">
      <c r="B3998" s="38">
        <v>43980</v>
      </c>
      <c r="C3998">
        <v>264.9393</v>
      </c>
    </row>
    <row r="3999" spans="2:3">
      <c r="B3999" s="38">
        <v>43983</v>
      </c>
      <c r="C3999">
        <v>264.8263</v>
      </c>
    </row>
    <row r="4000" spans="2:3">
      <c r="B4000" s="38">
        <v>43984</v>
      </c>
      <c r="C4000">
        <v>265.09449999999998</v>
      </c>
    </row>
    <row r="4001" spans="2:3">
      <c r="B4001" s="38">
        <v>43985</v>
      </c>
      <c r="C4001">
        <v>264.95420000000001</v>
      </c>
    </row>
    <row r="4002" spans="2:3">
      <c r="B4002" s="38">
        <v>43986</v>
      </c>
      <c r="C4002">
        <v>264.10910000000001</v>
      </c>
    </row>
    <row r="4003" spans="2:3">
      <c r="B4003" s="38">
        <v>43987</v>
      </c>
      <c r="C4003">
        <v>264.96780000000001</v>
      </c>
    </row>
    <row r="4004" spans="2:3">
      <c r="B4004" s="38">
        <v>43990</v>
      </c>
      <c r="C4004">
        <v>265.70679999999999</v>
      </c>
    </row>
    <row r="4005" spans="2:3">
      <c r="B4005" s="38">
        <v>43991</v>
      </c>
      <c r="C4005">
        <v>265.68119999999999</v>
      </c>
    </row>
    <row r="4006" spans="2:3">
      <c r="B4006" s="38">
        <v>43992</v>
      </c>
      <c r="C4006">
        <v>266.0933</v>
      </c>
    </row>
    <row r="4007" spans="2:3">
      <c r="B4007" s="38">
        <v>43993</v>
      </c>
      <c r="C4007">
        <v>263.44080000000002</v>
      </c>
    </row>
    <row r="4008" spans="2:3">
      <c r="B4008" s="38">
        <v>43994</v>
      </c>
      <c r="C4008">
        <v>263.7978</v>
      </c>
    </row>
    <row r="4009" spans="2:3">
      <c r="B4009" s="38">
        <v>43997</v>
      </c>
      <c r="C4009">
        <v>264.5849</v>
      </c>
    </row>
    <row r="4010" spans="2:3">
      <c r="B4010" s="38">
        <v>43998</v>
      </c>
      <c r="C4010">
        <v>265.0616</v>
      </c>
    </row>
    <row r="4011" spans="2:3">
      <c r="B4011" s="38">
        <v>43999</v>
      </c>
      <c r="C4011">
        <v>264.93759999999997</v>
      </c>
    </row>
    <row r="4012" spans="2:3">
      <c r="B4012" s="38">
        <v>44000</v>
      </c>
      <c r="C4012">
        <v>265.21980000000002</v>
      </c>
    </row>
    <row r="4013" spans="2:3">
      <c r="B4013" s="38">
        <v>44001</v>
      </c>
      <c r="C4013">
        <v>264.69639999999998</v>
      </c>
    </row>
    <row r="4014" spans="2:3">
      <c r="B4014" s="38">
        <v>44004</v>
      </c>
      <c r="C4014">
        <v>265.07279999999997</v>
      </c>
    </row>
    <row r="4015" spans="2:3">
      <c r="B4015" s="38">
        <v>44005</v>
      </c>
      <c r="C4015">
        <v>265.27249999999998</v>
      </c>
    </row>
    <row r="4016" spans="2:3">
      <c r="B4016" s="38">
        <v>44006</v>
      </c>
      <c r="C4016">
        <v>263.9366</v>
      </c>
    </row>
    <row r="4017" spans="2:3">
      <c r="B4017" s="38">
        <v>44007</v>
      </c>
      <c r="C4017">
        <v>264.64600000000002</v>
      </c>
    </row>
    <row r="4018" spans="2:3">
      <c r="B4018" s="38">
        <v>44008</v>
      </c>
      <c r="C4018">
        <v>263.87810000000002</v>
      </c>
    </row>
    <row r="4019" spans="2:3">
      <c r="B4019" s="38">
        <v>44011</v>
      </c>
      <c r="C4019">
        <v>264.69740000000002</v>
      </c>
    </row>
    <row r="4020" spans="2:3">
      <c r="B4020" s="38">
        <v>44012</v>
      </c>
      <c r="C4020">
        <v>265.41289999999998</v>
      </c>
    </row>
    <row r="4021" spans="2:3">
      <c r="B4021" s="38">
        <v>44013</v>
      </c>
      <c r="C4021">
        <v>265.45679999999999</v>
      </c>
    </row>
    <row r="4022" spans="2:3">
      <c r="B4022" s="38">
        <v>44014</v>
      </c>
      <c r="C4022">
        <v>265.79579999999999</v>
      </c>
    </row>
    <row r="4023" spans="2:3">
      <c r="B4023" s="38">
        <v>44018</v>
      </c>
      <c r="C4023">
        <v>266.5752</v>
      </c>
    </row>
    <row r="4024" spans="2:3">
      <c r="B4024" s="38">
        <v>44019</v>
      </c>
      <c r="C4024">
        <v>266.46249999999998</v>
      </c>
    </row>
    <row r="4025" spans="2:3">
      <c r="B4025" s="38">
        <v>44020</v>
      </c>
      <c r="C4025">
        <v>266.85340000000002</v>
      </c>
    </row>
    <row r="4026" spans="2:3">
      <c r="B4026" s="38">
        <v>44021</v>
      </c>
      <c r="C4026">
        <v>267.13220000000001</v>
      </c>
    </row>
    <row r="4027" spans="2:3">
      <c r="B4027" s="38">
        <v>44022</v>
      </c>
      <c r="C4027">
        <v>267.34350000000001</v>
      </c>
    </row>
    <row r="4028" spans="2:3">
      <c r="B4028" s="38">
        <v>44025</v>
      </c>
      <c r="C4028">
        <v>266.89909999999998</v>
      </c>
    </row>
    <row r="4029" spans="2:3">
      <c r="B4029" s="38">
        <v>44026</v>
      </c>
      <c r="C4029">
        <v>267.90410000000003</v>
      </c>
    </row>
    <row r="4030" spans="2:3">
      <c r="B4030" s="38">
        <v>44027</v>
      </c>
      <c r="C4030">
        <v>268.33080000000001</v>
      </c>
    </row>
    <row r="4031" spans="2:3">
      <c r="B4031" s="38">
        <v>44028</v>
      </c>
      <c r="C4031">
        <v>268.37610000000001</v>
      </c>
    </row>
    <row r="4032" spans="2:3">
      <c r="B4032" s="38">
        <v>44029</v>
      </c>
      <c r="C4032">
        <v>268.35719999999998</v>
      </c>
    </row>
    <row r="4033" spans="2:3">
      <c r="B4033" s="38">
        <v>44032</v>
      </c>
      <c r="C4033">
        <v>269.12779999999998</v>
      </c>
    </row>
    <row r="4034" spans="2:3">
      <c r="B4034" s="38">
        <v>44033</v>
      </c>
      <c r="C4034">
        <v>269.3605</v>
      </c>
    </row>
    <row r="4035" spans="2:3">
      <c r="B4035" s="38">
        <v>44034</v>
      </c>
      <c r="C4035">
        <v>269.8931</v>
      </c>
    </row>
    <row r="4036" spans="2:3">
      <c r="B4036" s="38">
        <v>44035</v>
      </c>
      <c r="C4036">
        <v>269.25220000000002</v>
      </c>
    </row>
    <row r="4037" spans="2:3">
      <c r="B4037" s="38">
        <v>44036</v>
      </c>
      <c r="C4037">
        <v>268.76659999999998</v>
      </c>
    </row>
    <row r="4038" spans="2:3">
      <c r="B4038" s="38">
        <v>44039</v>
      </c>
      <c r="C4038">
        <v>269.07769999999999</v>
      </c>
    </row>
    <row r="4039" spans="2:3">
      <c r="B4039" s="38">
        <v>44040</v>
      </c>
      <c r="C4039">
        <v>268.98320000000001</v>
      </c>
    </row>
    <row r="4040" spans="2:3">
      <c r="B4040" s="38">
        <v>44041</v>
      </c>
      <c r="C4040">
        <v>269.7978</v>
      </c>
    </row>
    <row r="4041" spans="2:3">
      <c r="B4041" s="38">
        <v>44042</v>
      </c>
      <c r="C4041">
        <v>269.98250000000002</v>
      </c>
    </row>
    <row r="4042" spans="2:3">
      <c r="B4042" s="38">
        <v>44043</v>
      </c>
      <c r="C4042">
        <v>270.57510000000002</v>
      </c>
    </row>
    <row r="4043" spans="2:3">
      <c r="B4043" s="38">
        <v>44046</v>
      </c>
      <c r="C4043">
        <v>270.90989999999999</v>
      </c>
    </row>
    <row r="4044" spans="2:3">
      <c r="B4044" s="38">
        <v>44047</v>
      </c>
      <c r="C4044">
        <v>271.66199999999998</v>
      </c>
    </row>
    <row r="4045" spans="2:3">
      <c r="B4045" s="38">
        <v>44048</v>
      </c>
      <c r="C4045">
        <v>271.85050000000001</v>
      </c>
    </row>
    <row r="4046" spans="2:3">
      <c r="B4046" s="38">
        <v>44049</v>
      </c>
      <c r="C4046">
        <v>272.4162</v>
      </c>
    </row>
    <row r="4047" spans="2:3">
      <c r="B4047" s="38">
        <v>44050</v>
      </c>
      <c r="C4047">
        <v>272.1506</v>
      </c>
    </row>
    <row r="4048" spans="2:3">
      <c r="B4048" s="38">
        <v>44053</v>
      </c>
      <c r="C4048">
        <v>272.07350000000002</v>
      </c>
    </row>
    <row r="4049" spans="2:3">
      <c r="B4049" s="38">
        <v>44054</v>
      </c>
      <c r="C4049">
        <v>270.65910000000002</v>
      </c>
    </row>
    <row r="4050" spans="2:3">
      <c r="B4050" s="38">
        <v>44055</v>
      </c>
      <c r="C4050">
        <v>271.70659999999998</v>
      </c>
    </row>
    <row r="4051" spans="2:3">
      <c r="B4051" s="38">
        <v>44056</v>
      </c>
      <c r="C4051">
        <v>271.06209999999999</v>
      </c>
    </row>
    <row r="4052" spans="2:3">
      <c r="B4052" s="38">
        <v>44057</v>
      </c>
      <c r="C4052">
        <v>270.9502</v>
      </c>
    </row>
    <row r="4053" spans="2:3">
      <c r="B4053" s="38">
        <v>44060</v>
      </c>
      <c r="C4053">
        <v>271.50740000000002</v>
      </c>
    </row>
    <row r="4054" spans="2:3">
      <c r="B4054" s="38">
        <v>44061</v>
      </c>
      <c r="C4054">
        <v>271.89890000000003</v>
      </c>
    </row>
    <row r="4055" spans="2:3">
      <c r="B4055" s="38">
        <v>44062</v>
      </c>
      <c r="C4055">
        <v>271.4357</v>
      </c>
    </row>
    <row r="4056" spans="2:3">
      <c r="B4056" s="38">
        <v>44063</v>
      </c>
      <c r="C4056">
        <v>271.89580000000001</v>
      </c>
    </row>
    <row r="4057" spans="2:3">
      <c r="B4057" s="38">
        <v>44064</v>
      </c>
      <c r="C4057">
        <v>272.18189999999998</v>
      </c>
    </row>
    <row r="4058" spans="2:3">
      <c r="B4058" s="38">
        <v>44067</v>
      </c>
      <c r="C4058">
        <v>273.19580000000002</v>
      </c>
    </row>
    <row r="4059" spans="2:3">
      <c r="B4059" s="38">
        <v>44068</v>
      </c>
      <c r="C4059">
        <v>273.22629999999998</v>
      </c>
    </row>
    <row r="4060" spans="2:3">
      <c r="B4060" s="38">
        <v>44069</v>
      </c>
      <c r="C4060">
        <v>274.14170000000001</v>
      </c>
    </row>
    <row r="4061" spans="2:3">
      <c r="B4061" s="38">
        <v>44070</v>
      </c>
      <c r="C4061">
        <v>273.75639999999999</v>
      </c>
    </row>
    <row r="4062" spans="2:3">
      <c r="B4062" s="38">
        <v>44071</v>
      </c>
      <c r="C4062">
        <v>274.6737</v>
      </c>
    </row>
    <row r="4063" spans="2:3">
      <c r="B4063" s="38">
        <v>44074</v>
      </c>
      <c r="C4063">
        <v>274.83929999999998</v>
      </c>
    </row>
    <row r="4064" spans="2:3">
      <c r="B4064" s="38">
        <v>44075</v>
      </c>
      <c r="C4064">
        <v>275.96769999999998</v>
      </c>
    </row>
    <row r="4065" spans="2:3">
      <c r="B4065" s="38">
        <v>44076</v>
      </c>
      <c r="C4065">
        <v>278.0018</v>
      </c>
    </row>
    <row r="4066" spans="2:3">
      <c r="B4066" s="38">
        <v>44077</v>
      </c>
      <c r="C4066">
        <v>273.9495</v>
      </c>
    </row>
    <row r="4067" spans="2:3">
      <c r="B4067" s="38">
        <v>44078</v>
      </c>
      <c r="C4067">
        <v>272.16239999999999</v>
      </c>
    </row>
    <row r="4068" spans="2:3">
      <c r="B4068" s="38">
        <v>44082</v>
      </c>
      <c r="C4068">
        <v>269.63679999999999</v>
      </c>
    </row>
    <row r="4069" spans="2:3">
      <c r="B4069" s="38">
        <v>44083</v>
      </c>
      <c r="C4069">
        <v>271.33620000000002</v>
      </c>
    </row>
    <row r="4070" spans="2:3">
      <c r="B4070" s="38">
        <v>44084</v>
      </c>
      <c r="C4070">
        <v>269.94029999999998</v>
      </c>
    </row>
    <row r="4071" spans="2:3">
      <c r="B4071" s="38">
        <v>44085</v>
      </c>
      <c r="C4071">
        <v>270.08730000000003</v>
      </c>
    </row>
    <row r="4072" spans="2:3">
      <c r="B4072" s="38">
        <v>44088</v>
      </c>
      <c r="C4072">
        <v>271.01429999999999</v>
      </c>
    </row>
    <row r="4073" spans="2:3">
      <c r="B4073" s="38">
        <v>44089</v>
      </c>
      <c r="C4073">
        <v>271.22680000000003</v>
      </c>
    </row>
    <row r="4074" spans="2:3">
      <c r="B4074" s="38">
        <v>44090</v>
      </c>
      <c r="C4074">
        <v>270.88249999999999</v>
      </c>
    </row>
    <row r="4075" spans="2:3">
      <c r="B4075" s="38">
        <v>44091</v>
      </c>
      <c r="C4075">
        <v>270.35449999999997</v>
      </c>
    </row>
    <row r="4076" spans="2:3">
      <c r="B4076" s="38">
        <v>44092</v>
      </c>
      <c r="C4076">
        <v>269.40309999999999</v>
      </c>
    </row>
    <row r="4077" spans="2:3">
      <c r="B4077" s="38">
        <v>44095</v>
      </c>
      <c r="C4077">
        <v>268.65859999999998</v>
      </c>
    </row>
    <row r="4078" spans="2:3">
      <c r="B4078" s="38">
        <v>44096</v>
      </c>
      <c r="C4078">
        <v>269.31130000000002</v>
      </c>
    </row>
    <row r="4079" spans="2:3">
      <c r="B4079" s="38">
        <v>44097</v>
      </c>
      <c r="C4079">
        <v>267.62180000000001</v>
      </c>
    </row>
    <row r="4080" spans="2:3">
      <c r="B4080" s="38">
        <v>44098</v>
      </c>
      <c r="C4080">
        <v>267.87790000000001</v>
      </c>
    </row>
    <row r="4081" spans="2:3">
      <c r="B4081" s="38">
        <v>44099</v>
      </c>
      <c r="C4081">
        <v>268.63639999999998</v>
      </c>
    </row>
    <row r="4082" spans="2:3">
      <c r="B4082" s="38">
        <v>44102</v>
      </c>
      <c r="C4082">
        <v>269.45870000000002</v>
      </c>
    </row>
    <row r="4083" spans="2:3">
      <c r="B4083" s="38">
        <v>44103</v>
      </c>
      <c r="C4083">
        <v>269.23309999999998</v>
      </c>
    </row>
    <row r="4084" spans="2:3">
      <c r="B4084" s="38">
        <v>44104</v>
      </c>
      <c r="C4084">
        <v>269.32569999999998</v>
      </c>
    </row>
    <row r="4085" spans="2:3">
      <c r="B4085" s="38">
        <v>44105</v>
      </c>
      <c r="C4085">
        <v>269.58240000000001</v>
      </c>
    </row>
    <row r="4086" spans="2:3">
      <c r="B4086" s="38">
        <v>44106</v>
      </c>
      <c r="C4086">
        <v>268.9194</v>
      </c>
    </row>
    <row r="4087" spans="2:3">
      <c r="B4087" s="38">
        <v>44109</v>
      </c>
      <c r="C4087">
        <v>269.23849999999999</v>
      </c>
    </row>
    <row r="4088" spans="2:3">
      <c r="B4088" s="38">
        <v>44110</v>
      </c>
      <c r="C4088">
        <v>268.56209999999999</v>
      </c>
    </row>
    <row r="4089" spans="2:3">
      <c r="B4089" s="38">
        <v>44111</v>
      </c>
      <c r="C4089">
        <v>269.26960000000003</v>
      </c>
    </row>
    <row r="4090" spans="2:3">
      <c r="B4090" s="38">
        <v>44112</v>
      </c>
      <c r="C4090">
        <v>270.00959999999998</v>
      </c>
    </row>
    <row r="4091" spans="2:3">
      <c r="B4091" s="38">
        <v>44113</v>
      </c>
      <c r="C4091">
        <v>270.52690000000001</v>
      </c>
    </row>
    <row r="4092" spans="2:3">
      <c r="B4092" s="38">
        <v>44117</v>
      </c>
      <c r="C4092">
        <v>271.5761</v>
      </c>
    </row>
    <row r="4093" spans="2:3">
      <c r="B4093" s="38">
        <v>44118</v>
      </c>
      <c r="C4093">
        <v>271.17989999999998</v>
      </c>
    </row>
    <row r="4094" spans="2:3">
      <c r="B4094" s="38">
        <v>44119</v>
      </c>
      <c r="C4094">
        <v>270.9563</v>
      </c>
    </row>
    <row r="4095" spans="2:3">
      <c r="B4095" s="38">
        <v>44120</v>
      </c>
      <c r="C4095">
        <v>270.99009999999998</v>
      </c>
    </row>
    <row r="4096" spans="2:3">
      <c r="B4096" s="38">
        <v>44123</v>
      </c>
      <c r="C4096">
        <v>269.60489999999999</v>
      </c>
    </row>
    <row r="4097" spans="2:3">
      <c r="B4097" s="38">
        <v>44124</v>
      </c>
      <c r="C4097">
        <v>269.51859999999999</v>
      </c>
    </row>
    <row r="4098" spans="2:3">
      <c r="B4098" s="38">
        <v>44125</v>
      </c>
      <c r="C4098">
        <v>269.27050000000003</v>
      </c>
    </row>
    <row r="4099" spans="2:3">
      <c r="B4099" s="38">
        <v>44126</v>
      </c>
      <c r="C4099">
        <v>269.28980000000001</v>
      </c>
    </row>
    <row r="4100" spans="2:3">
      <c r="B4100" s="38">
        <v>44127</v>
      </c>
      <c r="C4100">
        <v>269.56380000000001</v>
      </c>
    </row>
    <row r="4101" spans="2:3">
      <c r="B4101" s="38">
        <v>44130</v>
      </c>
      <c r="C4101">
        <v>268.75940000000003</v>
      </c>
    </row>
    <row r="4102" spans="2:3">
      <c r="B4102" s="38">
        <v>44131</v>
      </c>
      <c r="C4102">
        <v>268.76479999999998</v>
      </c>
    </row>
    <row r="4103" spans="2:3">
      <c r="B4103" s="38">
        <v>44132</v>
      </c>
      <c r="C4103">
        <v>266.38729999999998</v>
      </c>
    </row>
    <row r="4104" spans="2:3">
      <c r="B4104" s="38">
        <v>44133</v>
      </c>
      <c r="C4104">
        <v>266.65589999999997</v>
      </c>
    </row>
    <row r="4105" spans="2:3">
      <c r="B4105" s="38">
        <v>44134</v>
      </c>
      <c r="C4105">
        <v>265.76659999999998</v>
      </c>
    </row>
    <row r="4106" spans="2:3">
      <c r="B4106" s="38">
        <v>44137</v>
      </c>
      <c r="C4106">
        <v>266.74110000000002</v>
      </c>
    </row>
    <row r="4107" spans="2:3">
      <c r="B4107" s="38">
        <v>44138</v>
      </c>
      <c r="C4107">
        <v>267.69639999999998</v>
      </c>
    </row>
    <row r="4108" spans="2:3">
      <c r="B4108" s="38">
        <v>44139</v>
      </c>
      <c r="C4108">
        <v>270.21140000000003</v>
      </c>
    </row>
    <row r="4109" spans="2:3">
      <c r="B4109" s="38">
        <v>44140</v>
      </c>
      <c r="C4109">
        <v>271.57780000000002</v>
      </c>
    </row>
    <row r="4110" spans="2:3">
      <c r="B4110" s="38">
        <v>44141</v>
      </c>
      <c r="C4110">
        <v>271.09289999999999</v>
      </c>
    </row>
    <row r="4111" spans="2:3">
      <c r="B4111" s="38">
        <v>44144</v>
      </c>
      <c r="C4111">
        <v>270.27890000000002</v>
      </c>
    </row>
    <row r="4112" spans="2:3">
      <c r="B4112" s="38">
        <v>44145</v>
      </c>
      <c r="C4112">
        <v>270.03550000000001</v>
      </c>
    </row>
    <row r="4113" spans="2:3">
      <c r="B4113" s="38">
        <v>44147</v>
      </c>
      <c r="C4113">
        <v>270.8766</v>
      </c>
    </row>
    <row r="4114" spans="2:3">
      <c r="B4114" s="38">
        <v>44148</v>
      </c>
      <c r="C4114">
        <v>271.55149999999998</v>
      </c>
    </row>
    <row r="4115" spans="2:3">
      <c r="B4115" s="38">
        <v>44151</v>
      </c>
      <c r="C4115">
        <v>272.00599999999997</v>
      </c>
    </row>
    <row r="4116" spans="2:3">
      <c r="B4116" s="38">
        <v>44152</v>
      </c>
      <c r="C4116">
        <v>272.23809999999997</v>
      </c>
    </row>
    <row r="4117" spans="2:3">
      <c r="B4117" s="38">
        <v>44153</v>
      </c>
      <c r="C4117">
        <v>271.63850000000002</v>
      </c>
    </row>
    <row r="4118" spans="2:3">
      <c r="B4118" s="38">
        <v>44154</v>
      </c>
      <c r="C4118">
        <v>272.19940000000003</v>
      </c>
    </row>
    <row r="4119" spans="2:3">
      <c r="B4119" s="38">
        <v>44155</v>
      </c>
      <c r="C4119">
        <v>272.03750000000002</v>
      </c>
    </row>
    <row r="4120" spans="2:3">
      <c r="B4120" s="38">
        <v>44158</v>
      </c>
      <c r="C4120">
        <v>272.1388</v>
      </c>
    </row>
    <row r="4121" spans="2:3">
      <c r="B4121" s="38">
        <v>44159</v>
      </c>
      <c r="C4121">
        <v>272.65960000000001</v>
      </c>
    </row>
    <row r="4122" spans="2:3">
      <c r="B4122" s="38">
        <v>44160</v>
      </c>
      <c r="C4122">
        <v>272.50029999999998</v>
      </c>
    </row>
    <row r="4123" spans="2:3">
      <c r="B4123" s="38">
        <v>44162</v>
      </c>
      <c r="C4123">
        <v>273.12529999999998</v>
      </c>
    </row>
    <row r="4124" spans="2:3">
      <c r="B4124" s="38">
        <v>44165</v>
      </c>
      <c r="C4124">
        <v>272.98059999999998</v>
      </c>
    </row>
    <row r="4125" spans="2:3">
      <c r="B4125" s="38">
        <v>44166</v>
      </c>
      <c r="C4125">
        <v>272.7466</v>
      </c>
    </row>
    <row r="4126" spans="2:3">
      <c r="B4126" s="38">
        <v>44167</v>
      </c>
      <c r="C4126">
        <v>272.62</v>
      </c>
    </row>
    <row r="4127" spans="2:3">
      <c r="B4127" s="38">
        <v>44168</v>
      </c>
      <c r="C4127">
        <v>272.91480000000001</v>
      </c>
    </row>
    <row r="4128" spans="2:3">
      <c r="B4128" s="38">
        <v>44169</v>
      </c>
      <c r="C4128">
        <v>272.84059999999999</v>
      </c>
    </row>
    <row r="4129" spans="2:3">
      <c r="B4129" s="38">
        <v>44172</v>
      </c>
      <c r="C4129">
        <v>273.11849999999998</v>
      </c>
    </row>
    <row r="4130" spans="2:3">
      <c r="B4130" s="38">
        <v>44173</v>
      </c>
      <c r="C4130">
        <v>273.48079999999999</v>
      </c>
    </row>
    <row r="4131" spans="2:3">
      <c r="B4131" s="38">
        <v>44174</v>
      </c>
      <c r="C4131">
        <v>272.61020000000002</v>
      </c>
    </row>
    <row r="4132" spans="2:3">
      <c r="B4132" s="38">
        <v>44175</v>
      </c>
      <c r="C4132">
        <v>272.947</v>
      </c>
    </row>
    <row r="4133" spans="2:3">
      <c r="B4133" s="38">
        <v>44176</v>
      </c>
      <c r="C4133">
        <v>273.05430000000001</v>
      </c>
    </row>
    <row r="4134" spans="2:3">
      <c r="B4134" s="38">
        <v>44179</v>
      </c>
      <c r="C4134">
        <v>272.72919999999999</v>
      </c>
    </row>
    <row r="4135" spans="2:3">
      <c r="B4135" s="38">
        <v>44180</v>
      </c>
      <c r="C4135">
        <v>273.36430000000001</v>
      </c>
    </row>
    <row r="4136" spans="2:3">
      <c r="B4136" s="38">
        <v>44181</v>
      </c>
      <c r="C4136">
        <v>273.54809999999998</v>
      </c>
    </row>
    <row r="4137" spans="2:3">
      <c r="B4137" s="38">
        <v>44182</v>
      </c>
      <c r="C4137">
        <v>273.85219999999998</v>
      </c>
    </row>
    <row r="4138" spans="2:3">
      <c r="B4138" s="38">
        <v>44183</v>
      </c>
      <c r="C4138">
        <v>273.39120000000003</v>
      </c>
    </row>
    <row r="4139" spans="2:3">
      <c r="B4139" s="38">
        <v>44186</v>
      </c>
      <c r="C4139">
        <v>273.13380000000001</v>
      </c>
    </row>
    <row r="4140" spans="2:3">
      <c r="B4140" s="38">
        <v>44187</v>
      </c>
      <c r="C4140">
        <v>273.20030000000003</v>
      </c>
    </row>
    <row r="4141" spans="2:3">
      <c r="B4141" s="38">
        <v>44188</v>
      </c>
      <c r="C4141">
        <v>273.00119999999998</v>
      </c>
    </row>
    <row r="4142" spans="2:3">
      <c r="B4142" s="38">
        <v>44189</v>
      </c>
      <c r="C4142">
        <v>273.4812</v>
      </c>
    </row>
    <row r="4143" spans="2:3">
      <c r="B4143" s="38">
        <v>44193</v>
      </c>
      <c r="C4143">
        <v>274.2158</v>
      </c>
    </row>
    <row r="4144" spans="2:3">
      <c r="B4144" s="38">
        <v>44194</v>
      </c>
      <c r="C4144">
        <v>273.97640000000001</v>
      </c>
    </row>
    <row r="4145" spans="2:3">
      <c r="B4145" s="38">
        <v>44195</v>
      </c>
      <c r="C4145">
        <v>274.25479999999999</v>
      </c>
    </row>
    <row r="4146" spans="2:3">
      <c r="B4146" s="38">
        <v>44196</v>
      </c>
      <c r="C4146">
        <v>275.06319999999999</v>
      </c>
    </row>
    <row r="4147" spans="2:3">
      <c r="B4147" s="38">
        <v>44200</v>
      </c>
      <c r="C4147">
        <v>273.60590000000002</v>
      </c>
    </row>
    <row r="4148" spans="2:3">
      <c r="B4148" s="38">
        <v>44201</v>
      </c>
      <c r="C4148">
        <v>273.97649999999999</v>
      </c>
    </row>
    <row r="4149" spans="2:3">
      <c r="B4149" s="38">
        <v>44202</v>
      </c>
      <c r="C4149">
        <v>273.78480000000002</v>
      </c>
    </row>
    <row r="4150" spans="2:3">
      <c r="B4150" s="38">
        <v>44203</v>
      </c>
      <c r="C4150">
        <v>275.26029999999997</v>
      </c>
    </row>
    <row r="4151" spans="2:3">
      <c r="B4151" s="38">
        <v>44204</v>
      </c>
      <c r="C4151">
        <v>275.63799999999998</v>
      </c>
    </row>
    <row r="4152" spans="2:3">
      <c r="B4152" s="38">
        <v>44207</v>
      </c>
      <c r="C4152">
        <v>274.63630000000001</v>
      </c>
    </row>
    <row r="4153" spans="2:3">
      <c r="B4153" s="38">
        <v>44208</v>
      </c>
      <c r="C4153">
        <v>274.59089999999998</v>
      </c>
    </row>
    <row r="4154" spans="2:3">
      <c r="B4154" s="38">
        <v>44209</v>
      </c>
      <c r="C4154">
        <v>275.36149999999998</v>
      </c>
    </row>
    <row r="4155" spans="2:3">
      <c r="B4155" s="38">
        <v>44210</v>
      </c>
      <c r="C4155">
        <v>274.6472</v>
      </c>
    </row>
    <row r="4156" spans="2:3">
      <c r="B4156" s="38">
        <v>44211</v>
      </c>
      <c r="C4156">
        <v>273.88330000000002</v>
      </c>
    </row>
    <row r="4157" spans="2:3">
      <c r="B4157" s="38">
        <v>44215</v>
      </c>
      <c r="C4157">
        <v>275.12580000000003</v>
      </c>
    </row>
    <row r="4158" spans="2:3">
      <c r="B4158" s="38">
        <v>44216</v>
      </c>
      <c r="C4158">
        <v>277.01240000000001</v>
      </c>
    </row>
  </sheetData>
  <sortState xmlns:xlrd2="http://schemas.microsoft.com/office/spreadsheetml/2017/richdata2" ref="B2:C4158">
    <sortCondition ref="B2:B4158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SparkShellMetadata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ServiceCustomXmlMetadata>
  <Version>9b1c70ed-a778-4acc-9871-04c244e03649</Version>
</ServiceCustomXmlMetadata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BF4BEDED9AA24F824FBCE972ECD1F6" ma:contentTypeVersion="13" ma:contentTypeDescription="Create a new document." ma:contentTypeScope="" ma:versionID="732e2864b6c4882f89a80382d3a75bf0">
  <xsd:schema xmlns:xsd="http://www.w3.org/2001/XMLSchema" xmlns:xs="http://www.w3.org/2001/XMLSchema" xmlns:p="http://schemas.microsoft.com/office/2006/metadata/properties" xmlns:ns2="3a1c5a3e-ca37-4aea-b98f-9542a31aedf5" xmlns:ns3="bbabd8b7-719d-44f5-aa21-82c2dfa3c2ac" targetNamespace="http://schemas.microsoft.com/office/2006/metadata/properties" ma:root="true" ma:fieldsID="c7fa3225d2860946948a374397267d8f" ns2:_="" ns3:_="">
    <xsd:import namespace="3a1c5a3e-ca37-4aea-b98f-9542a31aedf5"/>
    <xsd:import namespace="bbabd8b7-719d-44f5-aa21-82c2dfa3c2a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a1c5a3e-ca37-4aea-b98f-9542a31aedf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bed40e86-796f-4958-b48c-64e3f14c9b8f}" ma:internalName="TaxCatchAll" ma:showField="CatchAllData" ma:web="3a1c5a3e-ca37-4aea-b98f-9542a31aedf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babd8b7-719d-44f5-aa21-82c2dfa3c2a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5" nillable="true" ma:taxonomy="true" ma:internalName="lcf76f155ced4ddcb4097134ff3c332f" ma:taxonomyFieldName="MediaServiceImageTags" ma:displayName="Image Tags" ma:readOnly="false" ma:fieldId="{5cf76f15-5ced-4ddc-b409-7134ff3c332f}" ma:taxonomyMulti="true" ma:sspId="49389118-0806-4f78-82af-a3c2d1da995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babd8b7-719d-44f5-aa21-82c2dfa3c2ac">
      <Terms xmlns="http://schemas.microsoft.com/office/infopath/2007/PartnerControls"/>
    </lcf76f155ced4ddcb4097134ff3c332f>
    <TaxCatchAll xmlns="3a1c5a3e-ca37-4aea-b98f-9542a31aedf5" xsi:nil="true"/>
  </documentManagement>
</p:properties>
</file>

<file path=customXml/itemProps1.xml><?xml version="1.0" encoding="utf-8"?>
<ds:datastoreItem xmlns:ds="http://schemas.openxmlformats.org/officeDocument/2006/customXml" ds:itemID="{50AC634E-70DD-45E8-8AA7-AAD45AF82DD2}">
  <ds:schemaRefs/>
</ds:datastoreItem>
</file>

<file path=customXml/itemProps2.xml><?xml version="1.0" encoding="utf-8"?>
<ds:datastoreItem xmlns:ds="http://schemas.openxmlformats.org/officeDocument/2006/customXml" ds:itemID="{56AC31F9-D115-432F-8C5E-1F0287BC66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BBA2314-417C-4B4C-AAE8-A7C322CC2EC0}">
  <ds:schemaRefs/>
</ds:datastoreItem>
</file>

<file path=customXml/itemProps4.xml><?xml version="1.0" encoding="utf-8"?>
<ds:datastoreItem xmlns:ds="http://schemas.openxmlformats.org/officeDocument/2006/customXml" ds:itemID="{485C121D-811F-4724-9B49-77CF36813FDB}"/>
</file>

<file path=customXml/itemProps5.xml><?xml version="1.0" encoding="utf-8"?>
<ds:datastoreItem xmlns:ds="http://schemas.openxmlformats.org/officeDocument/2006/customXml" ds:itemID="{130E47FE-8569-4C2C-8D9A-2B3B99C1A8F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34</vt:i4>
      </vt:variant>
    </vt:vector>
  </HeadingPairs>
  <TitlesOfParts>
    <vt:vector size="54" baseType="lpstr">
      <vt:lpstr>Introduction</vt:lpstr>
      <vt:lpstr>Summary</vt:lpstr>
      <vt:lpstr>Solver</vt:lpstr>
      <vt:lpstr>Index Selection</vt:lpstr>
      <vt:lpstr>Annuity_CashFlow</vt:lpstr>
      <vt:lpstr>Results</vt:lpstr>
      <vt:lpstr>Parameters</vt:lpstr>
      <vt:lpstr>withdrawal_percentage</vt:lpstr>
      <vt:lpstr>surrender_charge</vt:lpstr>
      <vt:lpstr>COI_rate</vt:lpstr>
      <vt:lpstr>index_return</vt:lpstr>
      <vt:lpstr>S&amp;P 500</vt:lpstr>
      <vt:lpstr>NAS 100</vt:lpstr>
      <vt:lpstr>Russel 2000</vt:lpstr>
      <vt:lpstr>iBLD Claria</vt:lpstr>
      <vt:lpstr>iBLD Claria ER</vt:lpstr>
      <vt:lpstr>PIMCO TBI</vt:lpstr>
      <vt:lpstr>PIMCO TBI ER</vt:lpstr>
      <vt:lpstr>Bloomberg DBI ER</vt:lpstr>
      <vt:lpstr>Bloomberg DBI</vt:lpstr>
      <vt:lpstr>coi_table</vt:lpstr>
      <vt:lpstr>income_option</vt:lpstr>
      <vt:lpstr>index_sum_return_table</vt:lpstr>
      <vt:lpstr>rider_bonus</vt:lpstr>
      <vt:lpstr>rider_rate</vt:lpstr>
      <vt:lpstr>targetcell</vt:lpstr>
      <vt:lpstr>Xinput_age</vt:lpstr>
      <vt:lpstr>Xinput_allocation_option</vt:lpstr>
      <vt:lpstr>Xinput_frequency</vt:lpstr>
      <vt:lpstr>Xinput_gender</vt:lpstr>
      <vt:lpstr>Xinput_income_duration</vt:lpstr>
      <vt:lpstr>Xinput_income_start_age</vt:lpstr>
      <vt:lpstr>Xinput_index_table</vt:lpstr>
      <vt:lpstr>Xinput_interest_choice</vt:lpstr>
      <vt:lpstr>Xinput_premium</vt:lpstr>
      <vt:lpstr>Xinput_rider_choice</vt:lpstr>
      <vt:lpstr>Xinput_runsolver</vt:lpstr>
      <vt:lpstr>xinput_solveWithdrawal</vt:lpstr>
      <vt:lpstr>Xinput_term</vt:lpstr>
      <vt:lpstr>Xoutput_annuity_cashflow</vt:lpstr>
      <vt:lpstr>Xoutput_available_index</vt:lpstr>
      <vt:lpstr>Xoutput_cap</vt:lpstr>
      <vt:lpstr>Xoutput_crediting_method</vt:lpstr>
      <vt:lpstr>Xoutput_illustration_pv</vt:lpstr>
      <vt:lpstr>Xoutput_income_end_age</vt:lpstr>
      <vt:lpstr>Xoutput_initial_withdrawal</vt:lpstr>
      <vt:lpstr>Xoutput_interest_rate</vt:lpstr>
      <vt:lpstr>Xoutput_par</vt:lpstr>
      <vt:lpstr>Xoutput_resetting_period</vt:lpstr>
      <vt:lpstr>xoutput_solvePremium</vt:lpstr>
      <vt:lpstr>Xoutput_spread</vt:lpstr>
      <vt:lpstr>Xoutput_total_withdrawal</vt:lpstr>
      <vt:lpstr>Xreport_fi</vt:lpstr>
      <vt:lpstr>Xsolve_premium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Summer Zi Xun Yang</dc:creator>
  <cp:keywords/>
  <dc:description/>
  <cp:lastModifiedBy>Nick Stanzione</cp:lastModifiedBy>
  <cp:revision/>
  <dcterms:created xsi:type="dcterms:W3CDTF">2019-06-18T03:39:46Z</dcterms:created>
  <dcterms:modified xsi:type="dcterms:W3CDTF">2023-11-17T20:57:56Z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0x0101009FBF4BEDED9AA24F824FBCE972ECD1F6</vt:lpwstr>
  </property>
  <property fmtid="{D5CDD505-2E9C-101B-9397-08002B2CF9AE}" pid="3" name="{A44787D4-0540-4523-9961-78E4036D8C6D}">
    <vt:lpwstr>{6B01E336-39AB-4B6D-B181-B71DB5F373D6}</vt:lpwstr>
  </property>
  <property fmtid="{D5CDD505-2E9C-101B-9397-08002B2CF9AE}" pid="4" name="MediaServiceImageTags">
    <vt:lpwstr/>
  </property>
</Properties>
</file>